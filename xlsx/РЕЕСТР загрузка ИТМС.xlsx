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w07000092\Downloads\"/>
    </mc:Choice>
  </mc:AlternateContent>
  <xr:revisionPtr revIDLastSave="0" documentId="13_ncr:1_{B640564C-DBF4-483B-B792-224B10222F53}" xr6:coauthVersionLast="47" xr6:coauthVersionMax="47" xr10:uidLastSave="{00000000-0000-0000-0000-000000000000}"/>
  <bookViews>
    <workbookView xWindow="-120" yWindow="-120" windowWidth="29040" windowHeight="15720" xr2:uid="{00000000-000D-0000-FFFF-FFFF00000000}"/>
  </bookViews>
  <sheets>
    <sheet name="пк с 1 user" sheetId="1" r:id="rId1"/>
  </sheets>
  <definedNames>
    <definedName name="_xlnm._FilterDatabase" localSheetId="0" hidden="1">'пк с 1 user'!$A$1:$W$1228</definedName>
  </definedNames>
  <calcPr calcId="191029"/>
</workbook>
</file>

<file path=xl/calcChain.xml><?xml version="1.0" encoding="utf-8"?>
<calcChain xmlns="http://schemas.openxmlformats.org/spreadsheetml/2006/main">
  <c r="L486" i="1" l="1"/>
  <c r="L1042" i="1"/>
  <c r="L1055" i="1"/>
  <c r="L31" i="1"/>
  <c r="L20" i="1"/>
  <c r="L1211" i="1"/>
  <c r="L1212" i="1"/>
  <c r="L1213" i="1"/>
  <c r="L1214" i="1"/>
  <c r="L602" i="1"/>
  <c r="L613" i="1"/>
  <c r="L34" i="1"/>
  <c r="L617" i="1"/>
  <c r="L35" i="1"/>
  <c r="L674" i="1"/>
  <c r="L36" i="1"/>
  <c r="L605" i="1"/>
  <c r="L610" i="1"/>
  <c r="L657" i="1"/>
  <c r="L658" i="1"/>
  <c r="L664" i="1"/>
  <c r="L1215" i="1"/>
  <c r="L1216" i="1"/>
  <c r="L1217" i="1"/>
  <c r="L1218" i="1"/>
  <c r="L1219" i="1"/>
  <c r="L1220" i="1"/>
  <c r="L1221" i="1"/>
  <c r="L1222" i="1"/>
  <c r="L1223" i="1"/>
  <c r="L1224" i="1"/>
  <c r="L1225" i="1"/>
  <c r="L1226" i="1"/>
  <c r="L936" i="1"/>
  <c r="L1227" i="1"/>
  <c r="L726" i="1"/>
  <c r="L2" i="1"/>
  <c r="L3" i="1"/>
  <c r="L4" i="1"/>
  <c r="L1134" i="1"/>
  <c r="L12" i="1"/>
  <c r="L366" i="1"/>
  <c r="L635" i="1"/>
  <c r="L42" i="1"/>
  <c r="L1050" i="1"/>
  <c r="L971" i="1"/>
  <c r="L458" i="1"/>
  <c r="L1045" i="1"/>
  <c r="L1114" i="1"/>
  <c r="L530" i="1"/>
  <c r="L521" i="1"/>
  <c r="L1015" i="1"/>
  <c r="L261" i="1"/>
  <c r="L899" i="1"/>
  <c r="L743" i="1"/>
  <c r="L913" i="1"/>
  <c r="L1228" i="1"/>
  <c r="L853" i="1"/>
  <c r="L692" i="1"/>
  <c r="L505" i="1"/>
  <c r="L485" i="1"/>
  <c r="L230" i="1"/>
  <c r="L1047" i="1"/>
  <c r="L167" i="1"/>
  <c r="L852" i="1"/>
  <c r="L39" i="1"/>
  <c r="L830" i="1"/>
  <c r="L111" i="1"/>
  <c r="L675" i="1"/>
  <c r="L1173" i="1"/>
  <c r="L1191" i="1"/>
  <c r="L1192" i="1"/>
  <c r="L94" i="1"/>
  <c r="L180" i="1"/>
  <c r="L1141" i="1"/>
  <c r="L1142" i="1"/>
  <c r="L1193" i="1"/>
  <c r="L1169" i="1"/>
  <c r="L75" i="1"/>
  <c r="L49" i="1"/>
  <c r="L1125" i="1"/>
  <c r="L46" i="1"/>
  <c r="L676" i="1"/>
  <c r="L1195" i="1"/>
  <c r="L1196" i="1"/>
  <c r="L1197" i="1"/>
  <c r="L1164" i="1"/>
  <c r="L103" i="1"/>
  <c r="L1126" i="1"/>
  <c r="L1127" i="1"/>
  <c r="L45" i="1"/>
  <c r="L1206" i="1"/>
  <c r="L1108" i="1"/>
  <c r="L1052" i="1"/>
  <c r="L1107" i="1"/>
  <c r="L89" i="1"/>
  <c r="L118" i="1"/>
  <c r="L107" i="1"/>
  <c r="L612" i="1"/>
  <c r="L1140" i="1"/>
  <c r="L1155" i="1"/>
  <c r="L6" i="1"/>
  <c r="L7" i="1"/>
  <c r="L182" i="1"/>
  <c r="L183" i="1"/>
  <c r="L184" i="1"/>
  <c r="L185" i="1"/>
  <c r="L186" i="1"/>
  <c r="L1069" i="1"/>
  <c r="L1072" i="1"/>
  <c r="L1090" i="1"/>
  <c r="L1098" i="1"/>
  <c r="L1177" i="1"/>
  <c r="L422" i="1"/>
  <c r="L773" i="1"/>
  <c r="L17" i="1"/>
  <c r="L8" i="1"/>
  <c r="L181" i="1"/>
  <c r="L856" i="1"/>
  <c r="L1179" i="1"/>
  <c r="L722" i="1"/>
  <c r="L954" i="1"/>
  <c r="L955" i="1"/>
  <c r="L693" i="1"/>
  <c r="L831" i="1"/>
  <c r="L832" i="1"/>
  <c r="L700" i="1"/>
  <c r="L909" i="1"/>
  <c r="L1082" i="1"/>
  <c r="L483" i="1"/>
  <c r="L98" i="1"/>
  <c r="L481" i="1"/>
  <c r="L538" i="1"/>
  <c r="L1131" i="1"/>
  <c r="L1159" i="1"/>
  <c r="L1178" i="1"/>
  <c r="L159" i="1"/>
  <c r="L1194" i="1"/>
  <c r="L1129" i="1"/>
  <c r="L1139" i="1"/>
  <c r="L1181" i="1"/>
  <c r="L1119" i="1"/>
  <c r="L1167" i="1"/>
  <c r="L414" i="1"/>
  <c r="L1201" i="1"/>
  <c r="L410" i="1"/>
  <c r="L757" i="1"/>
  <c r="L329" i="1"/>
  <c r="L409" i="1"/>
  <c r="L62" i="1"/>
  <c r="L65" i="1"/>
  <c r="L72" i="1"/>
  <c r="L76" i="1"/>
  <c r="L87" i="1"/>
  <c r="L115" i="1"/>
  <c r="L116" i="1"/>
  <c r="L135" i="1"/>
  <c r="L142" i="1"/>
  <c r="L146" i="1"/>
  <c r="L173" i="1"/>
  <c r="L295" i="1"/>
  <c r="L487" i="1"/>
  <c r="L580" i="1"/>
  <c r="L959" i="1"/>
  <c r="L1063" i="1"/>
  <c r="L1070" i="1"/>
  <c r="L1171" i="1"/>
  <c r="L1205" i="1"/>
  <c r="L165" i="1"/>
  <c r="L900" i="1"/>
  <c r="L1130" i="1"/>
  <c r="L553" i="1"/>
  <c r="L1106" i="1"/>
  <c r="L1118" i="1"/>
  <c r="L239" i="1"/>
  <c r="L398" i="1"/>
  <c r="L1165" i="1"/>
  <c r="L85" i="1"/>
  <c r="L155" i="1"/>
  <c r="L194" i="1"/>
  <c r="L201" i="1"/>
  <c r="L430" i="1"/>
  <c r="L1180" i="1"/>
  <c r="L21" i="1"/>
  <c r="L67" i="1"/>
  <c r="L86" i="1"/>
  <c r="L91" i="1"/>
  <c r="L128" i="1"/>
  <c r="L858" i="1"/>
  <c r="L175" i="1"/>
  <c r="L320" i="1"/>
  <c r="L400" i="1"/>
  <c r="L455" i="1"/>
  <c r="L488" i="1"/>
  <c r="L1103" i="1"/>
  <c r="L1161" i="1"/>
  <c r="L1208" i="1"/>
  <c r="L798" i="1"/>
  <c r="L873" i="1"/>
  <c r="L871" i="1"/>
  <c r="L80" i="1"/>
  <c r="L125" i="1"/>
  <c r="L403" i="1"/>
  <c r="L278" i="1"/>
  <c r="L782" i="1"/>
  <c r="L511" i="1"/>
  <c r="L57" i="1"/>
  <c r="L330" i="1"/>
  <c r="L179" i="1"/>
  <c r="L1060" i="1"/>
  <c r="L1113" i="1"/>
  <c r="L471" i="1"/>
  <c r="L130" i="1"/>
  <c r="L294" i="1"/>
  <c r="L356" i="1"/>
  <c r="L753" i="1"/>
  <c r="L755" i="1"/>
  <c r="L1132" i="1"/>
  <c r="L699" i="1"/>
  <c r="L938" i="1"/>
  <c r="L882" i="1"/>
  <c r="L780" i="1"/>
  <c r="L784" i="1"/>
  <c r="L861" i="1"/>
  <c r="L767" i="1"/>
  <c r="L93" i="1"/>
  <c r="L114" i="1"/>
  <c r="L860" i="1"/>
  <c r="L926" i="1"/>
  <c r="L241" i="1"/>
  <c r="L219" i="1"/>
  <c r="L189" i="1"/>
  <c r="L1044" i="1"/>
  <c r="L1105" i="1"/>
  <c r="L1210" i="1"/>
  <c r="L149" i="1"/>
  <c r="L935" i="1"/>
  <c r="L1174" i="1"/>
  <c r="L147" i="1"/>
  <c r="L1095" i="1"/>
  <c r="L53" i="1"/>
  <c r="L746" i="1"/>
  <c r="L60" i="1"/>
  <c r="L883" i="1"/>
  <c r="L198" i="1"/>
  <c r="L1209" i="1"/>
  <c r="L1137" i="1"/>
  <c r="L937" i="1"/>
  <c r="L934" i="1"/>
  <c r="L933" i="1"/>
  <c r="L601" i="1"/>
  <c r="L932" i="1"/>
  <c r="L997" i="1"/>
  <c r="L998" i="1"/>
  <c r="L940" i="1"/>
  <c r="L985" i="1"/>
  <c r="L984" i="1"/>
  <c r="L925" i="1"/>
  <c r="L924" i="1"/>
  <c r="L931" i="1"/>
  <c r="L874" i="1"/>
  <c r="L694" i="1"/>
  <c r="L507" i="1"/>
  <c r="L884" i="1"/>
  <c r="L1097" i="1"/>
  <c r="L941" i="1"/>
  <c r="L824" i="1"/>
  <c r="L967" i="1"/>
  <c r="L311" i="1"/>
  <c r="L1122" i="1"/>
  <c r="L977" i="1"/>
  <c r="L888" i="1"/>
  <c r="L991" i="1"/>
  <c r="L777" i="1"/>
  <c r="L993" i="1"/>
  <c r="L500" i="1"/>
  <c r="L834" i="1"/>
  <c r="L1115" i="1"/>
  <c r="L216" i="1"/>
  <c r="L841" i="1"/>
  <c r="L983" i="1"/>
  <c r="L975" i="1"/>
  <c r="L863" i="1"/>
  <c r="L394" i="1"/>
  <c r="L978" i="1"/>
  <c r="L1009" i="1"/>
  <c r="L980" i="1"/>
  <c r="L964" i="1"/>
  <c r="L979" i="1"/>
  <c r="L171" i="1"/>
  <c r="L976" i="1"/>
  <c r="L405" i="1"/>
  <c r="L987" i="1"/>
  <c r="L960" i="1"/>
  <c r="L920" i="1"/>
  <c r="L990" i="1"/>
  <c r="L44" i="1"/>
  <c r="L995" i="1"/>
  <c r="L514" i="1"/>
  <c r="L957" i="1"/>
  <c r="L982" i="1"/>
  <c r="L922" i="1"/>
  <c r="L720" i="1"/>
  <c r="L974" i="1"/>
  <c r="L221" i="1"/>
  <c r="L1059" i="1"/>
  <c r="L40" i="1"/>
  <c r="L921" i="1"/>
  <c r="L944" i="1"/>
  <c r="L981" i="1"/>
  <c r="L952" i="1"/>
  <c r="L363" i="1"/>
  <c r="L265" i="1"/>
  <c r="L689" i="1"/>
  <c r="L1186" i="1"/>
  <c r="L1075" i="1"/>
  <c r="L996" i="1"/>
  <c r="L472" i="1"/>
  <c r="L965" i="1"/>
  <c r="L1185" i="1"/>
  <c r="L210" i="1"/>
  <c r="L943" i="1"/>
  <c r="L659" i="1"/>
  <c r="L949" i="1"/>
  <c r="L948" i="1"/>
  <c r="L1030" i="1"/>
  <c r="L947" i="1"/>
  <c r="L723" i="1"/>
  <c r="L1189" i="1"/>
  <c r="L946" i="1"/>
  <c r="L1188" i="1"/>
  <c r="L945" i="1"/>
  <c r="L849" i="1"/>
  <c r="L390" i="1"/>
  <c r="L1086" i="1"/>
  <c r="L1187" i="1"/>
  <c r="L451" i="1"/>
  <c r="L110" i="1"/>
  <c r="L988" i="1"/>
  <c r="L927" i="1"/>
  <c r="L923" i="1"/>
  <c r="L378" i="1"/>
  <c r="L969" i="1"/>
  <c r="L682" i="1"/>
  <c r="L1031" i="1"/>
  <c r="L968" i="1"/>
  <c r="L736" i="1"/>
  <c r="L704" i="1"/>
  <c r="L844" i="1"/>
  <c r="L192" i="1"/>
  <c r="L950" i="1"/>
  <c r="L898" i="1"/>
  <c r="L218" i="1"/>
  <c r="L962" i="1"/>
  <c r="L1054" i="1"/>
  <c r="L854" i="1"/>
  <c r="L885" i="1"/>
  <c r="L842" i="1"/>
  <c r="L866" i="1"/>
  <c r="L881" i="1"/>
  <c r="L318" i="1"/>
  <c r="L559" i="1"/>
  <c r="L688" i="1"/>
  <c r="L372" i="1"/>
  <c r="L794" i="1"/>
  <c r="L961" i="1"/>
  <c r="L887" i="1"/>
  <c r="L902" i="1"/>
  <c r="L862" i="1"/>
  <c r="L869" i="1"/>
  <c r="L891" i="1"/>
  <c r="L52" i="1"/>
  <c r="L867" i="1"/>
  <c r="L916" i="1"/>
  <c r="L137" i="1"/>
  <c r="L904" i="1"/>
  <c r="L825" i="1"/>
  <c r="L879" i="1"/>
  <c r="L972" i="1"/>
  <c r="L791" i="1"/>
  <c r="L850" i="1"/>
  <c r="L886" i="1"/>
  <c r="L1092" i="1"/>
  <c r="L875" i="1"/>
  <c r="L829" i="1"/>
  <c r="L70" i="1"/>
  <c r="L382" i="1"/>
  <c r="L839" i="1"/>
  <c r="L896" i="1"/>
  <c r="L877" i="1"/>
  <c r="L745" i="1"/>
  <c r="L160" i="1"/>
  <c r="L908" i="1"/>
  <c r="L631" i="1"/>
  <c r="L776" i="1"/>
  <c r="L778" i="1"/>
  <c r="L828" i="1"/>
  <c r="L857" i="1"/>
  <c r="L729" i="1"/>
  <c r="L747" i="1"/>
  <c r="L775" i="1"/>
  <c r="L806" i="1"/>
  <c r="L313" i="1"/>
  <c r="L801" i="1"/>
  <c r="L779" i="1"/>
  <c r="L803" i="1"/>
  <c r="L774" i="1"/>
  <c r="L804" i="1"/>
  <c r="L771" i="1"/>
  <c r="L781" i="1"/>
  <c r="L772" i="1"/>
  <c r="L802" i="1"/>
  <c r="L800" i="1"/>
  <c r="L870" i="1"/>
  <c r="L836" i="1"/>
  <c r="L808" i="1"/>
  <c r="L744" i="1"/>
  <c r="L786" i="1"/>
  <c r="L788" i="1"/>
  <c r="L892" i="1"/>
  <c r="L649" i="1"/>
  <c r="L735" i="1"/>
  <c r="L630" i="1"/>
  <c r="L762" i="1"/>
  <c r="L812" i="1"/>
  <c r="L807" i="1"/>
  <c r="L787" i="1"/>
  <c r="L1028" i="1"/>
  <c r="L956" i="1"/>
  <c r="L1207" i="1"/>
  <c r="L381" i="1"/>
  <c r="L41" i="1"/>
  <c r="L793" i="1"/>
  <c r="L498" i="1"/>
  <c r="L816" i="1"/>
  <c r="L817" i="1"/>
  <c r="L930" i="1"/>
  <c r="L833" i="1"/>
  <c r="L826" i="1"/>
  <c r="L876" i="1"/>
  <c r="L872" i="1"/>
  <c r="L840" i="1"/>
  <c r="L82" i="1"/>
  <c r="L264" i="1"/>
  <c r="L765" i="1"/>
  <c r="L799" i="1"/>
  <c r="L880" i="1"/>
  <c r="L369" i="1"/>
  <c r="L795" i="1"/>
  <c r="L761" i="1"/>
  <c r="L769" i="1"/>
  <c r="L878" i="1"/>
  <c r="L796" i="1"/>
  <c r="L918" i="1"/>
  <c r="L764" i="1"/>
  <c r="L953" i="1"/>
  <c r="L865" i="1"/>
  <c r="L797" i="1"/>
  <c r="L763" i="1"/>
  <c r="L32" i="1"/>
  <c r="L906" i="1"/>
  <c r="L843" i="1"/>
  <c r="L752" i="1"/>
  <c r="L759" i="1"/>
  <c r="L756" i="1"/>
  <c r="L695" i="1"/>
  <c r="L910" i="1"/>
  <c r="L748" i="1"/>
  <c r="L785" i="1"/>
  <c r="L789" i="1"/>
  <c r="L889" i="1"/>
  <c r="L917" i="1"/>
  <c r="L783" i="1"/>
  <c r="L157" i="1"/>
  <c r="L758" i="1"/>
  <c r="L678" i="1"/>
  <c r="L273" i="1"/>
  <c r="L890" i="1"/>
  <c r="L705" i="1"/>
  <c r="L402" i="1"/>
  <c r="L815" i="1"/>
  <c r="L708" i="1"/>
  <c r="L525" i="1"/>
  <c r="L818" i="1"/>
  <c r="L820" i="1"/>
  <c r="L754" i="1"/>
  <c r="L721" i="1"/>
  <c r="L1182" i="1"/>
  <c r="L677" i="1"/>
  <c r="L1039" i="1"/>
  <c r="L244" i="1"/>
  <c r="L1156" i="1"/>
  <c r="L13" i="1"/>
  <c r="L999" i="1"/>
  <c r="L766" i="1"/>
  <c r="L24" i="1"/>
  <c r="L805" i="1"/>
  <c r="L845" i="1"/>
  <c r="L727" i="1"/>
  <c r="L687" i="1"/>
  <c r="L914" i="1"/>
  <c r="L686" i="1"/>
  <c r="L162" i="1"/>
  <c r="L912" i="1"/>
  <c r="L714" i="1"/>
  <c r="L813" i="1"/>
  <c r="L835" i="1"/>
  <c r="L74" i="1"/>
  <c r="L792" i="1"/>
  <c r="L685" i="1"/>
  <c r="L397" i="1"/>
  <c r="L606" i="1"/>
  <c r="L716" i="1"/>
  <c r="L770" i="1"/>
  <c r="L232" i="1"/>
  <c r="L847" i="1"/>
  <c r="L234" i="1"/>
  <c r="L994" i="1"/>
  <c r="L1035" i="1"/>
  <c r="L951" i="1"/>
  <c r="L790" i="1"/>
  <c r="L725" i="1"/>
  <c r="L582" i="1"/>
  <c r="L684" i="1"/>
  <c r="L166" i="1"/>
  <c r="L327" i="1"/>
  <c r="L1020" i="1"/>
  <c r="L228" i="1"/>
  <c r="L424" i="1"/>
  <c r="L153" i="1"/>
  <c r="L1026" i="1"/>
  <c r="L298" i="1"/>
  <c r="L524" i="1"/>
  <c r="L426" i="1"/>
  <c r="L347" i="1"/>
  <c r="L495" i="1"/>
  <c r="L202" i="1"/>
  <c r="L1038" i="1"/>
  <c r="L413" i="1"/>
  <c r="L139" i="1"/>
  <c r="L229" i="1"/>
  <c r="L1162" i="1"/>
  <c r="L431" i="1"/>
  <c r="L527" i="1"/>
  <c r="L249" i="1"/>
  <c r="L751" i="1"/>
  <c r="L126" i="1"/>
  <c r="L907" i="1"/>
  <c r="L393" i="1"/>
  <c r="L526" i="1"/>
  <c r="L1043" i="1"/>
  <c r="L868" i="1"/>
  <c r="L178" i="1"/>
  <c r="L66" i="1"/>
  <c r="L411" i="1"/>
  <c r="L750" i="1"/>
  <c r="L113" i="1"/>
  <c r="L647" i="1"/>
  <c r="L915" i="1"/>
  <c r="L267" i="1"/>
  <c r="L258" i="1"/>
  <c r="L109" i="1"/>
  <c r="L29" i="1"/>
  <c r="L1046" i="1"/>
  <c r="L425" i="1"/>
  <c r="L362" i="1"/>
  <c r="L1112" i="1"/>
  <c r="L262" i="1"/>
  <c r="L644" i="1"/>
  <c r="L235" i="1"/>
  <c r="L596" i="1"/>
  <c r="L639" i="1"/>
  <c r="L1079" i="1"/>
  <c r="L570" i="1"/>
  <c r="L1190" i="1"/>
  <c r="L811" i="1"/>
  <c r="L1073" i="1"/>
  <c r="L653" i="1"/>
  <c r="L508" i="1"/>
  <c r="L1057" i="1"/>
  <c r="L848" i="1"/>
  <c r="L245" i="1"/>
  <c r="L697" i="1"/>
  <c r="L101" i="1"/>
  <c r="L55" i="1"/>
  <c r="L903" i="1"/>
  <c r="L310" i="1"/>
  <c r="L579" i="1"/>
  <c r="L709" i="1"/>
  <c r="L703" i="1"/>
  <c r="L710" i="1"/>
  <c r="L226" i="1"/>
  <c r="L698" i="1"/>
  <c r="L939" i="1"/>
  <c r="L734" i="1"/>
  <c r="L492" i="1"/>
  <c r="L37" i="1"/>
  <c r="L248" i="1"/>
  <c r="L578" i="1"/>
  <c r="L615" i="1"/>
  <c r="L929" i="1"/>
  <c r="L821" i="1"/>
  <c r="L104" i="1"/>
  <c r="L568" i="1"/>
  <c r="L661" i="1"/>
  <c r="L1199" i="1"/>
  <c r="L534" i="1"/>
  <c r="L449" i="1"/>
  <c r="L164" i="1"/>
  <c r="L531" i="1"/>
  <c r="L549" i="1"/>
  <c r="L33" i="1"/>
  <c r="L599" i="1"/>
  <c r="L81" i="1"/>
  <c r="L419" i="1"/>
  <c r="L276" i="1"/>
  <c r="L1023" i="1"/>
  <c r="L420" i="1"/>
  <c r="L556" i="1"/>
  <c r="L1000" i="1"/>
  <c r="L497" i="1"/>
  <c r="L377" i="1"/>
  <c r="L121" i="1"/>
  <c r="L942" i="1"/>
  <c r="L484" i="1"/>
  <c r="L552" i="1"/>
  <c r="L523" i="1"/>
  <c r="L406" i="1"/>
  <c r="L423" i="1"/>
  <c r="L512" i="1"/>
  <c r="L557" i="1"/>
  <c r="L577" i="1"/>
  <c r="L240" i="1"/>
  <c r="L1089" i="1"/>
  <c r="L275" i="1"/>
  <c r="L379" i="1"/>
  <c r="L503" i="1"/>
  <c r="L894" i="1"/>
  <c r="L361" i="1"/>
  <c r="L251" i="1"/>
  <c r="L528" i="1"/>
  <c r="L494" i="1"/>
  <c r="L412" i="1"/>
  <c r="L1027" i="1"/>
  <c r="L715" i="1"/>
  <c r="L212" i="1"/>
  <c r="L339" i="1"/>
  <c r="L643" i="1"/>
  <c r="L233" i="1"/>
  <c r="L380" i="1"/>
  <c r="L560" i="1"/>
  <c r="L222" i="1"/>
  <c r="L555" i="1"/>
  <c r="L453" i="1"/>
  <c r="L88" i="1"/>
  <c r="L283" i="1"/>
  <c r="L545" i="1"/>
  <c r="L438" i="1"/>
  <c r="L227" i="1"/>
  <c r="L543" i="1"/>
  <c r="L563" i="1"/>
  <c r="L1135" i="1"/>
  <c r="L518" i="1"/>
  <c r="L542" i="1"/>
  <c r="L541" i="1"/>
  <c r="L822" i="1"/>
  <c r="L1081" i="1"/>
  <c r="L439" i="1"/>
  <c r="L158" i="1"/>
  <c r="L510" i="1"/>
  <c r="L345" i="1"/>
  <c r="L502" i="1"/>
  <c r="L69" i="1"/>
  <c r="L1149" i="1"/>
  <c r="L475" i="1"/>
  <c r="L672" i="1"/>
  <c r="L77" i="1"/>
  <c r="L616" i="1"/>
  <c r="L303" i="1"/>
  <c r="L656" i="1"/>
  <c r="L566" i="1"/>
  <c r="L1041" i="1"/>
  <c r="L576" i="1"/>
  <c r="L48" i="1"/>
  <c r="L496" i="1"/>
  <c r="L1019" i="1"/>
  <c r="L493" i="1"/>
  <c r="L1048" i="1"/>
  <c r="L667" i="1"/>
  <c r="L1124" i="1"/>
  <c r="L205" i="1"/>
  <c r="L665" i="1"/>
  <c r="L1147" i="1"/>
  <c r="L539" i="1"/>
  <c r="L442" i="1"/>
  <c r="L533" i="1"/>
  <c r="L299" i="1"/>
  <c r="L501" i="1"/>
  <c r="L499" i="1"/>
  <c r="L1021" i="1"/>
  <c r="L986" i="1"/>
  <c r="L638" i="1"/>
  <c r="L963" i="1"/>
  <c r="L650" i="1"/>
  <c r="L522" i="1"/>
  <c r="L176" i="1"/>
  <c r="L237" i="1"/>
  <c r="L491" i="1"/>
  <c r="L1136" i="1"/>
  <c r="L467" i="1"/>
  <c r="L23" i="1"/>
  <c r="L760" i="1"/>
  <c r="L432" i="1"/>
  <c r="L385" i="1"/>
  <c r="L415" i="1"/>
  <c r="L466" i="1"/>
  <c r="L810" i="1"/>
  <c r="L465" i="1"/>
  <c r="L306" i="1"/>
  <c r="L470" i="1"/>
  <c r="L156" i="1"/>
  <c r="L444" i="1"/>
  <c r="L340" i="1"/>
  <c r="L1148" i="1"/>
  <c r="L1123" i="1"/>
  <c r="L851" i="1"/>
  <c r="L254" i="1"/>
  <c r="L446" i="1"/>
  <c r="L434" i="1"/>
  <c r="L187" i="1"/>
  <c r="L416" i="1"/>
  <c r="L435" i="1"/>
  <c r="L223" i="1"/>
  <c r="L706" i="1"/>
  <c r="L464" i="1"/>
  <c r="L476" i="1"/>
  <c r="L463" i="1"/>
  <c r="L1071" i="1"/>
  <c r="L540" i="1"/>
  <c r="L314" i="1"/>
  <c r="L701" i="1"/>
  <c r="L561" i="1"/>
  <c r="L452" i="1"/>
  <c r="L958" i="1"/>
  <c r="L462" i="1"/>
  <c r="L401" i="1"/>
  <c r="L1096" i="1"/>
  <c r="L544" i="1"/>
  <c r="L302" i="1"/>
  <c r="L399" i="1"/>
  <c r="L196" i="1"/>
  <c r="L516" i="1"/>
  <c r="L1068" i="1"/>
  <c r="L554" i="1"/>
  <c r="L199" i="1"/>
  <c r="L208" i="1"/>
  <c r="L105" i="1"/>
  <c r="L548" i="1"/>
  <c r="L106" i="1"/>
  <c r="L809" i="1"/>
  <c r="L1144" i="1"/>
  <c r="L123" i="1"/>
  <c r="L668" i="1"/>
  <c r="L1077" i="1"/>
  <c r="L326" i="1"/>
  <c r="L197" i="1"/>
  <c r="L293" i="1"/>
  <c r="L301" i="1"/>
  <c r="L683" i="1"/>
  <c r="L287" i="1"/>
  <c r="L454" i="1"/>
  <c r="L376" i="1"/>
  <c r="L768" i="1"/>
  <c r="L711" i="1"/>
  <c r="L389" i="1"/>
  <c r="L396" i="1"/>
  <c r="L297" i="1"/>
  <c r="L482" i="1"/>
  <c r="L1074" i="1"/>
  <c r="L1203" i="1"/>
  <c r="L260" i="1"/>
  <c r="L445" i="1"/>
  <c r="L209" i="1"/>
  <c r="L1176" i="1"/>
  <c r="L386" i="1"/>
  <c r="L404" i="1"/>
  <c r="L375" i="1"/>
  <c r="L292" i="1"/>
  <c r="L1022" i="1"/>
  <c r="L291" i="1"/>
  <c r="L296" i="1"/>
  <c r="L236" i="1"/>
  <c r="L621" i="1"/>
  <c r="L269" i="1"/>
  <c r="L732" i="1"/>
  <c r="L1151" i="1"/>
  <c r="L140" i="1"/>
  <c r="L25" i="1"/>
  <c r="L353" i="1"/>
  <c r="L290" i="1"/>
  <c r="L286" i="1"/>
  <c r="L1037" i="1"/>
  <c r="L18" i="1"/>
  <c r="L354" i="1"/>
  <c r="L349" i="1"/>
  <c r="L392" i="1"/>
  <c r="L169" i="1"/>
  <c r="L203" i="1"/>
  <c r="L172" i="1"/>
  <c r="L562" i="1"/>
  <c r="L11" i="1"/>
  <c r="L371" i="1"/>
  <c r="L360" i="1"/>
  <c r="L370" i="1"/>
  <c r="L368" i="1"/>
  <c r="L331" i="1"/>
  <c r="L387" i="1"/>
  <c r="L246" i="1"/>
  <c r="L204" i="1"/>
  <c r="L346" i="1"/>
  <c r="L741" i="1"/>
  <c r="L344" i="1"/>
  <c r="L341" i="1"/>
  <c r="L289" i="1"/>
  <c r="L357" i="1"/>
  <c r="L367" i="1"/>
  <c r="L312" i="1"/>
  <c r="L1014" i="1"/>
  <c r="L338" i="1"/>
  <c r="L352" i="1"/>
  <c r="L846" i="1"/>
  <c r="L337" i="1"/>
  <c r="L1116" i="1"/>
  <c r="L1040" i="1"/>
  <c r="L43" i="1"/>
  <c r="L334" i="1"/>
  <c r="L333" i="1"/>
  <c r="L332" i="1"/>
  <c r="L207" i="1"/>
  <c r="L19" i="1"/>
  <c r="L170" i="1"/>
  <c r="L1100" i="1"/>
  <c r="L99" i="1"/>
  <c r="L719" i="1"/>
  <c r="L669" i="1"/>
  <c r="L707" i="1"/>
  <c r="L620" i="1"/>
  <c r="L373" i="1"/>
  <c r="L374" i="1"/>
  <c r="L270" i="1"/>
  <c r="L469" i="1"/>
  <c r="L477" i="1"/>
  <c r="L558" i="1"/>
  <c r="L608" i="1"/>
  <c r="L281" i="1"/>
  <c r="L859" i="1"/>
  <c r="L152" i="1"/>
  <c r="L429" i="1"/>
  <c r="L1094" i="1"/>
  <c r="L174" i="1"/>
  <c r="L515" i="1"/>
  <c r="L309" i="1"/>
  <c r="L1172" i="1"/>
  <c r="L428" i="1"/>
  <c r="L895" i="1"/>
  <c r="L733" i="1"/>
  <c r="L738" i="1"/>
  <c r="L970" i="1"/>
  <c r="L651" i="1"/>
  <c r="L1032" i="1"/>
  <c r="L823" i="1"/>
  <c r="L618" i="1"/>
  <c r="L513" i="1"/>
  <c r="L1163" i="1"/>
  <c r="L61" i="1"/>
  <c r="L252" i="1"/>
  <c r="L911" i="1"/>
  <c r="L441" i="1"/>
  <c r="L358" i="1"/>
  <c r="L145" i="1"/>
  <c r="L1153" i="1"/>
  <c r="L737" i="1"/>
  <c r="L163" i="1"/>
  <c r="L1012" i="1"/>
  <c r="L589" i="1"/>
  <c r="L38" i="1"/>
  <c r="L1036" i="1"/>
  <c r="L288" i="1"/>
  <c r="L827" i="1"/>
  <c r="L1170" i="1"/>
  <c r="L336" i="1"/>
  <c r="L634" i="1"/>
  <c r="L427" i="1"/>
  <c r="L154" i="1"/>
  <c r="L50" i="1"/>
  <c r="L220" i="1"/>
  <c r="L662" i="1"/>
  <c r="L1093" i="1"/>
  <c r="L1117" i="1"/>
  <c r="L253" i="1"/>
  <c r="L629" i="1"/>
  <c r="L213" i="1"/>
  <c r="L989" i="1"/>
  <c r="L671" i="1"/>
  <c r="L136" i="1"/>
  <c r="L59" i="1"/>
  <c r="L897" i="1"/>
  <c r="L814" i="1"/>
  <c r="L713" i="1"/>
  <c r="L919" i="1"/>
  <c r="L1065" i="1"/>
  <c r="L1025" i="1"/>
  <c r="L1013" i="1"/>
  <c r="L324" i="1"/>
  <c r="L1083" i="1"/>
  <c r="L304" i="1"/>
  <c r="L1146" i="1"/>
  <c r="L537" i="1"/>
  <c r="L211" i="1"/>
  <c r="L575" i="1"/>
  <c r="L1051" i="1"/>
  <c r="L1166" i="1"/>
  <c r="L681" i="1"/>
  <c r="L905" i="1"/>
  <c r="L1056" i="1"/>
  <c r="L712" i="1"/>
  <c r="L479" i="1"/>
  <c r="L588" i="1"/>
  <c r="L144" i="1"/>
  <c r="L1034" i="1"/>
  <c r="L749" i="1"/>
  <c r="L150" i="1"/>
  <c r="L536" i="1"/>
  <c r="L696" i="1"/>
  <c r="L590" i="1"/>
  <c r="L343" i="1"/>
  <c r="L84" i="1"/>
  <c r="L474" i="1"/>
  <c r="L1061" i="1"/>
  <c r="L1101" i="1"/>
  <c r="L637" i="1"/>
  <c r="L730" i="1"/>
  <c r="L22" i="1"/>
  <c r="L520" i="1"/>
  <c r="L670" i="1"/>
  <c r="L238" i="1"/>
  <c r="L384" i="1"/>
  <c r="L1104" i="1"/>
  <c r="L1029" i="1"/>
  <c r="L648" i="1"/>
  <c r="L1184" i="1"/>
  <c r="L490" i="1"/>
  <c r="L604" i="1"/>
  <c r="L633" i="1"/>
  <c r="L277" i="1"/>
  <c r="L138" i="1"/>
  <c r="L1058" i="1"/>
  <c r="L480" i="1"/>
  <c r="L266" i="1"/>
  <c r="L272" i="1"/>
  <c r="L263" i="1"/>
  <c r="L680" i="1"/>
  <c r="L206" i="1"/>
  <c r="L652" i="1"/>
  <c r="L117" i="1"/>
  <c r="L598" i="1"/>
  <c r="L1085" i="1"/>
  <c r="L569" i="1"/>
  <c r="L1202" i="1"/>
  <c r="L124" i="1"/>
  <c r="L724" i="1"/>
  <c r="L624" i="1"/>
  <c r="L395" i="1"/>
  <c r="L274" i="1"/>
  <c r="L702" i="1"/>
  <c r="L100" i="1"/>
  <c r="L546" i="1"/>
  <c r="L323" i="1"/>
  <c r="L567" i="1"/>
  <c r="L457" i="1"/>
  <c r="L421" i="1"/>
  <c r="L819" i="1"/>
  <c r="L564" i="1"/>
  <c r="L1168" i="1"/>
  <c r="L134" i="1"/>
  <c r="L535" i="1"/>
  <c r="L1154" i="1"/>
  <c r="L408" i="1"/>
  <c r="L1133" i="1"/>
  <c r="L655" i="1"/>
  <c r="L231" i="1"/>
  <c r="L280" i="1"/>
  <c r="L359" i="1"/>
  <c r="L214" i="1"/>
  <c r="L259" i="1"/>
  <c r="L335" i="1"/>
  <c r="L279" i="1"/>
  <c r="L271" i="1"/>
  <c r="L64" i="1"/>
  <c r="L609" i="1"/>
  <c r="L1145" i="1"/>
  <c r="L1121" i="1"/>
  <c r="L663" i="1"/>
  <c r="L131" i="1"/>
  <c r="L893" i="1"/>
  <c r="L641" i="1"/>
  <c r="L225" i="1"/>
  <c r="L224" i="1"/>
  <c r="L855" i="1"/>
  <c r="L1008" i="1"/>
  <c r="L1066" i="1"/>
  <c r="L1007" i="1"/>
  <c r="L1128" i="1"/>
  <c r="L129" i="1"/>
  <c r="L1006" i="1"/>
  <c r="L54" i="1"/>
  <c r="L1158" i="1"/>
  <c r="L642" i="1"/>
  <c r="L51" i="1"/>
  <c r="L622" i="1"/>
  <c r="L1138" i="1"/>
  <c r="L626" i="1"/>
  <c r="L305" i="1"/>
  <c r="L28" i="1"/>
  <c r="L350" i="1"/>
  <c r="L739" i="1"/>
  <c r="L257" i="1"/>
  <c r="L1024" i="1"/>
  <c r="L1120" i="1"/>
  <c r="L529" i="1"/>
  <c r="L519" i="1"/>
  <c r="L1017" i="1"/>
  <c r="L1091" i="1"/>
  <c r="L308" i="1"/>
  <c r="L322" i="1"/>
  <c r="L1152" i="1"/>
  <c r="L30" i="1"/>
  <c r="L603" i="1"/>
  <c r="L243" i="1"/>
  <c r="L574" i="1"/>
  <c r="L321" i="1"/>
  <c r="L200" i="1"/>
  <c r="L132" i="1"/>
  <c r="L177" i="1"/>
  <c r="L143" i="1"/>
  <c r="L1033" i="1"/>
  <c r="L151" i="1"/>
  <c r="L161" i="1"/>
  <c r="L307" i="1"/>
  <c r="L78" i="1"/>
  <c r="L1005" i="1"/>
  <c r="L188" i="1"/>
  <c r="L1143" i="1"/>
  <c r="L632" i="1"/>
  <c r="L1102" i="1"/>
  <c r="L718" i="1"/>
  <c r="L1053" i="1"/>
  <c r="L71" i="1"/>
  <c r="L966" i="1"/>
  <c r="L517" i="1"/>
  <c r="L623" i="1"/>
  <c r="L342" i="1"/>
  <c r="L325" i="1"/>
  <c r="L1064" i="1"/>
  <c r="L407" i="1"/>
  <c r="L731" i="1"/>
  <c r="L628" i="1"/>
  <c r="L587" i="1"/>
  <c r="L1110" i="1"/>
  <c r="L282" i="1"/>
  <c r="L127" i="1"/>
  <c r="L58" i="1"/>
  <c r="L625" i="1"/>
  <c r="L97" i="1"/>
  <c r="L478" i="1"/>
  <c r="L838" i="1"/>
  <c r="L864" i="1"/>
  <c r="L1198" i="1"/>
  <c r="L255" i="1"/>
  <c r="L928" i="1"/>
  <c r="L56" i="1"/>
  <c r="L141" i="1"/>
  <c r="L614" i="1"/>
  <c r="L586" i="1"/>
  <c r="L1004" i="1"/>
  <c r="L1003" i="1"/>
  <c r="L1002" i="1"/>
  <c r="L1001" i="1"/>
  <c r="L1109" i="1"/>
  <c r="L611" i="1"/>
  <c r="L447" i="1"/>
  <c r="L691" i="1"/>
  <c r="L79" i="1"/>
  <c r="L1016" i="1"/>
  <c r="L120" i="1"/>
  <c r="L509" i="1"/>
  <c r="L364" i="1"/>
  <c r="L573" i="1"/>
  <c r="L418" i="1"/>
  <c r="L627" i="1"/>
  <c r="L319" i="1"/>
  <c r="L619" i="1"/>
  <c r="L679" i="1"/>
  <c r="L740" i="1"/>
  <c r="L973" i="1"/>
  <c r="L256" i="1"/>
  <c r="L365" i="1"/>
  <c r="L355" i="1"/>
  <c r="L448" i="1"/>
  <c r="L95" i="1"/>
  <c r="L572" i="1"/>
  <c r="L1010" i="1"/>
  <c r="L90" i="1"/>
  <c r="L217" i="1"/>
  <c r="L26" i="1"/>
  <c r="L73" i="1"/>
  <c r="L837" i="1"/>
  <c r="L388" i="1"/>
  <c r="L317" i="1"/>
  <c r="L383" i="1"/>
  <c r="L191" i="1"/>
  <c r="L640" i="1"/>
  <c r="L68" i="1"/>
  <c r="L328" i="1"/>
  <c r="L600" i="1"/>
  <c r="L1160" i="1"/>
  <c r="L565" i="1"/>
  <c r="L597" i="1"/>
  <c r="L468" i="1"/>
  <c r="L742" i="1"/>
  <c r="L1080" i="1"/>
  <c r="L1204" i="1"/>
  <c r="L1099" i="1"/>
  <c r="L437" i="1"/>
  <c r="L585" i="1"/>
  <c r="L584" i="1"/>
  <c r="L247" i="1"/>
  <c r="L351" i="1"/>
  <c r="L1078" i="1"/>
  <c r="L417" i="1"/>
  <c r="L119" i="1"/>
  <c r="L690" i="1"/>
  <c r="L1018" i="1"/>
  <c r="L300" i="1"/>
  <c r="L316" i="1"/>
  <c r="L1200" i="1"/>
  <c r="L1076" i="1"/>
  <c r="L1111" i="1"/>
  <c r="L532" i="1"/>
  <c r="L391" i="1"/>
  <c r="L443" i="1"/>
  <c r="L592" i="1"/>
  <c r="L459" i="1"/>
  <c r="L901" i="1"/>
  <c r="L1175" i="1"/>
  <c r="L215" i="1"/>
  <c r="L433" i="1"/>
  <c r="L168" i="1"/>
  <c r="L148" i="1"/>
  <c r="L193" i="1"/>
  <c r="L102" i="1"/>
  <c r="L108" i="1"/>
  <c r="L1157" i="1"/>
  <c r="L96" i="1"/>
  <c r="L583" i="1"/>
  <c r="L654" i="1"/>
  <c r="L607" i="1"/>
  <c r="L489" i="1"/>
  <c r="L473" i="1"/>
  <c r="L92" i="1"/>
  <c r="L594" i="1"/>
  <c r="L571" i="1"/>
  <c r="L673" i="1"/>
  <c r="L1011" i="1"/>
  <c r="L456" i="1"/>
  <c r="L460" i="1"/>
  <c r="L550" i="1"/>
  <c r="L122" i="1"/>
  <c r="L348" i="1"/>
  <c r="L1049" i="1"/>
  <c r="L436" i="1"/>
  <c r="L666" i="1"/>
  <c r="L285" i="1"/>
  <c r="L595" i="1"/>
  <c r="L547" i="1"/>
  <c r="L645" i="1"/>
  <c r="L593" i="1"/>
  <c r="L440" i="1"/>
  <c r="L551" i="1"/>
  <c r="L1088" i="1"/>
  <c r="L1087" i="1"/>
  <c r="L315" i="1"/>
  <c r="L1084" i="1"/>
  <c r="L14" i="1"/>
  <c r="L9" i="1"/>
  <c r="L1150" i="1"/>
  <c r="L591" i="1"/>
  <c r="L250" i="1"/>
  <c r="L1183" i="1"/>
  <c r="L636" i="1"/>
  <c r="L660" i="1"/>
  <c r="L461" i="1"/>
  <c r="L992" i="1"/>
  <c r="L717" i="1"/>
</calcChain>
</file>

<file path=xl/sharedStrings.xml><?xml version="1.0" encoding="utf-8"?>
<sst xmlns="http://schemas.openxmlformats.org/spreadsheetml/2006/main" count="21553" uniqueCount="7653">
  <si>
    <t>Табельный номер / Employee ID</t>
  </si>
  <si>
    <t>Физлицо / Owner</t>
  </si>
  <si>
    <t>История модернизаций, ремонтов / Modernisation, repairing history</t>
  </si>
  <si>
    <t>Тип домена / Domain Type</t>
  </si>
  <si>
    <t>Имя на английском / English name</t>
  </si>
  <si>
    <t>Должность / Position (Rus / Eng)</t>
  </si>
  <si>
    <t>Отдел / Department</t>
  </si>
  <si>
    <t>Комплектация / Equipment</t>
  </si>
  <si>
    <t>Тип и модель ПК / PC type and model</t>
  </si>
  <si>
    <t>Инвентарный номер / Inventory number</t>
  </si>
  <si>
    <t>Серийный номер / Serial Number</t>
  </si>
  <si>
    <t>Имя компьютера / PC Domain Name</t>
  </si>
  <si>
    <t>Passwork</t>
  </si>
  <si>
    <t>Тип ПО офис / Office type</t>
  </si>
  <si>
    <t>Ключ офиса / License key Office</t>
  </si>
  <si>
    <t>ОС тип / OS Type</t>
  </si>
  <si>
    <t>Ключ ОС / Key OS</t>
  </si>
  <si>
    <t>ПО удалённого управления / Remote control</t>
  </si>
  <si>
    <t>Админ права / Admin permissions</t>
  </si>
  <si>
    <t>Кто подготовил / Who installed</t>
  </si>
  <si>
    <t>Дата выдачи / Issue Date</t>
  </si>
  <si>
    <t>Дата покупки / Purchasing Date</t>
  </si>
  <si>
    <t>Примечание / Comment</t>
  </si>
  <si>
    <t>Живов Сергей Викторович</t>
  </si>
  <si>
    <t>Модернизация не требуется/normal (no need to upgrade)</t>
  </si>
  <si>
    <t>Rus</t>
  </si>
  <si>
    <t>Zhivov Sergey</t>
  </si>
  <si>
    <t>Заместитель генерального директора по производству</t>
  </si>
  <si>
    <t>15372
16019</t>
  </si>
  <si>
    <t>MD</t>
  </si>
  <si>
    <t xml:space="preserve">Laptop,mouse,bag </t>
  </si>
  <si>
    <r>
      <rPr>
        <b/>
        <sz val="12"/>
        <color rgb="FF000000"/>
        <rFont val="Times New Roman"/>
        <family val="1"/>
        <charset val="204"/>
      </rPr>
      <t>Попов Максим</t>
    </r>
    <r>
      <rPr>
        <b/>
        <sz val="12"/>
        <color rgb="FFFF9900"/>
        <rFont val="Times New Roman"/>
        <family val="1"/>
        <charset val="204"/>
      </rPr>
      <t xml:space="preserve">
</t>
    </r>
    <r>
      <rPr>
        <b/>
        <sz val="12"/>
        <color rgb="FF000000"/>
        <rFont val="Times New Roman"/>
        <family val="1"/>
        <charset val="204"/>
      </rPr>
      <t>Мухин Николай Юрьевич</t>
    </r>
    <r>
      <rPr>
        <b/>
        <sz val="12"/>
        <color rgb="FFFF9900"/>
        <rFont val="Times New Roman"/>
        <family val="1"/>
        <charset val="204"/>
      </rPr>
      <t xml:space="preserve">
</t>
    </r>
    <r>
      <rPr>
        <b/>
        <sz val="12"/>
        <color rgb="FF000000"/>
        <rFont val="Times New Roman"/>
        <family val="1"/>
        <charset val="204"/>
      </rPr>
      <t>Шостак Владимир Юрьевич 15372
Омелечко Максим Андреевич 16019</t>
    </r>
  </si>
  <si>
    <t>Lenovo ThinkBook 16 G7 ARP</t>
  </si>
  <si>
    <t>100000006135</t>
  </si>
  <si>
    <t>Popov Maxim
Mukhin Nikolay
Shostak Vladimir
Omelechko Maxim</t>
  </si>
  <si>
    <t xml:space="preserve">Мастер 2 категории
Мастер 2 категории
Мастер
Оператор </t>
  </si>
  <si>
    <t xml:space="preserve">AC, AC MS </t>
  </si>
  <si>
    <t>PW0LW3V5</t>
  </si>
  <si>
    <t>Laptop, mouse</t>
  </si>
  <si>
    <t xml:space="preserve"> AC  общий</t>
  </si>
  <si>
    <t>Внесены в Passwork</t>
  </si>
  <si>
    <t>100000006534</t>
  </si>
  <si>
    <t>Storekeeper AC 2
Акт на Попова М.</t>
  </si>
  <si>
    <t>Libre office</t>
  </si>
  <si>
    <t>плехов илья</t>
  </si>
  <si>
    <t>Storekeeper AC 2</t>
  </si>
  <si>
    <t>Windows 11 Pro</t>
  </si>
  <si>
    <t>AC PLS</t>
  </si>
  <si>
    <t>AiO, mouse, keyboard</t>
  </si>
  <si>
    <t>AiO Acer Aspire C24-2(U)</t>
  </si>
  <si>
    <t>100000006530</t>
  </si>
  <si>
    <t>93TQN-DYGPM-FPQ9C-2X3QP-4RHJ6</t>
  </si>
  <si>
    <t>PW0K0DH4</t>
  </si>
  <si>
    <t>DQBRRCD00255101A4E6N02</t>
  </si>
  <si>
    <t>Libre Office / Only office</t>
  </si>
  <si>
    <t>V47FN-FH22T-MDTD7-VYM4C-HH7J6</t>
  </si>
  <si>
    <t>ULTRAVNC / MESH</t>
  </si>
  <si>
    <t>No Administrator rights</t>
  </si>
  <si>
    <t>Мелёшкин С.</t>
  </si>
  <si>
    <t>Акт 03.04.2026</t>
  </si>
  <si>
    <t>Мелёшкин С.
Протопопов А.
Климанов А.
Протопопов А.</t>
  </si>
  <si>
    <t>Акт 21.04.2026
Акт 29.07.2026
Акт 18.08.2026 Шостак В.
Акт 21.08.2026 Омелечко М.</t>
  </si>
  <si>
    <t>С НДС 64037,8
БЕЗ НДС 52490</t>
  </si>
  <si>
    <t>С НДС 64660
БЕЗ НДС 53000</t>
  </si>
  <si>
    <t>K3CNW-F6F7C-J4WKF-JP9MR-2KC2T</t>
  </si>
  <si>
    <t>Протопопов А.</t>
  </si>
  <si>
    <t>Акт 27.05.2026</t>
  </si>
  <si>
    <t xml:space="preserve">С НДС 71601,80
БЕЗ НДС 58690        </t>
  </si>
  <si>
    <t>NEW-W1-1</t>
  </si>
  <si>
    <t xml:space="preserve">  СТАНЦИЯ РЕГАРД по тендеру RDD новые без офиса</t>
  </si>
  <si>
    <t>17402
17366</t>
  </si>
  <si>
    <t>Дудник Станислав Игоревич
Старцева Светлана Павловна</t>
  </si>
  <si>
    <t>была модернизация/upgraded (SSD 480 +RAM8)</t>
  </si>
  <si>
    <t>Dudnik Stanislav
Startseva Svetlana</t>
  </si>
  <si>
    <t>Кладовщик
Кладовщик</t>
  </si>
  <si>
    <t>Денисов Леонид Алексеевич</t>
  </si>
  <si>
    <t>PLD, DL</t>
  </si>
  <si>
    <t>Denisov Leonid</t>
  </si>
  <si>
    <t>Ведущий специалист</t>
  </si>
  <si>
    <t>CH  общий</t>
  </si>
  <si>
    <t>Storekeeper CH 2
Акт на Трофимова В.</t>
  </si>
  <si>
    <t>GD, GA, RMG</t>
  </si>
  <si>
    <t>AiO Lenovo M800Z</t>
  </si>
  <si>
    <t>150000024/Z000122</t>
  </si>
  <si>
    <t>100000007082</t>
  </si>
  <si>
    <t>PC0KDWED</t>
  </si>
  <si>
    <t>DQBR8CD00255101D3C6N02</t>
  </si>
  <si>
    <t>2019 for home and business</t>
  </si>
  <si>
    <t>Trofimov Vladimir</t>
  </si>
  <si>
    <t>6N3DP-YV6DT-K4FQX-MDWCH-DRVH6</t>
  </si>
  <si>
    <t>Windows 10 Pro</t>
  </si>
  <si>
    <t>Storekeeper CH</t>
  </si>
  <si>
    <t>CH, CH PLD, CH DL</t>
  </si>
  <si>
    <t>HNX6D-4KHRV-V3JPH-FXYTT-XQBP2</t>
  </si>
  <si>
    <t>2016 for home and business</t>
  </si>
  <si>
    <t>RP4NM-FQHT2-YQWDG-X9WJF-HQXCT</t>
  </si>
  <si>
    <t>Летунов А.</t>
  </si>
  <si>
    <t>RDC (BSS)</t>
  </si>
  <si>
    <t>Акт 29.08.2026</t>
  </si>
  <si>
    <t xml:space="preserve">С НДС 73700,2
БЕЗ НДС 60410,00        </t>
  </si>
  <si>
    <t>WorkStation,monitor(Хiaomi A24i s/n ),mouse,keyboard</t>
  </si>
  <si>
    <t>Кудрявцев Д.
Протопопов А.</t>
  </si>
  <si>
    <t>Workstation Регард K01274</t>
  </si>
  <si>
    <t>поставить на учет</t>
  </si>
  <si>
    <t>Акт 03.08.2026
Акт 29.09.2026</t>
  </si>
  <si>
    <t>Верняев Александр Сергеевич</t>
  </si>
  <si>
    <t>K0127433</t>
  </si>
  <si>
    <t>DQBR8CD00255101D066N02</t>
  </si>
  <si>
    <t>Vernyaev Aleksandr</t>
  </si>
  <si>
    <t>Заместитель директора департамента</t>
  </si>
  <si>
    <t>10150
16550</t>
  </si>
  <si>
    <t>HRD</t>
  </si>
  <si>
    <t>Плехов Илья Михайлович
Рыбакова Валерия Николаевна</t>
  </si>
  <si>
    <t>Plekhov Ilya
Valeria Rybakova</t>
  </si>
  <si>
    <t>Начальник участка
Мастер 3 категории</t>
  </si>
  <si>
    <t>AC, AC PLS
AC, AC PLS</t>
  </si>
  <si>
    <t>100000006147</t>
  </si>
  <si>
    <t>Laptop,mouse,bag</t>
  </si>
  <si>
    <t>PW0LW3NJ</t>
  </si>
  <si>
    <t>RUTL-PW0LW3NJ</t>
  </si>
  <si>
    <t>KF77M-7XNFW-JWQD4-W6M6M-88GPT</t>
  </si>
  <si>
    <t>Laptop IRBIS 17NBP4502</t>
  </si>
  <si>
    <t>100000004239</t>
  </si>
  <si>
    <t>F2717NBP4502103035</t>
  </si>
  <si>
    <t>Протопопов А.
Мелёшкин С.</t>
  </si>
  <si>
    <t>39D7B-N3MY4-H97DG-KW8RW-78TTG</t>
  </si>
  <si>
    <t>Акт 08.04.2026
Акт 24.06.2026</t>
  </si>
  <si>
    <t>NYTDB-CYDWG-7Q42K-K3WPQ-H222T</t>
  </si>
  <si>
    <t>Акт 01.07.2026 на Трофимова В.</t>
  </si>
  <si>
    <t>NEW-W1-2</t>
  </si>
  <si>
    <t>7606
841</t>
  </si>
  <si>
    <t>Судоргин Андрей Николаевич
Васильев Василий Сергеевич</t>
  </si>
  <si>
    <t>Sudorgin Andrey
Vasilyev Vasily</t>
  </si>
  <si>
    <t>Начальник участка
Начальник участка</t>
  </si>
  <si>
    <t>CH, CH MD, CH AS</t>
  </si>
  <si>
    <t>Laptop,mouse</t>
  </si>
  <si>
    <t>100000006141</t>
  </si>
  <si>
    <t>K0127436</t>
  </si>
  <si>
    <t>PW0LW3RV</t>
  </si>
  <si>
    <t>Storekeeper CH 3
Акт на Трофимова В.</t>
  </si>
  <si>
    <t xml:space="preserve">
Libre office</t>
  </si>
  <si>
    <t>XGMN2-6PK4G-34J7P-2P2P4-GXX86</t>
  </si>
  <si>
    <t>Мартынов Д.
Протопопов А.</t>
  </si>
  <si>
    <t>Акт 02.04.2026
Акт 21.09.2026</t>
  </si>
  <si>
    <t>100000006508</t>
  </si>
  <si>
    <t>DQBR8CD00255101D306N02</t>
  </si>
  <si>
    <t>VK7JG-NPHTM-C97JM-9MPGT-3V66T</t>
  </si>
  <si>
    <t>NEW-W1-3</t>
  </si>
  <si>
    <t>Кудрявцев Д.</t>
  </si>
  <si>
    <t>Акт 24.03.2025</t>
  </si>
  <si>
    <t>16832
18093
7535</t>
  </si>
  <si>
    <t>Костин Константин Николаевич
Козлов Иван Дмитриевич
Баранюк Руслан Иванович</t>
  </si>
  <si>
    <t>K0127437</t>
  </si>
  <si>
    <t>Kostin Konstantin
Kozlov Ivan
Baranyuk Ruslan</t>
  </si>
  <si>
    <t>Мастер 1 категории
Мастер 2 категории
Мастер 2 категории</t>
  </si>
  <si>
    <t>100000006993</t>
  </si>
  <si>
    <t>T2GRN-FXCD9-XMVCY-J6JTJ-CPQW6</t>
  </si>
  <si>
    <t>PW0K0DQB</t>
  </si>
  <si>
    <t>NMQFQ-M2XFM-Y87RR-XGY3Q-63B6G</t>
  </si>
  <si>
    <t>Кудрявцев Д.
Протопопов А.
Кудрявцев Д.</t>
  </si>
  <si>
    <t>Акт 11.07.2026 Костин К.
Акт 08.09.2026 Козлов И.
Акт 15.09.2026 Баранюк Р.</t>
  </si>
  <si>
    <t>NEW-W1-4</t>
  </si>
  <si>
    <t>K0127431</t>
  </si>
  <si>
    <t>Онуфриев Сергей Юрьевич</t>
  </si>
  <si>
    <t>Onufriev Sergey</t>
  </si>
  <si>
    <t>Директор департамента</t>
  </si>
  <si>
    <t>M&amp;U</t>
  </si>
  <si>
    <t>17424
774</t>
  </si>
  <si>
    <t>Вейман Александр Владимирович
Сысоев Станислав Викторович</t>
  </si>
  <si>
    <t>Veyman Aleksandr
Sysoev Stanislav</t>
  </si>
  <si>
    <t>Laptop MSI Modern 15 F1MG-800XRU</t>
  </si>
  <si>
    <t>100000005411</t>
  </si>
  <si>
    <t>100000006994</t>
  </si>
  <si>
    <t>PW0K0DDW</t>
  </si>
  <si>
    <t>C2507N0002971</t>
  </si>
  <si>
    <t>KMWDW-TN3WY-H66MW-HTRWY-PR4TG</t>
  </si>
  <si>
    <t>Training_Engine 
Акт на Тырина С.</t>
  </si>
  <si>
    <t>NEW-L2-1</t>
  </si>
  <si>
    <t>FNKPJ-D474G-6KX2R-DHVCM-TXX2P</t>
  </si>
  <si>
    <t>MSI по тендеру RDD новые без офиса</t>
  </si>
  <si>
    <t>No administrator rights</t>
  </si>
  <si>
    <t>была модернизация/upgraded (SSD)+ram (ЛОЖЬ)</t>
  </si>
  <si>
    <t>Акт 04/04/2026</t>
  </si>
  <si>
    <t>Акт 29.07.2026
Акт 21.09.2026</t>
  </si>
  <si>
    <t>Стоимость ПК без НДС 59 160руб</t>
  </si>
  <si>
    <t>Laptop</t>
  </si>
  <si>
    <t>100000005131</t>
  </si>
  <si>
    <t>Общий для обучения Engine Shop</t>
  </si>
  <si>
    <t>ES MD</t>
  </si>
  <si>
    <t>6525
16231</t>
  </si>
  <si>
    <t>C2507N0002756</t>
  </si>
  <si>
    <r>
      <rPr>
        <b/>
        <sz val="12"/>
        <color rgb="FF000000"/>
        <rFont val="Times New Roman"/>
        <family val="1"/>
        <charset val="204"/>
      </rPr>
      <t xml:space="preserve">Дудникова Светлана Алексеевна
</t>
    </r>
    <r>
      <rPr>
        <b/>
        <sz val="12"/>
        <color rgb="FF000000"/>
        <rFont val="Times New Roman"/>
        <family val="1"/>
        <charset val="204"/>
      </rPr>
      <t>Филатова Екатерина Константиновна</t>
    </r>
  </si>
  <si>
    <t>Самойленко Антон Викторович</t>
  </si>
  <si>
    <t>Dudnikova Svetlana
Filatova Ekaterina</t>
  </si>
  <si>
    <t>Технолог 1 категории
Техник 1 категории</t>
  </si>
  <si>
    <t>Laptop Lenovo V110</t>
  </si>
  <si>
    <t>Samoylenko Anton</t>
  </si>
  <si>
    <t>CH, CH Q&amp;T, CH PT</t>
  </si>
  <si>
    <t>laptop,mouse,bag</t>
  </si>
  <si>
    <t>00000010782</t>
  </si>
  <si>
    <t>100000005387</t>
  </si>
  <si>
    <t>100000006111</t>
  </si>
  <si>
    <t>DQBRRCD00255101A8E6N02</t>
  </si>
  <si>
    <t>C2509N0008357</t>
  </si>
  <si>
    <t>MS Office 2019 Pro Plus</t>
  </si>
  <si>
    <t>NVP38-3P3F3-FDCCY-CPFYW-MTFW6</t>
  </si>
  <si>
    <t>HN6RT-B4HJP-KMKFG-G3VPV-4C2TC</t>
  </si>
  <si>
    <t>Акт 25.02.2026</t>
  </si>
  <si>
    <t>BNFW9-RYGT9-GTPFV-MV86F-BY6PT</t>
  </si>
  <si>
    <t>Акт 11.04.2026
Акт 04.09.2026</t>
  </si>
  <si>
    <t>С НДС 58690
БЕЗ НДС 71601,8</t>
  </si>
  <si>
    <t>Зорин Сергей Александрович</t>
  </si>
  <si>
    <t>Модернизация не требуется/normal (no need to upgrade) Заменён SSD 256гб.</t>
  </si>
  <si>
    <t>Zorin Sergey</t>
  </si>
  <si>
    <t>NEW-L2-2</t>
  </si>
  <si>
    <t>13653
15924</t>
  </si>
  <si>
    <t>Симонов Роман Дмитриевич 13653
Кузнецов Григорий Николаевич 15924</t>
  </si>
  <si>
    <t>Simonov Roman
Kuznetsov Grigory</t>
  </si>
  <si>
    <t>Техник 1 категории</t>
  </si>
  <si>
    <t>100000005185</t>
  </si>
  <si>
    <t>R90QFPYA</t>
  </si>
  <si>
    <t>100000006509</t>
  </si>
  <si>
    <t>C2507N0002947</t>
  </si>
  <si>
    <t>DQBRRCD00255101A556N02</t>
  </si>
  <si>
    <t>Руководитель отдела</t>
  </si>
  <si>
    <t>GD, CONSTR</t>
  </si>
  <si>
    <t>Протопопов А.
Климанов А.</t>
  </si>
  <si>
    <t>Акт 14.05.2026
Акт 18.08.2026</t>
  </si>
  <si>
    <t>RUTL-R90QFPYA</t>
  </si>
  <si>
    <t>Workstation, Монитор Lenovo ThinkVision T2424z</t>
  </si>
  <si>
    <t>Workstation Lenovo ThinkStation P310</t>
  </si>
  <si>
    <t>150000029/Z000114</t>
  </si>
  <si>
    <t>S4BP0247</t>
  </si>
  <si>
    <t>NEW-L2-3</t>
  </si>
  <si>
    <t>P3W88-4NBCQ-K46F6-GPYDV-DRR9C</t>
  </si>
  <si>
    <t>ULTRAVNC</t>
  </si>
  <si>
    <t>NG4G6-G48KR-PVXC7-HYM9T-P7JXC</t>
  </si>
  <si>
    <t>16386
10747</t>
  </si>
  <si>
    <t>C2507N0002757</t>
  </si>
  <si>
    <t>Никитина Анна Викторовна
Янтикова Алёна Владимировна</t>
  </si>
  <si>
    <t>Nikitina Anna
Yantikova Alena</t>
  </si>
  <si>
    <t>Техник 1 категории
Технолог 3 категории</t>
  </si>
  <si>
    <t>100000006510</t>
  </si>
  <si>
    <t>Акт 10.04.2026</t>
  </si>
  <si>
    <t>DQBRRCD00255101A996N02</t>
  </si>
  <si>
    <t>XMDFX-8RN6K-RVKTF-DWPHF-8B6PT</t>
  </si>
  <si>
    <t>Акт 19.05.2026
Акт 22.09.2026</t>
  </si>
  <si>
    <t>NEW-L2-4</t>
  </si>
  <si>
    <t>100000005190</t>
  </si>
  <si>
    <t>C2507N0002820</t>
  </si>
  <si>
    <t>Каприца Светлана Олеговна</t>
  </si>
  <si>
    <t>Kapritsa Svetlana</t>
  </si>
  <si>
    <t>5075
6382</t>
  </si>
  <si>
    <t>Руководитель офисной группы</t>
  </si>
  <si>
    <r>
      <rPr>
        <b/>
        <sz val="12"/>
        <color theme="1"/>
        <rFont val="Times New Roman"/>
        <family val="1"/>
        <charset val="204"/>
      </rPr>
      <t xml:space="preserve">Никитин Евгений Анатольевич
</t>
    </r>
    <r>
      <rPr>
        <b/>
        <sz val="12"/>
        <color theme="1"/>
        <rFont val="Times New Roman"/>
        <family val="1"/>
        <charset val="204"/>
      </rPr>
      <t>Жариков Евгений Александрович</t>
    </r>
  </si>
  <si>
    <t>NOBO, NOBO GA</t>
  </si>
  <si>
    <t xml:space="preserve">Training_Engine 
Акт на Тырина С </t>
  </si>
  <si>
    <t>Laptop,mouse+Lan-USB+bag</t>
  </si>
  <si>
    <t>была модернизация/upgraded (SSD) 12ram</t>
  </si>
  <si>
    <t>Nikitin Evgeniy
Zharikov Evgeny</t>
  </si>
  <si>
    <t>Laptop Dell Inspiron 15 3511</t>
  </si>
  <si>
    <t>Начальник смены
Мастер 2 категории</t>
  </si>
  <si>
    <t>CH,CH MD,CH S&amp;W</t>
  </si>
  <si>
    <t>100000001659</t>
  </si>
  <si>
    <t>100000006118</t>
  </si>
  <si>
    <t>PW0LW3SL</t>
  </si>
  <si>
    <t>5MB0JK3</t>
  </si>
  <si>
    <t>NEW-L2-5</t>
  </si>
  <si>
    <t>00000011065</t>
  </si>
  <si>
    <t>C2507N0002775</t>
  </si>
  <si>
    <t>NY4W2-7J38J-YB6DT-TM22V-4C22T</t>
  </si>
  <si>
    <t>Протопопов А.
Протопопов А.</t>
  </si>
  <si>
    <t>Акт 03.04.2026
Акт 07.09.2026</t>
  </si>
  <si>
    <t>Мартынов Д.</t>
  </si>
  <si>
    <t>Акт 26.01.2026</t>
  </si>
  <si>
    <t>БЕЗ НДС  81250,00
с НДС 97500</t>
  </si>
  <si>
    <t>NEW-L2-6</t>
  </si>
  <si>
    <t>R90QN4WX</t>
  </si>
  <si>
    <t>100000005477</t>
  </si>
  <si>
    <t>C2507N0002749</t>
  </si>
  <si>
    <t>RUTL-R90QN4WX</t>
  </si>
  <si>
    <t xml:space="preserve"> </t>
  </si>
  <si>
    <t>Райкова Любовь Владимировна</t>
  </si>
  <si>
    <t>16537
15956</t>
  </si>
  <si>
    <t xml:space="preserve">Raikova Lyubov </t>
  </si>
  <si>
    <t>Руководитель группы</t>
  </si>
  <si>
    <t>Калдузов Алексей Иванович
Шлёнский Сергей Петрович</t>
  </si>
  <si>
    <t>RDC, BSSS</t>
  </si>
  <si>
    <t>Laptop,mouse, Monitor MSI-27</t>
  </si>
  <si>
    <t>Kalduzov Alexey
Sergey Shlensky</t>
  </si>
  <si>
    <t>Начальник смены
Мастер 3 категории</t>
  </si>
  <si>
    <t>100000005120</t>
  </si>
  <si>
    <t>100000006727</t>
  </si>
  <si>
    <t>C2507N0002983</t>
  </si>
  <si>
    <t>NGGRK-WJ4RW-T9MVW-RTBPM-BBH22</t>
  </si>
  <si>
    <t>R767N-6J8WQ-GC3FW-R6YC8-W44C2</t>
  </si>
  <si>
    <t>Admin</t>
  </si>
  <si>
    <t>Акт 07.04.2026</t>
  </si>
  <si>
    <t>PW0K0D45</t>
  </si>
  <si>
    <t>NEW-L2-7</t>
  </si>
  <si>
    <t>Акт 03.12.2025</t>
  </si>
  <si>
    <t>Стоимость ПК без НДС  59 160руб</t>
  </si>
  <si>
    <t>БЕЗ НДС 33806,78, С НДС 39892</t>
  </si>
  <si>
    <t>G6HMN-FRGJ2-R2T33-MPYT3-GF4TG</t>
  </si>
  <si>
    <t>C2507N0002774</t>
  </si>
  <si>
    <t>Акт 29.05.2026
Акт 07.09.2026</t>
  </si>
  <si>
    <t>Терехов Максим Сергеевич</t>
  </si>
  <si>
    <r>
      <rPr>
        <sz val="14"/>
        <color rgb="FF006100"/>
        <rFont val="Times New Roman"/>
        <family val="1"/>
        <charset val="204"/>
      </rPr>
      <t xml:space="preserve">Модернизация не требуется/normal (no need to upgrade) \ </t>
    </r>
    <r>
      <rPr>
        <sz val="14"/>
        <color rgb="FFFF0000"/>
        <rFont val="Times New Roman"/>
        <family val="1"/>
        <charset val="204"/>
      </rPr>
      <t xml:space="preserve">Отказ от замены Пк </t>
    </r>
  </si>
  <si>
    <t>NEW-L2-8</t>
  </si>
  <si>
    <t>Terekhov Maksim</t>
  </si>
  <si>
    <t>Заместитель главного энергетика</t>
  </si>
  <si>
    <t>100000005177</t>
  </si>
  <si>
    <t>M&amp;U, MTC UTL</t>
  </si>
  <si>
    <t>C2507N0002598</t>
  </si>
  <si>
    <t>Workstation,mouse, keyboard+ Monitor LG</t>
  </si>
  <si>
    <t>Workstation Lenovo ThinkStation P 320</t>
  </si>
  <si>
    <t>140000256</t>
  </si>
  <si>
    <t>PC10AS8Y</t>
  </si>
  <si>
    <t>6859
7841
13454</t>
  </si>
  <si>
    <t>Microsoft Office профессиональный плюс 2016</t>
  </si>
  <si>
    <t>C84R9-KTNCH-DF739-H3KD4-YTDGP</t>
  </si>
  <si>
    <t>Акт 03.07.2019</t>
  </si>
  <si>
    <t>Стадольская Оксана Николаевна
Долгов Ярослав Андреевич
Клементьев Виталий Владимирович</t>
  </si>
  <si>
    <t>Laptop Lenovo V510</t>
  </si>
  <si>
    <t>00000011596</t>
  </si>
  <si>
    <t>LR08MDAX</t>
  </si>
  <si>
    <t>Stadolskaya Oksana
Dolgov Yaroslav</t>
  </si>
  <si>
    <t>начальник участка цеха движков / Мастер 2 категории</t>
  </si>
  <si>
    <t>NEW-L2-9</t>
  </si>
  <si>
    <t>ES, ES MD, ES AS</t>
  </si>
  <si>
    <t>AiO Lenovo M810Z</t>
  </si>
  <si>
    <t>100000005182</t>
  </si>
  <si>
    <t>140000062/Z000101</t>
  </si>
  <si>
    <t>C2507N0002850</t>
  </si>
  <si>
    <t>Денисов Роман Альбертович</t>
  </si>
  <si>
    <t>Denisov Roman</t>
  </si>
  <si>
    <t>PC0MYXTZ</t>
  </si>
  <si>
    <t>ILD, CO</t>
  </si>
  <si>
    <t>Laptop Asus VivoBook SS533</t>
  </si>
  <si>
    <t>M3N0CV15E20911A</t>
  </si>
  <si>
    <t>Уточнить</t>
  </si>
  <si>
    <t>NEW-L2-O-1</t>
  </si>
  <si>
    <t>MSI по тендеру RDD новые с офисом ( проверить по реестру поставок)</t>
  </si>
  <si>
    <t>100000005408</t>
  </si>
  <si>
    <t>Акт 10.09.2021</t>
  </si>
  <si>
    <t>C2507N0002908</t>
  </si>
  <si>
    <t>Технический- под Engine акт от 17.03.2026 на Фатина С. 
Дуплина Татьяна Александровна 6218</t>
  </si>
  <si>
    <t>Duplina Tatyana</t>
  </si>
  <si>
    <t>Инженер-технолог по продукту</t>
  </si>
  <si>
    <t>ES, ES Q&amp;T, ES QTM</t>
  </si>
  <si>
    <t>WorkStation,monitor,mouse,keyboard</t>
  </si>
  <si>
    <t>Workstation Регард K01274 monitor Xiaomi a24i   SN: 54383/250100058479</t>
  </si>
  <si>
    <t>100000005479</t>
  </si>
  <si>
    <t>Душкин Иван Александрович</t>
  </si>
  <si>
    <t>Dushkin Ivan</t>
  </si>
  <si>
    <t xml:space="preserve">внештатник </t>
  </si>
  <si>
    <t>GD, LEG</t>
  </si>
  <si>
    <t>NEW-L2-O-2</t>
  </si>
  <si>
    <t>по тендеру RDD новые с офисом ( проверить по реестру поставок)</t>
  </si>
  <si>
    <t>Laptop Lenovo L340</t>
  </si>
  <si>
    <t>PF24A8SV</t>
  </si>
  <si>
    <t>Акт 26.02.2021</t>
  </si>
  <si>
    <t>100000005409</t>
  </si>
  <si>
    <t>C2507N0002550</t>
  </si>
  <si>
    <t>Кудрявцев Д. 
Мартынов Д.</t>
  </si>
  <si>
    <t>K0127434</t>
  </si>
  <si>
    <t>Морозов Антон Вячеславович</t>
  </si>
  <si>
    <t>требуется модернизация/ЗАМЕНА</t>
  </si>
  <si>
    <t>Morozov Anton</t>
  </si>
  <si>
    <t>Инженер-электроник 2 категории</t>
  </si>
  <si>
    <t>M&amp;U, MTC ASPC</t>
  </si>
  <si>
    <t>140000064/Z000099</t>
  </si>
  <si>
    <t>NEW-L2-O-3</t>
  </si>
  <si>
    <t>PC0KL0LH</t>
  </si>
  <si>
    <t>CHN29-XHCDQ-8JCF9-8DTMQ-4GDGP</t>
  </si>
  <si>
    <t>100000005415</t>
  </si>
  <si>
    <t>C2509N0008337</t>
  </si>
  <si>
    <t>Акт 07.11.2023 Стадольская О.
Акт 03.09.2025 Долгов Я.
Акт 05.12.2025 Клементьев В.</t>
  </si>
  <si>
    <t>Акт 17.03.2026 Фатин С.
Акт  25.05.2026 Дуплина Т.</t>
  </si>
  <si>
    <t>Дудукина Ольга</t>
  </si>
  <si>
    <t>Dudukina Olga</t>
  </si>
  <si>
    <t>GD, FPW</t>
  </si>
  <si>
    <t>Laptop Acer Extensa 15</t>
  </si>
  <si>
    <t>100000003330</t>
  </si>
  <si>
    <t>NXEGYER00H3200884B3400</t>
  </si>
  <si>
    <t>Акт 08.05.2024</t>
  </si>
  <si>
    <t>БЕЗ НДС  60440.50</t>
  </si>
  <si>
    <r>
      <rPr>
        <b/>
        <sz val="12"/>
        <color rgb="FF000000"/>
        <rFont val="Times New Roman"/>
        <family val="1"/>
        <charset val="204"/>
      </rPr>
      <t>NEW(2)-</t>
    </r>
    <r>
      <rPr>
        <b/>
        <sz val="12"/>
        <color rgb="FF000000"/>
        <rFont val="Times New Roman"/>
        <family val="1"/>
        <charset val="204"/>
      </rPr>
      <t>A2-</t>
    </r>
    <r>
      <rPr>
        <b/>
        <sz val="12"/>
        <color rgb="FF000000"/>
        <rFont val="Times New Roman"/>
        <family val="1"/>
        <charset val="204"/>
      </rPr>
      <t>1</t>
    </r>
  </si>
  <si>
    <t>Тендер 06.04.2026 (вторая партия)</t>
  </si>
  <si>
    <t>HMMR_Construction_site (акт на Зорина С)\ Использует Маршалов Егор 10297</t>
  </si>
  <si>
    <t>HMMR_Construction_site</t>
  </si>
  <si>
    <t>Для работы с чертежами в строй городке</t>
  </si>
  <si>
    <t>Workstation, Монитор ThinkVision T2454p</t>
  </si>
  <si>
    <t>AiO Acer Aspire C24-2(HS)</t>
  </si>
  <si>
    <t>Фадеева Надежда Петровна</t>
  </si>
  <si>
    <t>была модернизация/upgraded (SSD+RAM 8)</t>
  </si>
  <si>
    <t>Fadeeva Nadezhda</t>
  </si>
  <si>
    <t>Ведущий инженер-эколог</t>
  </si>
  <si>
    <t>M&amp;U, HSE</t>
  </si>
  <si>
    <t>11613
13560
18852</t>
  </si>
  <si>
    <t>150000013/Z000117</t>
  </si>
  <si>
    <r>
      <rPr>
        <b/>
        <sz val="12"/>
        <color rgb="FF000000"/>
        <rFont val="Times New Roman"/>
        <family val="1"/>
        <charset val="204"/>
      </rPr>
      <t>Урбин Семен Андреевич 11613
Пивоваров Роман Владимирович 13560
Терехов Дмитрий Алексеевич</t>
    </r>
    <r>
      <rPr>
        <b/>
        <sz val="12"/>
        <color rgb="FFFF9900"/>
        <rFont val="Times New Roman"/>
        <family val="1"/>
        <charset val="204"/>
      </rPr>
      <t xml:space="preserve"> </t>
    </r>
  </si>
  <si>
    <t>DQBNMCD00155201A4F6N02</t>
  </si>
  <si>
    <t>Urbin Semyon
Pivovarov Roman
Terekhov Dmitry</t>
  </si>
  <si>
    <t>AiO Lenovo V410Z</t>
  </si>
  <si>
    <t>Инженер-инструментальщик
Техник по инструменту
Техник по инструменту</t>
  </si>
  <si>
    <t>140000067/Z000098</t>
  </si>
  <si>
    <t>S4AA3128</t>
  </si>
  <si>
    <t>ES, ES MD, ES PT</t>
  </si>
  <si>
    <t>YJ009HNY</t>
  </si>
  <si>
    <t>2016 for home and business (BOX)</t>
  </si>
  <si>
    <t>WM9FN-M2YQ7-BHFPM-WXM44-FC2KC</t>
  </si>
  <si>
    <t>Laptop IRBIS 15NBP3506</t>
  </si>
  <si>
    <t>100000004304</t>
  </si>
  <si>
    <t>Professional Plus 2019</t>
  </si>
  <si>
    <t>PJYRN-89X82-BXK73-YGRVQ-DV8J6</t>
  </si>
  <si>
    <t>GV6KN-VKH9H-BBHG2-4J27T-23782</t>
  </si>
  <si>
    <t>F2715NBP35060820497</t>
  </si>
  <si>
    <t>T73GN-DKYHP-C4P4V-VRWG7-6XXTP</t>
  </si>
  <si>
    <t>Акт 16.03.2026  на Зорина Сергея</t>
  </si>
  <si>
    <t>Акт 24.02.2026 на Урбин С.
Акт 25.08.2026  Пивоваров Р.
Акт 25.09.2026 Терехов Д.</t>
  </si>
  <si>
    <t>С НДС 83082
БЕЗ НДС 68100</t>
  </si>
  <si>
    <t>Мут Александр Владимирович</t>
  </si>
  <si>
    <t>была модернизация/upgraded (RAM +4)</t>
  </si>
  <si>
    <t>Mut Aleksandr</t>
  </si>
  <si>
    <t>Инженер по надзору за строительством</t>
  </si>
  <si>
    <t>140000068/Z000120</t>
  </si>
  <si>
    <t>YJ009HNG</t>
  </si>
  <si>
    <t>R3CRN-8Q3P8-4FF7D-XH8WC-PGYP2</t>
  </si>
  <si>
    <r>
      <rPr>
        <b/>
        <sz val="12"/>
        <color rgb="FF000000"/>
        <rFont val="Times New Roman"/>
        <family val="1"/>
        <charset val="204"/>
      </rPr>
      <t>NEW(2)-</t>
    </r>
    <r>
      <rPr>
        <b/>
        <sz val="12"/>
        <color rgb="FF000000"/>
        <rFont val="Times New Roman"/>
        <family val="1"/>
        <charset val="204"/>
      </rPr>
      <t>A2-2</t>
    </r>
  </si>
  <si>
    <t>11810
10816</t>
  </si>
  <si>
    <r>
      <rPr>
        <b/>
        <u/>
        <sz val="12"/>
        <color rgb="FF1155CC"/>
        <rFont val="Times New Roman"/>
        <family val="1"/>
        <charset val="204"/>
      </rPr>
      <t xml:space="preserve">Степанов Никита Алексеевич
</t>
    </r>
    <r>
      <rPr>
        <b/>
        <u/>
        <sz val="12"/>
        <color rgb="FF000000"/>
        <rFont val="Times New Roman"/>
        <family val="1"/>
        <charset val="204"/>
      </rPr>
      <t>Калинин Юрий Юрьевич</t>
    </r>
  </si>
  <si>
    <t>Ермакова Светлана Николаевна</t>
  </si>
  <si>
    <t>Ermakova Svetlana</t>
  </si>
  <si>
    <t>QMD, QA</t>
  </si>
  <si>
    <t>технический компьютер с кпп акт на Ильин Д.</t>
  </si>
  <si>
    <t>GD, SEC, SG</t>
  </si>
  <si>
    <t>100000004733</t>
  </si>
  <si>
    <t>F2717NBP4502103188</t>
  </si>
  <si>
    <t>Workstation Lenovo V530s+ отдельно монитор</t>
  </si>
  <si>
    <t>Акт 07.10.2025</t>
  </si>
  <si>
    <t>Норм</t>
  </si>
  <si>
    <t>Stepanov Nikita
Kalinin Yuri</t>
  </si>
  <si>
    <t>Кладовщик</t>
  </si>
  <si>
    <t>ES, ES PM&amp;LS</t>
  </si>
  <si>
    <t>00000011580</t>
  </si>
  <si>
    <t>Самойленко Иван Викторович</t>
  </si>
  <si>
    <t>Samoylenko Ivan</t>
  </si>
  <si>
    <t>Заместитель руководителя отдела</t>
  </si>
  <si>
    <t>LR08MD5C</t>
  </si>
  <si>
    <t>PLD,DL</t>
  </si>
  <si>
    <t>100000003637</t>
  </si>
  <si>
    <t>F2715NBP35060821409</t>
  </si>
  <si>
    <t>Климанов А.</t>
  </si>
  <si>
    <t>GTGNK-4Y23G-TMH7C-77W3P-FX8XC</t>
  </si>
  <si>
    <t>Акт 13.02.2026</t>
  </si>
  <si>
    <t>Реутов Николай Викторович</t>
  </si>
  <si>
    <t>Reutov Nikolay</t>
  </si>
  <si>
    <t>100000005122</t>
  </si>
  <si>
    <t>C2507N0002834</t>
  </si>
  <si>
    <t>7D4NY-6D4V4-6BFYX-8JHWT-9KX2P</t>
  </si>
  <si>
    <t>Акт 05.12.2025</t>
  </si>
  <si>
    <t>YL002WQK</t>
  </si>
  <si>
    <t>DQBNMCD00155201A416N02</t>
  </si>
  <si>
    <t>VMRJN-B8RC7-QBJMM-GVM8D-QRR9C</t>
  </si>
  <si>
    <r>
      <rPr>
        <sz val="10"/>
        <color rgb="FF6D9EEB"/>
        <rFont val="Times New Roman"/>
        <family val="1"/>
        <charset val="204"/>
      </rPr>
      <t xml:space="preserve">Акт 04.06.2025 Степанов Н.
</t>
    </r>
    <r>
      <rPr>
        <sz val="10"/>
        <color rgb="FF000000"/>
        <rFont val="Times New Roman"/>
        <family val="1"/>
        <charset val="204"/>
      </rPr>
      <t>Акт 18.06.2025Калинин Ю.</t>
    </r>
  </si>
  <si>
    <t>Акт 13.08.2025</t>
  </si>
  <si>
    <t>Тараканов Илья Алексеевич</t>
  </si>
  <si>
    <t>Tarakanov Ilya</t>
  </si>
  <si>
    <t>Заместитель начальника цеха</t>
  </si>
  <si>
    <t>MD, WELD</t>
  </si>
  <si>
    <t>100000005396</t>
  </si>
  <si>
    <t>C2509N0008392</t>
  </si>
  <si>
    <t>Microsoft Office профессиональный плюс 2019</t>
  </si>
  <si>
    <t>M6K4N-HK7Y8-MJFXF-2HM6V-VVB86</t>
  </si>
  <si>
    <t>C8Q3W-F9N74-J944M-X7P2F-3692P</t>
  </si>
  <si>
    <t>Акт 23.03.2026</t>
  </si>
  <si>
    <t>6NFC4-KHQXH-K46Y3-Y7YJR-TVKCT</t>
  </si>
  <si>
    <t>Акт 12.05.2026</t>
  </si>
  <si>
    <t>Гаджимурадов Мамед Эльханович</t>
  </si>
  <si>
    <t>12823
15953</t>
  </si>
  <si>
    <t>Аблязов Эльдар Рефатович 12823
Зыкин Павел Алексеевич 15953</t>
  </si>
  <si>
    <t>Gadzhimuradov Mamed</t>
  </si>
  <si>
    <t>GD, GA</t>
  </si>
  <si>
    <t>Ablyazov Eldar / Zykin Pavel</t>
  </si>
  <si>
    <t>Инженер-инструментальщик / Инженер-инструментальщик</t>
  </si>
  <si>
    <t>ES, ES Q&amp;T, ES PT</t>
  </si>
  <si>
    <t>100000004655</t>
  </si>
  <si>
    <t>100000004302</t>
  </si>
  <si>
    <t>Sec_КПП Огаревка( акт 13-02-2024 Ильин Д)</t>
  </si>
  <si>
    <t>F2717NBP4502103152</t>
  </si>
  <si>
    <t>F2717NBP4502103197</t>
  </si>
  <si>
    <r>
      <rPr>
        <b/>
        <sz val="12"/>
        <color rgb="FF000000"/>
        <rFont val="Times New Roman"/>
        <family val="1"/>
        <charset val="204"/>
      </rPr>
      <t>NEW(2)-</t>
    </r>
    <r>
      <rPr>
        <b/>
        <sz val="12"/>
        <color rgb="FF000000"/>
        <rFont val="Times New Roman"/>
        <family val="1"/>
        <charset val="204"/>
      </rPr>
      <t>A2</t>
    </r>
    <r>
      <rPr>
        <b/>
        <sz val="12"/>
        <color rgb="FF000000"/>
        <rFont val="Times New Roman"/>
        <family val="1"/>
        <charset val="204"/>
      </rPr>
      <t>-3</t>
    </r>
  </si>
  <si>
    <t>требуется модернизация/ need to modernisation</t>
  </si>
  <si>
    <t>RNK2P-H9KBT-8B3HG-MCBJC-XTPKC</t>
  </si>
  <si>
    <t>Фоменков В.А.
Протопопов А.</t>
  </si>
  <si>
    <t>Акт 08.12.2025Аблязов Э.
Акт 29.04.2026 Зыкин П.</t>
  </si>
  <si>
    <t>Акт 08.10.2025</t>
  </si>
  <si>
    <t>Laptop Lenovo x240</t>
  </si>
  <si>
    <t>DQBNMCD00155201A366N02</t>
  </si>
  <si>
    <t>PF0095LY</t>
  </si>
  <si>
    <t>Акт 13-02-24</t>
  </si>
  <si>
    <t>Щербакова Елена Васильевна</t>
  </si>
  <si>
    <t>Sherbakova Elena</t>
  </si>
  <si>
    <t>FD, FUND</t>
  </si>
  <si>
    <t>Laptop,mouse,bag,  Monitor Xiaomi A24i SN:54383/250100059523</t>
  </si>
  <si>
    <t>100000005124</t>
  </si>
  <si>
    <t>C2507N0003051</t>
  </si>
  <si>
    <t>7755
13475</t>
  </si>
  <si>
    <t>Кадников Сергей Петрович
Генг Вадим Алексеевич</t>
  </si>
  <si>
    <t>N6FG2-P73MD-TRGXK-QGYGW-7FR9C</t>
  </si>
  <si>
    <t>Акт 10.12.2025</t>
  </si>
  <si>
    <t>Kadnikov Sergey/ Geng Vadim</t>
  </si>
  <si>
    <t>Контролер качества/ Мастер 1 категории</t>
  </si>
  <si>
    <t>Acer Aspire 5 A515-57-5703</t>
  </si>
  <si>
    <t>100000004643</t>
  </si>
  <si>
    <t>NXKN3CD00J435010543400</t>
  </si>
  <si>
    <t>WBXMG-NCFQT-PB7W8-XRCXW-XW3GP</t>
  </si>
  <si>
    <t>Мартынов Д./ Климанов А</t>
  </si>
  <si>
    <t>Щербаков Дмитрий Юрьевич</t>
  </si>
  <si>
    <t>Акт 13.08.2025 Кадников С
Акт  03.12.2025 Генг В.</t>
  </si>
  <si>
    <t>Sherbakov Dmitriy</t>
  </si>
  <si>
    <t>Laptop HP 250 G8</t>
  </si>
  <si>
    <t>100000002677</t>
  </si>
  <si>
    <r>
      <rPr>
        <b/>
        <sz val="12"/>
        <color rgb="FF000000"/>
        <rFont val="Times New Roman"/>
        <family val="1"/>
        <charset val="204"/>
      </rPr>
      <t>NEW(2)-</t>
    </r>
    <r>
      <rPr>
        <b/>
        <sz val="12"/>
        <color rgb="FF000000"/>
        <rFont val="Times New Roman"/>
        <family val="1"/>
        <charset val="204"/>
      </rPr>
      <t>A2</t>
    </r>
    <r>
      <rPr>
        <b/>
        <sz val="12"/>
        <color rgb="FF000000"/>
        <rFont val="Times New Roman"/>
        <family val="1"/>
        <charset val="204"/>
      </rPr>
      <t>-4</t>
    </r>
  </si>
  <si>
    <t>CND2481GQW</t>
  </si>
  <si>
    <t>Акт 22.12.2023</t>
  </si>
  <si>
    <t>Выдан с технической учетной записью на 4 пользователей (TechniciansVTS)(корнеев акт 06-06-2024)</t>
  </si>
  <si>
    <t>DQBNMCD00155201A536N02</t>
  </si>
  <si>
    <t>БЕЗ НДС 45080, С НДС 54096</t>
  </si>
  <si>
    <t>Лейко Дарья Александровна</t>
  </si>
  <si>
    <t>Leyko Daria</t>
  </si>
  <si>
    <t>TM</t>
  </si>
  <si>
    <t>GD, TDSG</t>
  </si>
  <si>
    <t>100000005417</t>
  </si>
  <si>
    <t>C2507N0002782</t>
  </si>
  <si>
    <t>00000011575</t>
  </si>
  <si>
    <t>KV9NX-4MRR2-B63VM-2JXV8-W44J2</t>
  </si>
  <si>
    <t>Акт 27.03.2026</t>
  </si>
  <si>
    <t>12098
12675
13030
13055
12905</t>
  </si>
  <si>
    <t>LR08MD5Z</t>
  </si>
  <si>
    <t>Корниенко Александр Игоревич
Смирнов Дмитрий Александрович
Прокопенко Сергей Юрьевич 13055
Шуев Иван Викторович 12905</t>
  </si>
  <si>
    <t>была модернизация 17.04.2025/upgraded (ssd512 +8ram total 16ram</t>
  </si>
  <si>
    <t>Korniyenko Aleksandr
Smirnov Dmitry
Prokopenko Sergey
Shuyev Ivan</t>
  </si>
  <si>
    <t>Инженер по измерениям / Инженер-технолог / Инженер-технолог / Инженер по измерениям  / Инженер по измерениям</t>
  </si>
  <si>
    <t>WorkStation,monitor(S24e-1),mouse,keyboard</t>
  </si>
  <si>
    <t>Компьтер Lenovo Thinkstation P520 Intel Xeon W-2104</t>
  </si>
  <si>
    <t>Чучалин Роман Сергеевич</t>
  </si>
  <si>
    <t>140000190</t>
  </si>
  <si>
    <t xml:space="preserve">Chuchalin Roman </t>
  </si>
  <si>
    <t>TM, TM QI</t>
  </si>
  <si>
    <t>100000003633</t>
  </si>
  <si>
    <t>F2715NBP35060820078</t>
  </si>
  <si>
    <t>C4HD3-QN23F-VDKV2-93X3B-6VJXC</t>
  </si>
  <si>
    <t xml:space="preserve">Фоменков В. </t>
  </si>
  <si>
    <r>
      <rPr>
        <b/>
        <sz val="12"/>
        <color rgb="FF000000"/>
        <rFont val="Times New Roman"/>
        <family val="1"/>
        <charset val="204"/>
      </rPr>
      <t>NEW(2)-</t>
    </r>
    <r>
      <rPr>
        <b/>
        <sz val="12"/>
        <color rgb="FF000000"/>
        <rFont val="Times New Roman"/>
        <family val="1"/>
        <charset val="204"/>
      </rPr>
      <t>A2</t>
    </r>
    <r>
      <rPr>
        <b/>
        <sz val="12"/>
        <color rgb="FF000000"/>
        <rFont val="Times New Roman"/>
        <family val="1"/>
        <charset val="204"/>
      </rPr>
      <t>-5</t>
    </r>
  </si>
  <si>
    <t xml:space="preserve">Акт 30.11.2024 </t>
  </si>
  <si>
    <t>Акт 06-06-24</t>
  </si>
  <si>
    <t>DQBNMCD00155201A496N02</t>
  </si>
  <si>
    <t>S4HN3450</t>
  </si>
  <si>
    <t>Кудрявцев Д./ Климанов А.</t>
  </si>
  <si>
    <t>Чеснокова Елена Николаевна</t>
  </si>
  <si>
    <t>Chesnokova Elena</t>
  </si>
  <si>
    <t>Лаборант физикохимических методов анализа</t>
  </si>
  <si>
    <t>CH Q&amp;T, CH QA</t>
  </si>
  <si>
    <t>Laptop Dell Latitude 3450(C2)</t>
  </si>
  <si>
    <t>140000014/Z000137</t>
  </si>
  <si>
    <t>Акт 12.05.2025. 
Акт 09.06.2025 
Акт 16.09.2025 Корниенко А.
Акт 17.10.2025 Прокопенко С.
Акт 06.11.2025 Шуев И.</t>
  </si>
  <si>
    <t>FPNPG22</t>
  </si>
  <si>
    <t>32KD2-K9CTF-M3DJT-4J3WC-733WD</t>
  </si>
  <si>
    <t>Акт 20.08.2018</t>
  </si>
  <si>
    <t>БЕЗ НДС 45762,71 
С НДС 54000</t>
  </si>
  <si>
    <r>
      <rPr>
        <b/>
        <sz val="12"/>
        <color rgb="FF000000"/>
        <rFont val="Times New Roman"/>
        <family val="1"/>
        <charset val="204"/>
      </rPr>
      <t>NEW(2)-A</t>
    </r>
    <r>
      <rPr>
        <b/>
        <sz val="12"/>
        <color rgb="FF000000"/>
        <rFont val="Times New Roman"/>
        <family val="1"/>
        <charset val="204"/>
      </rPr>
      <t>2</t>
    </r>
    <r>
      <rPr>
        <b/>
        <sz val="12"/>
        <color rgb="FF000000"/>
        <rFont val="Times New Roman"/>
        <family val="1"/>
        <charset val="204"/>
      </rPr>
      <t>-6</t>
    </r>
  </si>
  <si>
    <t>DQBNMCD00155201A506N02</t>
  </si>
  <si>
    <t>Казазаев Вадим Викторович</t>
  </si>
  <si>
    <t>Kazazaev Vadim</t>
  </si>
  <si>
    <t>Руководитель группы по переработке и утилизации отходов</t>
  </si>
  <si>
    <t>GD, GA, WMG</t>
  </si>
  <si>
    <t>2053
15844</t>
  </si>
  <si>
    <t xml:space="preserve"> Ильин Антон
Севостьянов Дмитрий Сергеевич</t>
  </si>
  <si>
    <t>для электронных птс СОБОЛЬ 
Корнева Светлана Евгеньевна
СГП EPTS ЭПТС</t>
  </si>
  <si>
    <t>была модернизация/upgraded</t>
  </si>
  <si>
    <t>Ilyin Anton
Sevostyanov Dmitry</t>
  </si>
  <si>
    <t>need check</t>
  </si>
  <si>
    <t>100000003365</t>
  </si>
  <si>
    <t>Старший смены 3 категории
Руководитель группы</t>
  </si>
  <si>
    <t>Laptop, mouse,bag</t>
  </si>
  <si>
    <t>Laptop Lenovo Thinkpad L580</t>
  </si>
  <si>
    <t>Специалист по выпуску электронного паспорта</t>
  </si>
  <si>
    <t>NXEGYER00H32008CFE3400</t>
  </si>
  <si>
    <t>14000147/Z000040</t>
  </si>
  <si>
    <t>GD,FPW (соболь)</t>
  </si>
  <si>
    <t>PF12TWZY</t>
  </si>
  <si>
    <t>Workstation Lenovo V530s+ отдельно монитор Т24I</t>
  </si>
  <si>
    <t>Акт 18.03.2026</t>
  </si>
  <si>
    <t>100000001345</t>
  </si>
  <si>
    <t>R4YFN-MRJPR-BH8RF-WMR8Q-9766P</t>
  </si>
  <si>
    <t>YL00STYS</t>
  </si>
  <si>
    <t>Климанов А.
Мартынов Д.</t>
  </si>
  <si>
    <t>Акт 21.08.2025  Ильин А.
Акт 23.04.2026 Севостьянов Д.</t>
  </si>
  <si>
    <t>Частников Артур Валерьевич</t>
  </si>
  <si>
    <r>
      <rPr>
        <b/>
        <sz val="12"/>
        <color rgb="FF000000"/>
        <rFont val="Times New Roman"/>
        <family val="1"/>
        <charset val="204"/>
      </rPr>
      <t>NEW(2)-</t>
    </r>
    <r>
      <rPr>
        <b/>
        <sz val="12"/>
        <color rgb="FF000000"/>
        <rFont val="Times New Roman"/>
        <family val="1"/>
        <charset val="204"/>
      </rPr>
      <t>A2</t>
    </r>
    <r>
      <rPr>
        <b/>
        <sz val="12"/>
        <color rgb="FF000000"/>
        <rFont val="Times New Roman"/>
        <family val="1"/>
        <charset val="204"/>
      </rPr>
      <t>-7</t>
    </r>
  </si>
  <si>
    <t>Windows 10 Pro - 22H2/19048</t>
  </si>
  <si>
    <t>была модернизация/upgraded (ремонт клавиатуры+SSD 256)</t>
  </si>
  <si>
    <t>Chastnikov Artur</t>
  </si>
  <si>
    <t>Акт 07.02.2026</t>
  </si>
  <si>
    <t>Начальник участка</t>
  </si>
  <si>
    <t>DQBNMCD00155201A3D6N02</t>
  </si>
  <si>
    <t>БЕЗ НДС 41754,78, С НДС 50920,47</t>
  </si>
  <si>
    <t>PLD,ED</t>
  </si>
  <si>
    <t>00000015291</t>
  </si>
  <si>
    <t>LR0AVC0X</t>
  </si>
  <si>
    <t>H82CM-NJYRT-9WYWR-8JPRQ-B98XC</t>
  </si>
  <si>
    <t>Акт 22.09.2021</t>
  </si>
  <si>
    <t>Глазов Евгений Павлович</t>
  </si>
  <si>
    <t>Glazov Evgeniy</t>
  </si>
  <si>
    <t>100000004659</t>
  </si>
  <si>
    <t>F2717NBP4502103116</t>
  </si>
  <si>
    <t>3879
6012
6020
6076</t>
  </si>
  <si>
    <t>для электронных птс СОБОЛЬ
(Акт Рязанцев К. 12-01-2022 г) Петрова
СГП EPTS ЭПТС</t>
  </si>
  <si>
    <t>Y77CV-RJNXD-472DD-GWBC8-29Y4G</t>
  </si>
  <si>
    <t>Ekaterina Zhuchkova (7035)</t>
  </si>
  <si>
    <r>
      <rPr>
        <b/>
        <sz val="12"/>
        <color rgb="FF000000"/>
        <rFont val="Times New Roman"/>
        <family val="1"/>
        <charset val="204"/>
      </rPr>
      <t>NEW(2)-</t>
    </r>
    <r>
      <rPr>
        <b/>
        <sz val="12"/>
        <color rgb="FF000000"/>
        <rFont val="Times New Roman"/>
        <family val="1"/>
        <charset val="204"/>
      </rPr>
      <t>A2</t>
    </r>
    <r>
      <rPr>
        <b/>
        <sz val="12"/>
        <color rgb="FF000000"/>
        <rFont val="Times New Roman"/>
        <family val="1"/>
        <charset val="204"/>
      </rPr>
      <t>-8</t>
    </r>
  </si>
  <si>
    <t>Лялина Лилия Раисовна
Балашова Ирина Анатольевна
Белова Елена
Бригадиренко Наталья</t>
  </si>
  <si>
    <t>Workstation Lenovo V530+ отдельно монитор Т24м</t>
  </si>
  <si>
    <t>140000213</t>
  </si>
  <si>
    <t>DQBNMCD00155201A3E6N02</t>
  </si>
  <si>
    <t>Lyalina Lilia
Balashova Irina
Belova Elena
Brigadirenko Natalia</t>
  </si>
  <si>
    <t>Диспетчеры контейнерного терминала</t>
  </si>
  <si>
    <t>ILD</t>
  </si>
  <si>
    <t>VK7JG-NPHTM-C97JM-9MPGT-3V66T
MQG4W-V8NHH-M8B6B-2382F-JHV22</t>
  </si>
  <si>
    <t>YL003MHN</t>
  </si>
  <si>
    <t>150000023/Z000116</t>
  </si>
  <si>
    <r>
      <rPr>
        <b/>
        <sz val="12"/>
        <color rgb="FF000000"/>
        <rFont val="Times New Roman"/>
        <family val="1"/>
        <charset val="204"/>
      </rPr>
      <t>NEW(2)-</t>
    </r>
    <r>
      <rPr>
        <b/>
        <sz val="12"/>
        <color rgb="FF000000"/>
        <rFont val="Times New Roman"/>
        <family val="1"/>
        <charset val="204"/>
      </rPr>
      <t>A2</t>
    </r>
    <r>
      <rPr>
        <b/>
        <sz val="12"/>
        <color rgb="FF000000"/>
        <rFont val="Times New Roman"/>
        <family val="1"/>
        <charset val="204"/>
      </rPr>
      <t>-9</t>
    </r>
  </si>
  <si>
    <t>DQBNMCD00155201A346N02</t>
  </si>
  <si>
    <t>PC0KL0L0</t>
  </si>
  <si>
    <t>Акт 19.09.2025</t>
  </si>
  <si>
    <t>акт 26-07-2023/акт 21-07-2023/акт 18-07-2023 Новый акт на Моторкина Д. 07.02.2025</t>
  </si>
  <si>
    <t>для электронных птс СОБОЛЬ (Болясова)
СГП ЭПТС EPTS</t>
  </si>
  <si>
    <t>Workstation Lenovo V530+ отдельно монитор Lenovo s24e-10 sn: V5PF9769 Акт 22.05.2026 на монитор для Болясовой В.</t>
  </si>
  <si>
    <t>140000214</t>
  </si>
  <si>
    <t>YL002URP</t>
  </si>
  <si>
    <t>NEW-A1-1</t>
  </si>
  <si>
    <t>Акт 22.05.2026 на монитор для Болясовой В.</t>
  </si>
  <si>
    <t>6585
6758
10645
5372
6768
6630
2659
6910</t>
  </si>
  <si>
    <t>Поддубная Анна Викторовна
Рыбина Наталья Владимировна
Гаврильская Анастасия Алексеевна
Вафина Ирина Владимировна
Сушкова Ольга Владимировна
Лаврищева Валерия Евгеньевна
Меркулова Анастасия Александровна
Сизова Ольга Валерьевна</t>
  </si>
  <si>
    <t>Дорофеев Иван</t>
  </si>
  <si>
    <t>Poddubnaya Anna Viktorovna
Rybina Natalya Vladimirovna
Gavrilskaya Anastasia Alekseevna
Vafina Irina Vladimirovna
Sushkova Olga Vladimirovna
Lavrishcheva Valeria Evgenievna
Merkulova Anastasia Alexandrovna
Sizova Olga Valerievna</t>
  </si>
  <si>
    <t>Специалист по складскому учету и документообороту/Warehouse and Document management specialist</t>
  </si>
  <si>
    <t>Dorofeev Ivan</t>
  </si>
  <si>
    <t>СВОБОДЕН для закупок?</t>
  </si>
  <si>
    <t>Инженер-электроник 1 категории / Control engineer of the 1st category</t>
  </si>
  <si>
    <t>ILD, FPW</t>
  </si>
  <si>
    <t>100000004238</t>
  </si>
  <si>
    <t>AiO HP 200 G3</t>
  </si>
  <si>
    <t>для электронных птс СОБОЛЬ (Акт на Аверьянову 12-08-2024)
СГП EPTS ЭПТС</t>
  </si>
  <si>
    <t>F2717NBP4502103038</t>
  </si>
  <si>
    <t>00000021020(2)</t>
  </si>
  <si>
    <t>Workstation Lenovo V530s+ отдельно монитор S24E</t>
  </si>
  <si>
    <t>8CC9164N84</t>
  </si>
  <si>
    <t xml:space="preserve">MS Office 2016/Microsoft Office профессиональный плюс 2019 </t>
  </si>
  <si>
    <t>-</t>
  </si>
  <si>
    <t>YL002US3</t>
  </si>
  <si>
    <t>DQBR8CD00255101D216N02</t>
  </si>
  <si>
    <t>Microsoft Office 2007 Service Pack 3 (SP3)</t>
  </si>
  <si>
    <t>BTFDY-F2NTF-TY42R-4R72F-TVJXC</t>
  </si>
  <si>
    <t>Акт 12.08.2024</t>
  </si>
  <si>
    <t>Акт 17.03.2025</t>
  </si>
  <si>
    <t>На общаге</t>
  </si>
  <si>
    <t>ADMIN</t>
  </si>
  <si>
    <t>NBBCK-WTRWC-YTQH2-4PJ4K-8QK86</t>
  </si>
  <si>
    <t>Мамед Г 
акт 30-04-26</t>
  </si>
  <si>
    <t xml:space="preserve">Акт №737 для Гаджимурадов М. </t>
  </si>
  <si>
    <t>Для комендантов общежития</t>
  </si>
  <si>
    <t>Кудрявцев Д. / Мартынов Д.</t>
  </si>
  <si>
    <t>Бицура М.</t>
  </si>
  <si>
    <t>GD,GA</t>
  </si>
  <si>
    <t xml:space="preserve">
Акт 15.01.2024 Рыбина Н.
Акт 29.11.2024 Гаврильская А.
Акт 28.10.2025 Сизова О.
Акт 28.10.2025 Лаврищева В.</t>
  </si>
  <si>
    <t>Тимченко Юлия Алексеевна</t>
  </si>
  <si>
    <t>Акт 18.09.2026</t>
  </si>
  <si>
    <t>Timchenko Yulia</t>
  </si>
  <si>
    <t>Начальник смены по качеству и технологии</t>
  </si>
  <si>
    <t>MD, PAINT</t>
  </si>
  <si>
    <t>100000003655</t>
  </si>
  <si>
    <t>F2715NBP35060820454</t>
  </si>
  <si>
    <t>4DN2D-GWYP7-39BJ7-FPHBC-KW3GP</t>
  </si>
  <si>
    <t>Акт 07.12.2024</t>
  </si>
  <si>
    <t>AIO Lenovo ThinkCentre M73z</t>
  </si>
  <si>
    <t>140000038/Z000020</t>
  </si>
  <si>
    <t>S1H03BRZ</t>
  </si>
  <si>
    <t>RUTL-S1H03BRZ</t>
  </si>
  <si>
    <t>Акт 06.05.2026  на Гаджимурадов М.</t>
  </si>
  <si>
    <r>
      <rPr>
        <u/>
        <sz val="11"/>
        <color theme="1"/>
        <rFont val="Times New Roman"/>
        <family val="1"/>
        <charset val="204"/>
      </rPr>
      <t>6630
5372
2659
10645
6910
6585
6768
6758</t>
    </r>
  </si>
  <si>
    <t>Лаврищева Валерия Евгеньевна
Вафина Ирина Владимировна
Меркулова Анастасия Александровна
Гаврильская Анастасия Алексеевна
Сизова Ольга Валерьевна
Поддубная Анна Викторовна
Сушкова Ольга Владимировна
Рыбина Наталья Владимировна</t>
  </si>
  <si>
    <t>Lavrishcheva Valeria Evgenievna
Vafina Irina Vladimirovna
Merkulova Anastasia Alexandrovna
Gavrilskaya Anastasia Alekseevna
Sizova Olga Valerievna
Poddubnaya Anna Viktorovna
Sushkova Olga Vladimirovna
Rybina Natalya Vladimirovna</t>
  </si>
  <si>
    <t>Специалист по складскому учету и документообороту</t>
  </si>
  <si>
    <t>Макротаваров Михаил Иванович</t>
  </si>
  <si>
    <t>Makrotavarov Mikhail</t>
  </si>
  <si>
    <t>RDC,INFR</t>
  </si>
  <si>
    <t>Dell Vostro 7500</t>
  </si>
  <si>
    <t>10000001760</t>
  </si>
  <si>
    <t>HCS51B3</t>
  </si>
  <si>
    <t>ПАЛЕНКА Microsoft Office ????? 2021 - zh-cn</t>
  </si>
  <si>
    <t>J2BNF-YDKKX-DDB37-G2JT2-TMT6P</t>
  </si>
  <si>
    <t>YL002US0</t>
  </si>
  <si>
    <t>Акт 30.08.2021</t>
  </si>
  <si>
    <t>NEW-A1-2</t>
  </si>
  <si>
    <t>Тендер 27.03.2026 (первая партия)</t>
  </si>
  <si>
    <t>Акт 19.01.2024
Акт 15.10.2025 Лаврищева В
Акт 15.10.2025 Вафина И.
Акт 15.10.2025 Сизова О.
Акт 15.10.2025 Меркулова А
Акт 15.10.2025 Гаврильская А.</t>
  </si>
  <si>
    <t>140000045/Z000016</t>
  </si>
  <si>
    <t>Зажмилина Юлия Николаевна</t>
  </si>
  <si>
    <t>S1H03BQD</t>
  </si>
  <si>
    <t>RUTL-S1H03BQD</t>
  </si>
  <si>
    <t>Zazhmilina Yulia</t>
  </si>
  <si>
    <t>MD, PM</t>
  </si>
  <si>
    <t>100000005424</t>
  </si>
  <si>
    <t>C2509N0008330</t>
  </si>
  <si>
    <t>Акт 08.05.2026  на Гаджимурадов М.</t>
  </si>
  <si>
    <t>Акт 22.01.2026</t>
  </si>
  <si>
    <t>DQBRRCD00255101A936N02</t>
  </si>
  <si>
    <t>9899
11269</t>
  </si>
  <si>
    <t>Весовая
Акт Казазаев 19-09-2025</t>
  </si>
  <si>
    <t>Филатов Вячеслав Алексеевич
Ким Валентин Викторович</t>
  </si>
  <si>
    <t xml:space="preserve">Старостина Екатерина Валерьевна </t>
  </si>
  <si>
    <t>Filatov Vyacheslav / Kim Valentin</t>
  </si>
  <si>
    <t>Инженер по производственному оборудованию / Production Equipment Engineer</t>
  </si>
  <si>
    <t>Starostina Ekaterina</t>
  </si>
  <si>
    <t>M&amp;U, MTC ESCP</t>
  </si>
  <si>
    <t>M&amp;U MTC ASPC</t>
  </si>
  <si>
    <t>Acer Aspire Lite 15 AL15-41</t>
  </si>
  <si>
    <t>GD,GA_для весового контроля</t>
  </si>
  <si>
    <t>WorkStation+monitor lenovo T24I</t>
  </si>
  <si>
    <t>100000004846</t>
  </si>
  <si>
    <t>Workstation Lenovo ThinkStation P 520</t>
  </si>
  <si>
    <t>140000188</t>
  </si>
  <si>
    <t>UN31ZSI04F533023D90700</t>
  </si>
  <si>
    <t>S4HN3478</t>
  </si>
  <si>
    <t>AiO, -мышь свою оставил (личная), keyboard</t>
  </si>
  <si>
    <t>AiO Lenovo S400Z</t>
  </si>
  <si>
    <t>150000006/Z000012</t>
  </si>
  <si>
    <t>Акт 08.04.2026</t>
  </si>
  <si>
    <t>P901FSPN</t>
  </si>
  <si>
    <t>БЕЗ НДС 36790
с НДС -</t>
  </si>
  <si>
    <t>Акт 07.11.2024 Филатов В.
Акт 30.01.2025 Ким В.</t>
  </si>
  <si>
    <t>Акт 18,09,2025</t>
  </si>
  <si>
    <t>Ильин Дмитрий Михайлович</t>
  </si>
  <si>
    <t>Заменили на новый/Changed to New(no need to upgrade)</t>
  </si>
  <si>
    <t>Ilyin Dmitriy</t>
  </si>
  <si>
    <t>Акт 23.05.2026</t>
  </si>
  <si>
    <t>Директор по безопасности и предотвращению рисков</t>
  </si>
  <si>
    <t>GD, SEC</t>
  </si>
  <si>
    <t>7666
2914
2898</t>
  </si>
  <si>
    <t>Савин Дмитрий
Старцев Павел
Агапов Александр</t>
  </si>
  <si>
    <t>100000005123</t>
  </si>
  <si>
    <t>Pavel Startsev
 Dmitry Savin
Alexander Agapov</t>
  </si>
  <si>
    <t>Наладчик технологического оборудования 5 категории</t>
  </si>
  <si>
    <t>C2507N0002663</t>
  </si>
  <si>
    <t>Laptop Lenovo T480</t>
  </si>
  <si>
    <t>140000201</t>
  </si>
  <si>
    <t>PF15ZDH0</t>
  </si>
  <si>
    <t>NQJRW-B87PP-TYY2K-J4C72-HH66P</t>
  </si>
  <si>
    <t>Акт 04.12.2025</t>
  </si>
  <si>
    <t>HR_Training_PC
Акт на Бурцеву Илону  от  03-04-2026</t>
  </si>
  <si>
    <t>HR_Room 303</t>
  </si>
  <si>
    <t>HR Training</t>
  </si>
  <si>
    <t>00000011057</t>
  </si>
  <si>
    <t>R90QN4WF</t>
  </si>
  <si>
    <t>RGBN3-7RY3T-236WV-8MQGK-H6FRG</t>
  </si>
  <si>
    <t>TWVTN-Y6PFT-WHX9Q-R3FJ9-TF4C2</t>
  </si>
  <si>
    <t>Акт 14.03.2024 Савин Д.
Акт 14.03.2024 Старцев П.
Акт 14.03.2024 Агапов А.</t>
  </si>
  <si>
    <t xml:space="preserve">Белицкая Елена Александровна </t>
  </si>
  <si>
    <t>Belitskaya Elena</t>
  </si>
  <si>
    <t>Laptop,mouse +Lan-USB</t>
  </si>
  <si>
    <t>00000011075</t>
  </si>
  <si>
    <t>R90QN4X9</t>
  </si>
  <si>
    <t>6WNRY-PHJJ3-72YHR-DBDPT-HFR9C</t>
  </si>
  <si>
    <t>9735
738</t>
  </si>
  <si>
    <t>Волкова София Александровна (9735)
Ельцов Андрей Петрович (738)</t>
  </si>
  <si>
    <t>Volkova Sofia</t>
  </si>
  <si>
    <t>Диспетчер</t>
  </si>
  <si>
    <t>M&amp;U UTL</t>
  </si>
  <si>
    <t>HSE_Training_PC 
(Акт на Волкову К.)</t>
  </si>
  <si>
    <t>Модернизация не требуется/normal (no need to upgrade) SSD 256 озу 8</t>
  </si>
  <si>
    <t>150000026/Z000001</t>
  </si>
  <si>
    <t>NEW-A1-3</t>
  </si>
  <si>
    <t>hse_Training</t>
  </si>
  <si>
    <t>PC0KDWEW</t>
  </si>
  <si>
    <t xml:space="preserve">Старикова Агата Андреевна </t>
  </si>
  <si>
    <t>Летунов А. / Мартынов Д.</t>
  </si>
  <si>
    <t>Акт 07.12.2024 Волкова С. 
Акт  09.10.2025 Ельцов А.</t>
  </si>
  <si>
    <t>Мамкин Виктор Владимирович 319</t>
  </si>
  <si>
    <t>Starikova Agata</t>
  </si>
  <si>
    <t>Mamkin Victor</t>
  </si>
  <si>
    <t>Специалист по планированию логистики</t>
  </si>
  <si>
    <t>Laptop,mouse,bag +Lan-USB</t>
  </si>
  <si>
    <t>100000004253</t>
  </si>
  <si>
    <t>F2715NBP35060821897</t>
  </si>
  <si>
    <t>DQBRRCD00255101A976N02</t>
  </si>
  <si>
    <t>DQGF7-MRNQB-FT9X3-PJGFQ-CBBCT</t>
  </si>
  <si>
    <t>889GN-8RX9D-7HMD9-QTXW8-WB6PT</t>
  </si>
  <si>
    <t>Акт 29.05.2026</t>
  </si>
  <si>
    <t>00000010768</t>
  </si>
  <si>
    <t>Акт 28.07.2026</t>
  </si>
  <si>
    <t>R90QFPY7</t>
  </si>
  <si>
    <t>??? проверить на активные уч записи</t>
  </si>
  <si>
    <r>
      <rPr>
        <b/>
        <sz val="12"/>
        <color rgb="FF000000"/>
        <rFont val="Times New Roman"/>
        <family val="1"/>
        <charset val="204"/>
      </rPr>
      <t xml:space="preserve">Чуванкова Екатерина Сергеевна ( 10772 )
Казакова Анна Андреевна ( 11943 )
</t>
    </r>
    <r>
      <rPr>
        <b/>
        <sz val="12"/>
        <color rgb="FFFF0000"/>
        <rFont val="Times New Roman"/>
        <family val="1"/>
        <charset val="204"/>
      </rPr>
      <t>Хусейнова Карина Анваровна (13343 УДАЛИТЬ)</t>
    </r>
    <r>
      <rPr>
        <b/>
        <sz val="12"/>
        <color rgb="FF000000"/>
        <rFont val="Times New Roman"/>
        <family val="1"/>
        <charset val="204"/>
      </rPr>
      <t xml:space="preserve">
Пучкова Елена Александровна ( 15517 )</t>
    </r>
  </si>
  <si>
    <t>RPDWY-7NXM3-PFC7K-FGDXQ-Y4G6P</t>
  </si>
  <si>
    <t>требуется замена жесткого диска/need to modernisation(replacement to hard disk)</t>
  </si>
  <si>
    <t>Chuvankova Ekaterina
Kazakova Anna
Puchkova Elena</t>
  </si>
  <si>
    <t>Наладчик технологического оборудования 2 категории/ Наладчик технологического 1 категории</t>
  </si>
  <si>
    <t>Мамкина Анастасия Викторовна</t>
  </si>
  <si>
    <t>M&amp;U, ESCP</t>
  </si>
  <si>
    <t>Mamkina Anastasia</t>
  </si>
  <si>
    <t>Laptop IRBIS 15NBP3507</t>
  </si>
  <si>
    <t>140000168/Z000085</t>
  </si>
  <si>
    <t>100000004310</t>
  </si>
  <si>
    <t>F2715NBP35070820203</t>
  </si>
  <si>
    <t>S4FM3439</t>
  </si>
  <si>
    <t>94HGJ-NCRPY-GDJPY-9TCX4-PPQGP</t>
  </si>
  <si>
    <t>Акт 11.03.2026</t>
  </si>
  <si>
    <t>Климанов А./ Мартынов Д. / Летунов А.
Мелёшкин С.</t>
  </si>
  <si>
    <t>NEW(3)-L1-2</t>
  </si>
  <si>
    <t>Тендер 10.04.2026 (третья партия)</t>
  </si>
  <si>
    <t>Шустова Полина Сергеевна (Используется для атестации)</t>
  </si>
  <si>
    <t>hse_Training ( для атестации)</t>
  </si>
  <si>
    <t>140000174/Z000054</t>
  </si>
  <si>
    <t>S4FM3374</t>
  </si>
  <si>
    <t>100000006975</t>
  </si>
  <si>
    <t>Акт 07.03.2023</t>
  </si>
  <si>
    <t xml:space="preserve">Давыдов Александр Олегович </t>
  </si>
  <si>
    <t>Davydov Alexander</t>
  </si>
  <si>
    <t xml:space="preserve">
Акт  12.12.2024 Чуванкова Е
Акт  31.03.2025 Казакова А
Акт 08.04.2026 Пучкова Е.</t>
  </si>
  <si>
    <t xml:space="preserve"> FACILITY технический Акт на Караулов Владимир </t>
  </si>
  <si>
    <t>была модернизация/upgraded 
(SSD 256)</t>
  </si>
  <si>
    <t>100000005179</t>
  </si>
  <si>
    <t>Vladimir Karaulov</t>
  </si>
  <si>
    <t>Для группы обслуживания логистической техники для EDM</t>
  </si>
  <si>
    <t>PW0K0DYC</t>
  </si>
  <si>
    <t>C2507N0003090</t>
  </si>
  <si>
    <t>M&amp;U, FAC</t>
  </si>
  <si>
    <t>GNMKF-FHVQC-4F6GR-7JVGQ-BG92P</t>
  </si>
  <si>
    <t>Laptop, mouse,bag, USB-LAN адаптер</t>
  </si>
  <si>
    <t>Laptop Lenovo ThinkPad EDGE E570</t>
  </si>
  <si>
    <t>Акт 26.03.2026</t>
  </si>
  <si>
    <t>00000001610</t>
  </si>
  <si>
    <t>PF1015UB</t>
  </si>
  <si>
    <t>RUTL-PF1015UB</t>
  </si>
  <si>
    <t>Стоимость ПК без НДС  59160руб</t>
  </si>
  <si>
    <t>B49KM-C9N7B-9QQQ8-8MMC8-DGPKC</t>
  </si>
  <si>
    <t>Акт 17.03.2023</t>
  </si>
  <si>
    <t>склад MU движки Акт на Чутова И.</t>
  </si>
  <si>
    <t>локальная учетка как у mu asse</t>
  </si>
  <si>
    <t>M&amp;U, PLE</t>
  </si>
  <si>
    <t>Workstation, Monitor(Lenovo 19" LT 1952p Black/240000010-0002)mouse, keyboard</t>
  </si>
  <si>
    <t>Lenovo ThinkCenter M73((24000010))</t>
  </si>
  <si>
    <t>00000000214</t>
  </si>
  <si>
    <t>9454
5150</t>
  </si>
  <si>
    <t>Попов Вадим Михайлович</t>
  </si>
  <si>
    <t>PC017THP</t>
  </si>
  <si>
    <t>Пацук Евгений Викторович
Денисов Олег Вячеславович</t>
  </si>
  <si>
    <t>Patsuk Evgeniy / Denisov Oleg</t>
  </si>
  <si>
    <t>Мастер-механик по ремонту специальной дорожной техники</t>
  </si>
  <si>
    <t>14000157/Z000047</t>
  </si>
  <si>
    <t>Popov Vadim</t>
  </si>
  <si>
    <t>Windows 10 Pro - 22H2/19045</t>
  </si>
  <si>
    <t>PF12TW42</t>
  </si>
  <si>
    <t>NEW(3)-L1-3</t>
  </si>
  <si>
    <t>Акт 08.09.2025 Акт на Чутова И.</t>
  </si>
  <si>
    <t>KTNFX-XDQTR-DWXF4-CQYJQ-9766P</t>
  </si>
  <si>
    <t>Laptop,mouse + Monitor Xiaomi A24i (54383/250100059505)</t>
  </si>
  <si>
    <t>Акт 21.11.2025 Пацук Е.
Акт 21.11.2025 Денисов О.</t>
  </si>
  <si>
    <t>100000005405</t>
  </si>
  <si>
    <t>PW0K0D8T</t>
  </si>
  <si>
    <t>C2507N0003035</t>
  </si>
  <si>
    <t>Для проекта " M&amp;U" ИИ видеозрение выдали китайцу под ответственность Jinshuang Zhao |赵晋双</t>
  </si>
  <si>
    <t>Jinshuang Zhao</t>
  </si>
  <si>
    <t>Для проекта " M&amp;U" ИИ видеозрение</t>
  </si>
  <si>
    <t>2P9KR-RBN69-WHW89-MGFBT-H8RJ2</t>
  </si>
  <si>
    <t>WorkStation,БЕЗ МОНИТОРА(оставить под него Хiaomi A24i),mouse,keyboard</t>
  </si>
  <si>
    <t>100000005480</t>
  </si>
  <si>
    <t>K0127438</t>
  </si>
  <si>
    <t>PQNP8-P88X4-247Q2-WQ44X-6CQPP</t>
  </si>
  <si>
    <t>Акт 18.02.2026</t>
  </si>
  <si>
    <t>Акт 27.04.2026</t>
  </si>
  <si>
    <t>Болотов Владимир Николаевич 861
Николаев Максим Сергеевич 6533
Булюкина Александра Владимировна 11123</t>
  </si>
  <si>
    <t>Рольгейзер Николай Николаевич</t>
  </si>
  <si>
    <t>Bolotov Vladimir
Nikolaev Maxim
Bulyukina Alexandra</t>
  </si>
  <si>
    <t>Инженер по производственному оборудованию
Наладчик технологического оборудования 4 категории
Наладчик технологического оборудования 2 категории</t>
  </si>
  <si>
    <t>Rolgeyzer Nikolay</t>
  </si>
  <si>
    <t>Инженер-технолог 1 категории  / Process Engineer 1 category</t>
  </si>
  <si>
    <t>Доп. учётка КАРАУЛОВ акт 17.07.2024</t>
  </si>
  <si>
    <t>MD, AS</t>
  </si>
  <si>
    <t>100000003610</t>
  </si>
  <si>
    <t>M&amp;U(MTC)</t>
  </si>
  <si>
    <t>100000004858</t>
  </si>
  <si>
    <t>F2715NBP35060820288</t>
  </si>
  <si>
    <t>YL002URE</t>
  </si>
  <si>
    <t>NEW(3)-L1-5</t>
  </si>
  <si>
    <t>UN31ZSI04F533024CD0700</t>
  </si>
  <si>
    <t>8KXPN-QP9PP-GPJM9-FD82Y-43KTP</t>
  </si>
  <si>
    <t>после Котова Яна Игоревна не трогать</t>
  </si>
  <si>
    <t>Кудрявцев Д.
Климанов А.</t>
  </si>
  <si>
    <t>Акт 10.03.2026 на Болотов В.
Акт 31.08.2026 на Николаев М.
17.09.2026 Булюкина А.</t>
  </si>
  <si>
    <t xml:space="preserve">Free_after_Kotova Yana </t>
  </si>
  <si>
    <t>Специалист по оборудованию</t>
  </si>
  <si>
    <t>100000006145</t>
  </si>
  <si>
    <t>Основная и единственная учётка ГЕРАСИМОВ с правами локального администратора акт 03.09.2024</t>
  </si>
  <si>
    <t>PW0LW3TM</t>
  </si>
  <si>
    <t>YL002US1</t>
  </si>
  <si>
    <t>Акт 03.09.2024</t>
  </si>
  <si>
    <t>VHVXY-NC98H-4QQR3-YTR28-DGP2T</t>
  </si>
  <si>
    <t>Акт 31.03.2026</t>
  </si>
  <si>
    <r>
      <rPr>
        <sz val="10"/>
        <color theme="1"/>
        <rFont val="Times New Roman"/>
        <family val="1"/>
        <charset val="204"/>
      </rPr>
      <t xml:space="preserve">272
</t>
    </r>
    <r>
      <rPr>
        <sz val="10"/>
        <color theme="1"/>
        <rFont val="Times New Roman"/>
        <family val="1"/>
        <charset val="204"/>
      </rPr>
      <t>7791</t>
    </r>
  </si>
  <si>
    <t>Еримеева Маргарита Александровна 375</t>
  </si>
  <si>
    <t xml:space="preserve">Акт на Шоркин Б( 07-03-2023) сидит Пилипенко </t>
  </si>
  <si>
    <t>НОВЫЙ/New(no need to upgrade)</t>
  </si>
  <si>
    <t>Модернизация не требуется/normal (no need to upgrade) +4GB оперы и 512 SSD</t>
  </si>
  <si>
    <t>workStation Dell D15s OptiPlex7080 SFF</t>
  </si>
  <si>
    <t>4HBW783</t>
  </si>
  <si>
    <t>Erimeeva Margarita</t>
  </si>
  <si>
    <r>
      <rPr>
        <b/>
        <sz val="12"/>
        <color theme="1"/>
        <rFont val="Times New Roman"/>
        <family val="1"/>
        <charset val="204"/>
      </rPr>
      <t xml:space="preserve">Ершов Максим Михайлович
</t>
    </r>
    <r>
      <rPr>
        <b/>
        <sz val="12"/>
        <color theme="1"/>
        <rFont val="Times New Roman"/>
        <family val="1"/>
        <charset val="204"/>
      </rPr>
      <t>Корнеев Владимир Аркадьевич</t>
    </r>
  </si>
  <si>
    <t>00000011578</t>
  </si>
  <si>
    <r>
      <rPr>
        <sz val="12"/>
        <color rgb="FF000000"/>
        <rFont val="Times New Roman"/>
        <family val="1"/>
        <charset val="204"/>
      </rPr>
      <t xml:space="preserve">Ershov Maksim
</t>
    </r>
    <r>
      <rPr>
        <sz val="12"/>
        <color rgb="FF980000"/>
        <rFont val="Times New Roman"/>
        <family val="1"/>
        <charset val="204"/>
      </rPr>
      <t>Korneev Vladimir</t>
    </r>
  </si>
  <si>
    <t>LR08MDC7</t>
  </si>
  <si>
    <t>TRNWC-X4FHC-D7R3H-9KCMQ-BG9TP</t>
  </si>
  <si>
    <r>
      <rPr>
        <sz val="12"/>
        <color rgb="FF006100"/>
        <rFont val="Times New Roman"/>
        <family val="1"/>
        <charset val="204"/>
      </rPr>
      <t xml:space="preserve">Инженер-механик 1 категории
</t>
    </r>
    <r>
      <rPr>
        <sz val="12"/>
        <color rgb="FF980000"/>
        <rFont val="Times New Roman"/>
        <family val="1"/>
        <charset val="204"/>
      </rPr>
      <t>Инженер по производственному оборудованию</t>
    </r>
  </si>
  <si>
    <t>Акт 26.08.2026</t>
  </si>
  <si>
    <t>Laptop Acer Aspire 5 A515-54G</t>
  </si>
  <si>
    <t>NXHN0ER005011109767600</t>
  </si>
  <si>
    <t>OLD-W2-1</t>
  </si>
  <si>
    <t>UTILITY (Щербаков Д АКТ 30-09-2020)</t>
  </si>
  <si>
    <t>M&amp;U(MTC)
 (У MU в 1-13 для наладчиков)</t>
  </si>
  <si>
    <t>QDC3Q-QNRRD-Q7HQG-R36BD-7T9QQ</t>
  </si>
  <si>
    <t>Laptop Lenovo Thinkpad L580 (C1)</t>
  </si>
  <si>
    <t>отдать на перераспределение/ На складе, БЫЛА МОДЕРНИЗАЦИЯ ГОТОВ К ПОЛЬЗОВАТЕЛЮ</t>
  </si>
  <si>
    <t>14000154/Z000046</t>
  </si>
  <si>
    <t>PF12TWY1</t>
  </si>
  <si>
    <t>Кудрявцев Д.
Кудрявцев Д.</t>
  </si>
  <si>
    <t>Акт 30-09-20</t>
  </si>
  <si>
    <t>Workstation+monitor</t>
  </si>
  <si>
    <r>
      <rPr>
        <sz val="12"/>
        <color rgb="FF000000"/>
        <rFont val="Times New Roman"/>
        <family val="1"/>
        <charset val="204"/>
      </rPr>
      <t xml:space="preserve">Акт 23.03.2026 Ершов М.
</t>
    </r>
    <r>
      <rPr>
        <sz val="12"/>
        <color rgb="FF980000"/>
        <rFont val="Times New Roman"/>
        <family val="1"/>
        <charset val="204"/>
      </rPr>
      <t>Акт 23.03.2026 Корнеев В.</t>
    </r>
  </si>
  <si>
    <t>Workstation Lenovo Thinkstation P520 Intel Xeon W-2104</t>
  </si>
  <si>
    <t>S4HP0649</t>
  </si>
  <si>
    <t>Пузанов Никита Дмитриевич</t>
  </si>
  <si>
    <t>Puzanov Nikita</t>
  </si>
  <si>
    <t>Мастер по ремонту 1 категории</t>
  </si>
  <si>
    <t>14000144/Z000062</t>
  </si>
  <si>
    <t>PF12TWZ6</t>
  </si>
  <si>
    <t>Акт 06.07.2026</t>
  </si>
  <si>
    <t>Onufriev акт 12-02-2019
.\Naladchik.MU</t>
  </si>
  <si>
    <t>13532
14580</t>
  </si>
  <si>
    <t>M&amp;U(MTC)
У MU в цехе штамповки и сварки</t>
  </si>
  <si>
    <t>Баранников Михаил Юрьевич
Уткин Александр</t>
  </si>
  <si>
    <t>Модернизация не требуется/normal (no need to upgrade)
06.07.2026 Заменён АКБ из-за вздутия.</t>
  </si>
  <si>
    <t>00000011585</t>
  </si>
  <si>
    <t>LR08MDC3</t>
  </si>
  <si>
    <t>Barannikov Mikhail / Utkin Alexander</t>
  </si>
  <si>
    <t>Дорохов Роман Алексеевич</t>
  </si>
  <si>
    <t>Инженер-механик 1 категории</t>
  </si>
  <si>
    <t>была модернизация/upgraded (SSD 256)</t>
  </si>
  <si>
    <t>M&amp;U, MTC ES</t>
  </si>
  <si>
    <t>Dorokhov Roman</t>
  </si>
  <si>
    <t>100000003606</t>
  </si>
  <si>
    <t>00000011592</t>
  </si>
  <si>
    <t>LR08MD8A</t>
  </si>
  <si>
    <t>OLD-W2-2</t>
  </si>
  <si>
    <t>JN46D-VH4PK-2JDX9-3J8RV-MBH22</t>
  </si>
  <si>
    <t>Акт 20.01.2023</t>
  </si>
  <si>
    <t>F2715NBP35060821908</t>
  </si>
  <si>
    <t>Workstation LENOVO ThinkStation P330+monitor s24e</t>
  </si>
  <si>
    <t>P83YN-KPWY2-WJDW6-M8W9G-722KC</t>
  </si>
  <si>
    <t>PC0ZVQPT</t>
  </si>
  <si>
    <t>Климанов А
Мартынов Д.</t>
  </si>
  <si>
    <t>Акт 11.12.2025 Баранников М.
Акт 14.02.2026 Уткин А.</t>
  </si>
  <si>
    <t>технический компьютер</t>
  </si>
  <si>
    <t>M&amp;U(MTC) цеха сборки(1-04 офис MU)</t>
  </si>
  <si>
    <t>Workstation Lenovo ThinkStation P 520c</t>
  </si>
  <si>
    <t>140000175/Z000059</t>
  </si>
  <si>
    <t>S4FT0578</t>
  </si>
  <si>
    <t>Мартынова Татьяна Сергеевна</t>
  </si>
  <si>
    <t>была модернизация/upgraded(SSD 480+RAM 8 from RDC reserve)</t>
  </si>
  <si>
    <t>11353
2494</t>
  </si>
  <si>
    <t>Martynova Tatiana</t>
  </si>
  <si>
    <t>Старший кладовщик</t>
  </si>
  <si>
    <t>00000011584</t>
  </si>
  <si>
    <t>Сайков Максим Владимирович (11353)
Макаров Александр Владимирович (2494)</t>
  </si>
  <si>
    <t>Saykov Maxim/ Makarov Alexander</t>
  </si>
  <si>
    <t>LR08MDB7</t>
  </si>
  <si>
    <t>Начальник смены технического обслуживания оборудования 2 категории</t>
  </si>
  <si>
    <t>100000006433</t>
  </si>
  <si>
    <t>MS Office 2016</t>
  </si>
  <si>
    <t>OLD-W2-3</t>
  </si>
  <si>
    <t>Акт 01.11.2018</t>
  </si>
  <si>
    <t>PW0K0DNA</t>
  </si>
  <si>
    <t>после Яничкина Татьяна Анатольевна</t>
  </si>
  <si>
    <t>QNBK2-BKBQ7-T3764-DFQQM-MY6PT</t>
  </si>
  <si>
    <t>Акт 22.04.2026 Сайков М.
Акт 22.04.2026 Макаров А.</t>
  </si>
  <si>
    <t>Общий, акт подписал Ершов 06.08.2024</t>
  </si>
  <si>
    <t>M&amp;U(Utility)</t>
  </si>
  <si>
    <t>Laptop Lenovo V320</t>
  </si>
  <si>
    <t>140000180/Z000035</t>
  </si>
  <si>
    <t>PF10LM6F</t>
  </si>
  <si>
    <t>Акт 06.08.2024</t>
  </si>
  <si>
    <t>Гаврилова Екатерина Сергеевна</t>
  </si>
  <si>
    <t>Gavrilova Ekaterina</t>
  </si>
  <si>
    <t>Free_after_Yanichkina T.</t>
  </si>
  <si>
    <t>Glonass_system Акт на Куваркина К.</t>
  </si>
  <si>
    <t>Начальник участка / Group Leader</t>
  </si>
  <si>
    <r>
      <rPr>
        <u/>
        <sz val="10"/>
        <rFont val="Times New Roman"/>
        <family val="1"/>
        <charset val="204"/>
      </rPr>
      <t xml:space="preserve">6574
</t>
    </r>
    <r>
      <rPr>
        <sz val="10"/>
        <rFont val="Times New Roman"/>
        <family val="1"/>
        <charset val="204"/>
      </rPr>
      <t>13330</t>
    </r>
  </si>
  <si>
    <t>MD, глонасс</t>
  </si>
  <si>
    <t>WorkStation,monitor Lenovo 19" LT 1952p Black/240000013-0002</t>
  </si>
  <si>
    <t>PC HP 110-305nr J5M98EA/240000004</t>
  </si>
  <si>
    <t>0000000009</t>
  </si>
  <si>
    <t>Laptop HP 250 G7</t>
  </si>
  <si>
    <t>PC10AS8Z</t>
  </si>
  <si>
    <t>100000001600</t>
  </si>
  <si>
    <t>4CH42602VD</t>
  </si>
  <si>
    <t>CND1250618</t>
  </si>
  <si>
    <t>libtre office</t>
  </si>
  <si>
    <t>9GN83-C9YWQ-MR4YG-VD8F4-369TP</t>
  </si>
  <si>
    <t>Акт 08.08.2024</t>
  </si>
  <si>
    <t>без НДС 39916,67
с НДС 47900</t>
  </si>
  <si>
    <t>Акт 20.06.2025 на Куваркина К.</t>
  </si>
  <si>
    <r>
      <rPr>
        <b/>
        <sz val="12"/>
        <color theme="1"/>
        <rFont val="Times New Roman"/>
        <family val="1"/>
        <charset val="204"/>
      </rPr>
      <t xml:space="preserve">Чутов Иван Андреевич
</t>
    </r>
    <r>
      <rPr>
        <b/>
        <sz val="12"/>
        <color theme="1"/>
        <rFont val="Times New Roman"/>
        <family val="1"/>
        <charset val="204"/>
      </rPr>
      <t>Тиссен Елена Николаевна</t>
    </r>
  </si>
  <si>
    <t>Технический- под Engine акт от 26.02.2025 на Чутов И.</t>
  </si>
  <si>
    <t>MD, Engine MU</t>
  </si>
  <si>
    <t>WorkStation,monitor(Хiaomi A22FAB-RAGL 21'9 s/n 48341/107100042303),mouse,keyboard</t>
  </si>
  <si>
    <t>Workstation Регард К01369/1</t>
  </si>
  <si>
    <t>Данилов Павел Леонидович</t>
  </si>
  <si>
    <r>
      <rPr>
        <sz val="10"/>
        <color rgb="FF000000"/>
        <rFont val="Times New Roman"/>
        <family val="1"/>
        <charset val="204"/>
      </rPr>
      <t xml:space="preserve">Chutov Ivan
</t>
    </r>
    <r>
      <rPr>
        <sz val="10"/>
        <color rgb="FF000000"/>
        <rFont val="Times New Roman"/>
        <family val="1"/>
        <charset val="204"/>
      </rPr>
      <t xml:space="preserve"> Tissen Elena</t>
    </r>
  </si>
  <si>
    <t>К01369/1</t>
  </si>
  <si>
    <t>была модернизация/upgraded (SSD 256) но нужна RAM</t>
  </si>
  <si>
    <t>Danilov Pavel</t>
  </si>
  <si>
    <r>
      <rPr>
        <sz val="10"/>
        <color rgb="FF006100"/>
        <rFont val="Times New Roman"/>
        <family val="1"/>
        <charset val="204"/>
      </rPr>
      <t xml:space="preserve">Начальник участка обслуживания оборудования
 </t>
    </r>
    <r>
      <rPr>
        <sz val="10"/>
        <color rgb="FF006100"/>
        <rFont val="Times New Roman"/>
        <family val="1"/>
        <charset val="204"/>
      </rPr>
      <t>Наладчик технологического оборудования 1 категории</t>
    </r>
  </si>
  <si>
    <t>M&amp;U, MTC ES / M&amp;U, ESCP</t>
  </si>
  <si>
    <t>Laptop Lenovo V 130</t>
  </si>
  <si>
    <t>OLD-W2-4</t>
  </si>
  <si>
    <t>00000019366(2)</t>
  </si>
  <si>
    <t>100000003346</t>
  </si>
  <si>
    <t>Бариков Владимир Павлович ( 11219 )</t>
  </si>
  <si>
    <t>R90T947G</t>
  </si>
  <si>
    <t>Free_after_Barikov V.</t>
  </si>
  <si>
    <t>Акт 26.02.2025</t>
  </si>
  <si>
    <t>Инженер логистики</t>
  </si>
  <si>
    <t>Workstation,mouse,keyboard, monitor S24d</t>
  </si>
  <si>
    <t>NXEGYER00H320086173400</t>
  </si>
  <si>
    <t>Компьтер Thinkstation P520 Intel Xeon W-2104</t>
  </si>
  <si>
    <t>140000194</t>
  </si>
  <si>
    <t>Акт 30.10.2023</t>
  </si>
  <si>
    <t>S4HN3456</t>
  </si>
  <si>
    <t>C99VN-XGR47-JGGHW-9M8DK-Y7WGG</t>
  </si>
  <si>
    <r>
      <rPr>
        <sz val="10"/>
        <color rgb="FF000000"/>
        <rFont val="Times New Roman"/>
        <family val="1"/>
        <charset val="204"/>
      </rPr>
      <t xml:space="preserve">Иванов К.
</t>
    </r>
    <r>
      <rPr>
        <sz val="10"/>
        <color rgb="FF000000"/>
        <rFont val="Times New Roman"/>
        <family val="1"/>
        <charset val="204"/>
      </rPr>
      <t>Кудрявцев Д.</t>
    </r>
  </si>
  <si>
    <r>
      <rPr>
        <sz val="10"/>
        <color rgb="FF000000"/>
        <rFont val="Times New Roman"/>
        <family val="1"/>
        <charset val="204"/>
      </rPr>
      <t xml:space="preserve">Акт 17.05.2024 Чутов И.
</t>
    </r>
    <r>
      <rPr>
        <sz val="10"/>
        <color rgb="FF000000"/>
        <rFont val="Times New Roman"/>
        <family val="1"/>
        <charset val="204"/>
      </rPr>
      <t xml:space="preserve">Акт  20.11.2025 </t>
    </r>
    <r>
      <rPr>
        <sz val="10"/>
        <color rgb="FF000000"/>
        <rFont val="Times New Roman"/>
        <family val="1"/>
        <charset val="204"/>
      </rPr>
      <t>Тиссен Е.</t>
    </r>
  </si>
  <si>
    <t>Ответственная Лейко Д.А.
 акт от 10.12.2024 на неё / PaintShiftLeaders (Настроена общая учётка)</t>
  </si>
  <si>
    <t>140000157</t>
  </si>
  <si>
    <t>S4FM3319</t>
  </si>
  <si>
    <t>Акт 10.12.2024</t>
  </si>
  <si>
    <t>Чкунин Юрий Юрьевич</t>
  </si>
  <si>
    <t>была модернизация/upgraded (SSD 256) ОЗУ 12</t>
  </si>
  <si>
    <t>Chkunin Yuriy</t>
  </si>
  <si>
    <t>Акт 30.09.2025</t>
  </si>
  <si>
    <t>00000022303(2)</t>
  </si>
  <si>
    <t>1891
7401</t>
  </si>
  <si>
    <t>Аганин Николай Анатольевич (1891) 
Вершинин Михаил Евгеньевич ( 7401 )</t>
  </si>
  <si>
    <t>у PAINT в лаборатории акт на
Чеснокова Елена Николаевна 14.04.2025</t>
  </si>
  <si>
    <t>Модернизация не требуется/normal (no need to upgrade) ОЗУ 8 SSD 256</t>
  </si>
  <si>
    <t>MD, PAINT (лаборатория окраки)</t>
  </si>
  <si>
    <t>Aganin Nikolay
Vershinin Mikhail</t>
  </si>
  <si>
    <t>Laptop Dell Latitude 3450</t>
  </si>
  <si>
    <t>140000019/Z000141</t>
  </si>
  <si>
    <t>PF14T18U</t>
  </si>
  <si>
    <t>M&amp;U, MTC S&amp;W</t>
  </si>
  <si>
    <t>100000003605</t>
  </si>
  <si>
    <t>99GPG22</t>
  </si>
  <si>
    <t>94DHF-NJM4R-MHWPH-GWCCR-844C2</t>
  </si>
  <si>
    <t>F2715NBP35060820989</t>
  </si>
  <si>
    <t>Акт 22.09.2025</t>
  </si>
  <si>
    <t>MN8D8-QYG9P-VM9WM-4HBWQ-RJRC2</t>
  </si>
  <si>
    <t>Акт 17.10.2025 Аганин Н. 
Акт 23.06.2026 на Вершинин М</t>
  </si>
  <si>
    <t>OLD-W2-5</t>
  </si>
  <si>
    <t>РЕЗЕРВ SEC ПОД СПЕЦИАЛИСТА SEC 
(бронь за подразделением)</t>
  </si>
  <si>
    <t>Workstation Lenovo Legion R5</t>
  </si>
  <si>
    <t>Paint_Mix_room</t>
  </si>
  <si>
    <t>S1019GMA</t>
  </si>
  <si>
    <t>MD, PAINT микс рум цех окраски</t>
  </si>
  <si>
    <t>140000156/Z000073</t>
  </si>
  <si>
    <t>Алексеенко Михаил Михайлович</t>
  </si>
  <si>
    <t>758
2518</t>
  </si>
  <si>
    <t>S4FM3379</t>
  </si>
  <si>
    <r>
      <rPr>
        <b/>
        <sz val="12"/>
        <color theme="1"/>
        <rFont val="Times New Roman"/>
        <family val="1"/>
        <charset val="204"/>
      </rPr>
      <t xml:space="preserve">Бердник Евгений Игоревич
</t>
    </r>
    <r>
      <rPr>
        <b/>
        <sz val="12"/>
        <color theme="1"/>
        <rFont val="Times New Roman"/>
        <family val="1"/>
        <charset val="204"/>
      </rPr>
      <t xml:space="preserve">Грушихин Денис  </t>
    </r>
  </si>
  <si>
    <t>Alekseenko Mikhail</t>
  </si>
  <si>
    <t>была модернизация/upgraded (SSD 256)/ Модернизация была добавлено 4 ГБ оперативной памяти</t>
  </si>
  <si>
    <t xml:space="preserve">Руководитель инженерной группы </t>
  </si>
  <si>
    <r>
      <rPr>
        <sz val="12"/>
        <color rgb="FF000000"/>
        <rFont val="Times New Roman"/>
        <family val="1"/>
        <charset val="204"/>
      </rPr>
      <t xml:space="preserve">Berdnik Evgeniy
</t>
    </r>
    <r>
      <rPr>
        <sz val="12"/>
        <color rgb="FF783F04"/>
        <rFont val="Times New Roman"/>
        <family val="1"/>
        <charset val="204"/>
      </rPr>
      <t>Gruishikhin Denis</t>
    </r>
  </si>
  <si>
    <t>Начальники участка Chassis1</t>
  </si>
  <si>
    <t>100000003630</t>
  </si>
  <si>
    <t>00000010781</t>
  </si>
  <si>
    <t>F2715NBP35060820191</t>
  </si>
  <si>
    <t>Ответственная Тимченко Юлия Алексеевна акт от 07.12.2024 на неё / QC.Paint (Настроена общая учётка)
Карташова Карина Викторовна 11086</t>
  </si>
  <si>
    <t>MD, PAINT QT</t>
  </si>
  <si>
    <t>00000011072</t>
  </si>
  <si>
    <t>R90QFQ06</t>
  </si>
  <si>
    <t>Мартынов Д</t>
  </si>
  <si>
    <t>Акт 16.12.2025 Бердник Е.
Акт 16.12.2025 Грушихин Д.</t>
  </si>
  <si>
    <t>БЕЗ НДС  30247.46 С НДС 35692.00</t>
  </si>
  <si>
    <t xml:space="preserve">Власова Ольга Афанасьевна </t>
  </si>
  <si>
    <t>R90QN4WB</t>
  </si>
  <si>
    <t>Vlasova Olga</t>
  </si>
  <si>
    <t>Аудитор готового автомобиля</t>
  </si>
  <si>
    <t>Q&amp;T, QI</t>
  </si>
  <si>
    <t>Laptop,mouse,bag+Lan-USB</t>
  </si>
  <si>
    <t>Installed Key:9Q9NM-K27Y3-D8BYW-4B997-3J3GP
OEM Key:9Q9NM-K27Y3-D8BYW-4B997-3J3GP</t>
  </si>
  <si>
    <t>Laptop Lenovo V15 G1+Lan-USB</t>
  </si>
  <si>
    <t>Грибков Владимир Игоревич</t>
  </si>
  <si>
    <t>100000001624</t>
  </si>
  <si>
    <t>Акт 07.12.2024
Акт 19.09.2026</t>
  </si>
  <si>
    <t>PF2TYG12</t>
  </si>
  <si>
    <t>Free_after_Gribkov Vladimir</t>
  </si>
  <si>
    <t>Серверный системный инженер</t>
  </si>
  <si>
    <t>Laptop,mouse,monitor Монитор Lenovo s22e-19 SN:V5AY3335</t>
  </si>
  <si>
    <t>Lenovo Thinkbook 15 G4 IAP</t>
  </si>
  <si>
    <t>акт 30-09-2021/ акт 02-08-24 /акт 05,09,24</t>
  </si>
  <si>
    <t>100000003385</t>
  </si>
  <si>
    <t>MP2HBY7F</t>
  </si>
  <si>
    <t>Microsoft Office профессиональный плюс 2021</t>
  </si>
  <si>
    <t>10817
1310</t>
  </si>
  <si>
    <r>
      <rPr>
        <b/>
        <sz val="12"/>
        <color rgb="FF000000"/>
        <rFont val="Times New Roman"/>
        <family val="1"/>
        <charset val="204"/>
      </rPr>
      <t>Мисник Егор Александрович
Аверьянов Даниил Александрович 10817</t>
    </r>
    <r>
      <rPr>
        <b/>
        <sz val="12"/>
        <color rgb="FF980000"/>
        <rFont val="Times New Roman"/>
        <family val="1"/>
        <charset val="204"/>
      </rPr>
      <t xml:space="preserve">
</t>
    </r>
    <r>
      <rPr>
        <b/>
        <sz val="12"/>
        <color rgb="FF000000"/>
        <rFont val="Times New Roman"/>
        <family val="1"/>
        <charset val="204"/>
      </rPr>
      <t>Безверхий Антон Александрович 1310</t>
    </r>
  </si>
  <si>
    <r>
      <rPr>
        <sz val="12"/>
        <color rgb="FF000000"/>
        <rFont val="Times New Roman"/>
        <family val="1"/>
        <charset val="204"/>
      </rPr>
      <t>Misnik Egor
Averyanov Daniil</t>
    </r>
    <r>
      <rPr>
        <sz val="12"/>
        <color rgb="FF980000"/>
        <rFont val="Times New Roman"/>
        <family val="1"/>
        <charset val="204"/>
      </rPr>
      <t xml:space="preserve">
</t>
    </r>
    <r>
      <rPr>
        <sz val="12"/>
        <color rgb="FF000000"/>
        <rFont val="Times New Roman"/>
        <family val="1"/>
        <charset val="204"/>
      </rPr>
      <t>Bezverkhy Anton</t>
    </r>
  </si>
  <si>
    <t>акт на лейко(07-08-2023)</t>
  </si>
  <si>
    <r>
      <rPr>
        <sz val="12"/>
        <color rgb="FF006100"/>
        <rFont val="Times New Roman"/>
        <family val="1"/>
        <charset val="204"/>
      </rPr>
      <t>Мастер 2 категории
Контролер качества</t>
    </r>
    <r>
      <rPr>
        <sz val="12"/>
        <color rgb="FF980000"/>
        <rFont val="Times New Roman"/>
        <family val="1"/>
        <charset val="204"/>
      </rPr>
      <t xml:space="preserve">
</t>
    </r>
    <r>
      <rPr>
        <sz val="12"/>
        <color rgb="FF006100"/>
        <rFont val="Times New Roman"/>
        <family val="1"/>
        <charset val="204"/>
      </rPr>
      <t>Контролер качества</t>
    </r>
  </si>
  <si>
    <t>Акт 02.04.2026</t>
  </si>
  <si>
    <t>00000010784</t>
  </si>
  <si>
    <t>00000015287</t>
  </si>
  <si>
    <t>Смелык Андрей Владимирович</t>
  </si>
  <si>
    <t>LR0AVC2R</t>
  </si>
  <si>
    <t>была модернизация/upgraded (480 SSD)</t>
  </si>
  <si>
    <t>Smelyk Andrey</t>
  </si>
  <si>
    <t>Начальник участка обслуживания оборудования</t>
  </si>
  <si>
    <t>9H9FT-NQ7VW-Q637K-V62BQ-PYT6P</t>
  </si>
  <si>
    <t>150000015/Z000007</t>
  </si>
  <si>
    <t>Акт 07.08.2023</t>
  </si>
  <si>
    <t>P901FSL3</t>
  </si>
  <si>
    <t>XNMKK-VG7Y9-YK9JC-TR6WG-4M6GC</t>
  </si>
  <si>
    <t>Акт 26.01.2021</t>
  </si>
  <si>
    <t>R90QFPZU</t>
  </si>
  <si>
    <t>6N8W4-X6C87-KK94B-B3G22-DDBP2</t>
  </si>
  <si>
    <t>Мартынов Д. / Протопопов А.
Климанов А</t>
  </si>
  <si>
    <t xml:space="preserve">Акт 27.04.2026 Мисник Е.
Акт 07.05.2026 Аверьянов Д.
Акт 14.08.2026 Безвехий А </t>
  </si>
  <si>
    <t>Расписывался Ушаков Денис для общей учётки QT_SW</t>
  </si>
  <si>
    <t>00000011591</t>
  </si>
  <si>
    <t>Сиротинский Александр Юрьевич</t>
  </si>
  <si>
    <t>LR08MDC1</t>
  </si>
  <si>
    <t>Sirotinsky Aleksandr</t>
  </si>
  <si>
    <t>Технолог/technologist</t>
  </si>
  <si>
    <t>MD, COMP</t>
  </si>
  <si>
    <t>100000006719</t>
  </si>
  <si>
    <t>Акт 16.04.2025</t>
  </si>
  <si>
    <t>После Тамбовцева Екатерина Юрьевна (ушла в декрет)</t>
  </si>
  <si>
    <t>PW0K0DBJ</t>
  </si>
  <si>
    <t>Free_after_Tambovtseva Ekaterina</t>
  </si>
  <si>
    <t>R4W8N-4CWPD-BCCCC-F4GGY-CWGPT</t>
  </si>
  <si>
    <t>Laptop,mouse, Monitor Xiaomi A24i SN:54383/250100059569</t>
  </si>
  <si>
    <t>Акт 27.06.2026</t>
  </si>
  <si>
    <t>100000005397</t>
  </si>
  <si>
    <t>C2509N0008356</t>
  </si>
  <si>
    <t>RUTL-N0008356</t>
  </si>
  <si>
    <t>10171
15380</t>
  </si>
  <si>
    <r>
      <rPr>
        <b/>
        <sz val="12"/>
        <color theme="1"/>
        <rFont val="Times New Roman"/>
        <family val="1"/>
        <charset val="204"/>
      </rPr>
      <t xml:space="preserve">Подгорнев Александр Владиславович 10171
</t>
    </r>
    <r>
      <rPr>
        <b/>
        <sz val="12"/>
        <color theme="1"/>
        <rFont val="Times New Roman"/>
        <family val="1"/>
        <charset val="204"/>
      </rPr>
      <t>Паламодов Сергей Анатольевич 15380</t>
    </r>
  </si>
  <si>
    <t>Podgornev Alexander
Palamodov Sergei</t>
  </si>
  <si>
    <t>4NG8B-Y2VWK-GTCBC-6JYBR-GXX2P</t>
  </si>
  <si>
    <t xml:space="preserve"> Мастер 2 категории
Мастер 1 категории</t>
  </si>
  <si>
    <t xml:space="preserve">Сурин Сергей Валериевич/Локальная учетка СММ </t>
  </si>
  <si>
    <t>Модернизация не требуется/normal (no need to upgrade) На борту уже установлено 2 nvme+ установили ОЗУ 32 GB</t>
  </si>
  <si>
    <t>Surin Sergey</t>
  </si>
  <si>
    <t>00000011054</t>
  </si>
  <si>
    <t>СММ инспектор</t>
  </si>
  <si>
    <t>Акт 04.04.2026</t>
  </si>
  <si>
    <t>MSI Modern 15 F1MG-800XRU</t>
  </si>
  <si>
    <t>100000005184</t>
  </si>
  <si>
    <t>Володин Сергей Владимирович</t>
  </si>
  <si>
    <t>R90QN4WR</t>
  </si>
  <si>
    <t>Volodin Sergey</t>
  </si>
  <si>
    <t>C2507N0002622</t>
  </si>
  <si>
    <t>Ведущий инженер-электроник</t>
  </si>
  <si>
    <t>100000004237</t>
  </si>
  <si>
    <t>Libre Office/ Only Office</t>
  </si>
  <si>
    <t>MS Windows 11 Prof</t>
  </si>
  <si>
    <t>GVR9N-KKY87-2XF9T-2KBJY-BBH22</t>
  </si>
  <si>
    <t>F2717NBP4502103178</t>
  </si>
  <si>
    <t>Тимошенко Ирада Витальевна</t>
  </si>
  <si>
    <t>CKJD4-4NXD8-2HGM9-3HFVW-6MT6P</t>
  </si>
  <si>
    <t>Тендер 28.11.2025</t>
  </si>
  <si>
    <t>Акт 12.03.2025</t>
  </si>
  <si>
    <t>Free_after_Timoshenko Irada</t>
  </si>
  <si>
    <t>DTDJN-9TKBK-DQW23-KXRXV-MBH39</t>
  </si>
  <si>
    <t>Руководитель отдела подбора персонала</t>
  </si>
  <si>
    <t>PGGNR-9TQ99-VM8TR-Y2YPG-KTPKC</t>
  </si>
  <si>
    <t>100000005386</t>
  </si>
  <si>
    <t>C2507N0002819</t>
  </si>
  <si>
    <t>Акт 02.09.2026 Подгорнев А
Акт 02.09.2026 Паламодов С</t>
  </si>
  <si>
    <t>NT77P-XXMVF-KF94H-6M2YD-DV7CP</t>
  </si>
  <si>
    <t>Акт 03.03.2026</t>
  </si>
  <si>
    <t>Цыганков Павел Михайлович</t>
  </si>
  <si>
    <t>Tsygankov Pavel</t>
  </si>
  <si>
    <t>PLD</t>
  </si>
  <si>
    <t>100000005121</t>
  </si>
  <si>
    <t>C2507N0002765</t>
  </si>
  <si>
    <t>Сурин Сергей Валериевич
Чабан М.
Локальная учетка Haval (расписался Чабан М)</t>
  </si>
  <si>
    <t>NH2YF-JYC8H-K99BM-79CCV-4C2TC</t>
  </si>
  <si>
    <t>Акт 09.12.2025</t>
  </si>
  <si>
    <t>Lenovo ThinkPad X1</t>
  </si>
  <si>
    <t>140000212</t>
  </si>
  <si>
    <t>2373
7452
7961</t>
  </si>
  <si>
    <t>Прохоров Максим 2373
Горлачев Антон 7452
Михайлов Артем Александрович 7961</t>
  </si>
  <si>
    <t>Prokhorov Maxim
Gorlachev Anton
Mikhailov Artem</t>
  </si>
  <si>
    <t>Начальники участка Final 1
Мастер</t>
  </si>
  <si>
    <t>00000011058</t>
  </si>
  <si>
    <t>R90QN4VW</t>
  </si>
  <si>
    <t>Попков Александр Александрович</t>
  </si>
  <si>
    <t>4XHTB-VNXWT-QCF3R-M4D89-DYH22</t>
  </si>
  <si>
    <t>Popkov Aleksander</t>
  </si>
  <si>
    <t>CH, CH MD, CH MTC</t>
  </si>
  <si>
    <t>Мартынов Д
Климанов А.</t>
  </si>
  <si>
    <t>100000003641</t>
  </si>
  <si>
    <t>STUDENT</t>
  </si>
  <si>
    <t>F2715NBP35060820350</t>
  </si>
  <si>
    <t>Акт 17.12.2025 Прохоров М
Акт 17.12.2025 Горлачев А
Акт 13.08.26 Михайлов А</t>
  </si>
  <si>
    <t xml:space="preserve">для студентов 
</t>
  </si>
  <si>
    <t>R90RVMF6</t>
  </si>
  <si>
    <t>TNKTC-6FMKR-BK4RG-DYMYV-46YP2</t>
  </si>
  <si>
    <t>Free_after_STUDENT</t>
  </si>
  <si>
    <t>MS Windows 10 Prof</t>
  </si>
  <si>
    <t>laptop HP ProBook455/240000003</t>
  </si>
  <si>
    <t>(240000003)/000000469</t>
  </si>
  <si>
    <t>Акт 05.12.2025 Сурин С.
Акт 05.12.2025 Чабан М.</t>
  </si>
  <si>
    <t>CND4434S0B</t>
  </si>
  <si>
    <t>XQC3V-D7NHY-DHBY2-YDBYK-XKY4G</t>
  </si>
  <si>
    <t>Ремизов Дмитрий Викторович</t>
  </si>
  <si>
    <t>QH947-TJN7R-K46Y8-DC7VW-6MRYC</t>
  </si>
  <si>
    <t>Remizov Dmitry</t>
  </si>
  <si>
    <t>4407
14856</t>
  </si>
  <si>
    <t>Руководитель инженерной группы</t>
  </si>
  <si>
    <t>100000003586</t>
  </si>
  <si>
    <t>F2715NBP35060820814</t>
  </si>
  <si>
    <t>акт 10-11-2022 Ушаков Денис для общей учётки QT_SW</t>
  </si>
  <si>
    <t>Рязанов Максим Александрович / Фатюшин Александр Владимирович</t>
  </si>
  <si>
    <t>Модернизация не требуется/normal (no need to upgrade) ОЗУ 12 SSD 256</t>
  </si>
  <si>
    <t>14000142/Z000061</t>
  </si>
  <si>
    <t>Ryazanov Maxim / Fatyushin Alexander</t>
  </si>
  <si>
    <t>PF12TV8F</t>
  </si>
  <si>
    <t>00000011070</t>
  </si>
  <si>
    <t>Акт 04.12.2024</t>
  </si>
  <si>
    <t>R90QN4VJ</t>
  </si>
  <si>
    <t>Трофимов Владимир Юрьевич</t>
  </si>
  <si>
    <t>140000015/Z000142</t>
  </si>
  <si>
    <t>HK7WV-VN4Q8-RH7GX-XDR27-GCQGP</t>
  </si>
  <si>
    <t>Акт 09.08.2024 Рязанов  М. 
Акт 10.03.2026 Фатюшин А</t>
  </si>
  <si>
    <t>100000004637</t>
  </si>
  <si>
    <t>NXKN3CD00J43500F113400</t>
  </si>
  <si>
    <t>1SCLG22</t>
  </si>
  <si>
    <t>6NPR3-63B7J-W28Q4-8F3DF-DJ3GP</t>
  </si>
  <si>
    <t>Акт 11.08.2025</t>
  </si>
  <si>
    <t>Акт 12.08.2026</t>
  </si>
  <si>
    <t>Бирькина Анна
Лесников Егор Юрьевич
Винников Александр Александрович 2503</t>
  </si>
  <si>
    <t>Birkina Anna
Lesnikov Egor
Vinnikov Alexander</t>
  </si>
  <si>
    <t>3245
9576
10947
12926</t>
  </si>
  <si>
    <t>Мастер 2 категории линия Trim1</t>
  </si>
  <si>
    <r>
      <rPr>
        <b/>
        <sz val="12"/>
        <color rgb="FF000000"/>
        <rFont val="Times New Roman"/>
        <family val="1"/>
        <charset val="204"/>
      </rPr>
      <t>Федин Антон Александрович 3245
Исаева Анастасия Андреевна 9576</t>
    </r>
    <r>
      <rPr>
        <b/>
        <sz val="12"/>
        <color rgb="FFFF9900"/>
        <rFont val="Times New Roman"/>
        <family val="1"/>
        <charset val="204"/>
      </rPr>
      <t xml:space="preserve">
</t>
    </r>
    <r>
      <rPr>
        <b/>
        <sz val="12"/>
        <color rgb="FF000000"/>
        <rFont val="Times New Roman"/>
        <family val="1"/>
        <charset val="204"/>
      </rPr>
      <t>Пряхина Елизавета Анатольевна 10947
Лапина Каролина Евгеньевна 12926</t>
    </r>
  </si>
  <si>
    <t>00000015284</t>
  </si>
  <si>
    <t>Fedin Anton</t>
  </si>
  <si>
    <t>Storekeepers</t>
  </si>
  <si>
    <t>LR0AVC25</t>
  </si>
  <si>
    <t>после Комарова Анна Андреевна ( 17629 )</t>
  </si>
  <si>
    <t>PLD, WL
складская логистика (Storekeepers)</t>
  </si>
  <si>
    <t>Workstation, mouse, keyboard, monitor</t>
  </si>
  <si>
    <t>Мартынов Д
Протопопов А.</t>
  </si>
  <si>
    <t>Workstation Lenovo V50T+ отдельно монитор Samsung S24F</t>
  </si>
  <si>
    <t>Акт 16.12.2025 Бирькина А
Акт 16.12.2025 Лесников Е.
Акт 17.08.2026 Винников А.</t>
  </si>
  <si>
    <t>Free_after_Komarova Anna</t>
  </si>
  <si>
    <t>Кочетов Сергей Михайлович</t>
  </si>
  <si>
    <t>Специалист 1 категории / Specialist of the 1st category</t>
  </si>
  <si>
    <t>Kochetov Sergey</t>
  </si>
  <si>
    <t>140000160/Z000078</t>
  </si>
  <si>
    <t>S4FM3429</t>
  </si>
  <si>
    <t>100000007010</t>
  </si>
  <si>
    <t>PC1SQYK7</t>
  </si>
  <si>
    <t>DQBRRCD00255101A756N02</t>
  </si>
  <si>
    <t>XGWNH-DFD9K-7JJFC-QT26M-43M4G</t>
  </si>
  <si>
    <t>4030
2293
1138
14180
5494
5237</t>
  </si>
  <si>
    <r>
      <rPr>
        <b/>
        <sz val="12"/>
        <color rgb="FF000000"/>
        <rFont val="Times New Roman"/>
        <family val="1"/>
        <charset val="204"/>
      </rPr>
      <t>Болясов Михаил Владимирович 4030
Боенков Сергей Игоревич 2293
Леонова Ирина Сергеевна 1138
Ерещенко Елизавета Дмитриевна 14180</t>
    </r>
    <r>
      <rPr>
        <b/>
        <sz val="12"/>
        <color rgb="FF980000"/>
        <rFont val="Times New Roman"/>
        <family val="1"/>
        <charset val="204"/>
      </rPr>
      <t xml:space="preserve">
</t>
    </r>
    <r>
      <rPr>
        <b/>
        <sz val="12"/>
        <color rgb="FF000000"/>
        <rFont val="Times New Roman"/>
        <family val="1"/>
        <charset val="204"/>
      </rPr>
      <t>Крутая Анастасия Андреевна 5494 (временно превели сюда)
Курбатов Александр Александрович  5237</t>
    </r>
  </si>
  <si>
    <t>была модернизация/upgraded (SSD)+ram</t>
  </si>
  <si>
    <t xml:space="preserve">Протопопов А.
</t>
  </si>
  <si>
    <r>
      <rPr>
        <sz val="12"/>
        <color rgb="FF000000"/>
        <rFont val="Times New Roman"/>
        <family val="1"/>
        <charset val="204"/>
      </rPr>
      <t xml:space="preserve">
Bolyasov Mikhail
Boyenkov Sergey
Leonova Irina
Yereshchenko Elizaveta</t>
    </r>
    <r>
      <rPr>
        <sz val="12"/>
        <color rgb="FF980000"/>
        <rFont val="Times New Roman"/>
        <family val="1"/>
        <charset val="204"/>
      </rPr>
      <t xml:space="preserve">
</t>
    </r>
    <r>
      <rPr>
        <sz val="12"/>
        <color rgb="FF000000"/>
        <rFont val="Times New Roman"/>
        <family val="1"/>
        <charset val="204"/>
      </rPr>
      <t xml:space="preserve">Krutaya Anastasiya
Kurbatov Alexander </t>
    </r>
  </si>
  <si>
    <t>M3NW8-YX8TC-8TV7M-JTBMT-XOC6G</t>
  </si>
  <si>
    <t>Акт 22.08.2026 (Исаева)
Акт 22.08.2026 (Пряхина)
Акт 22.08.2026 (Лапина)</t>
  </si>
  <si>
    <t xml:space="preserve">
Мастер по ремонту 1 категории
Мастер по ремонту 1 категории
Слесарь по ремонту автомобилей 2 категории
Оператор
Мастер по ремонту 1 категории</t>
  </si>
  <si>
    <t>DNMTG-RDKJY-CFV9Q-YQBWC-PGY6G</t>
  </si>
  <si>
    <t>00000015285</t>
  </si>
  <si>
    <t>LR0AVC21</t>
  </si>
  <si>
    <t>Акт 31.07.2026</t>
  </si>
  <si>
    <r>
      <rPr>
        <sz val="10"/>
        <color rgb="FF000000"/>
        <rFont val="Times New Roman"/>
        <family val="1"/>
        <charset val="204"/>
      </rPr>
      <t>Кудрявцев Д. /Летунов А. / Кудрявцев Д. / Мартынов Д / 
Летунов А</t>
    </r>
    <r>
      <rPr>
        <sz val="10"/>
        <color rgb="FF980000"/>
        <rFont val="Times New Roman"/>
        <family val="1"/>
        <charset val="204"/>
      </rPr>
      <t xml:space="preserve">.
</t>
    </r>
    <r>
      <rPr>
        <sz val="10"/>
        <color rgb="FF000000"/>
        <rFont val="Times New Roman"/>
        <family val="1"/>
        <charset val="204"/>
      </rPr>
      <t>Климанов А.</t>
    </r>
  </si>
  <si>
    <r>
      <rPr>
        <sz val="12"/>
        <color rgb="FF000000"/>
        <rFont val="Times New Roman"/>
        <family val="1"/>
        <charset val="204"/>
      </rPr>
      <t>Акт 25.09.2025 Болясов М.
Акт  24.10.2025 Боенков С
Акт 18.02.2026 Леонова И.
Акт 19.03.2026 Ерещенко Е.</t>
    </r>
    <r>
      <rPr>
        <sz val="12"/>
        <color rgb="FF980000"/>
        <rFont val="Times New Roman"/>
        <family val="1"/>
        <charset val="204"/>
      </rPr>
      <t xml:space="preserve">
</t>
    </r>
    <r>
      <rPr>
        <sz val="12"/>
        <color rgb="FF000000"/>
        <rFont val="Times New Roman"/>
        <family val="1"/>
        <charset val="204"/>
      </rPr>
      <t>Акт 17.08.2026 Курбатов А.</t>
    </r>
  </si>
  <si>
    <t>1420
1355
6433
2236
7414</t>
  </si>
  <si>
    <t>Трифонов Иван Михайлович
Хуснутдинов Рустам Викторович
Васюнин Денис Владимирович
Хабибулин Дмитрий Тахирович
Горин Иван Андреевич</t>
  </si>
  <si>
    <t>Trifonov Ivan
Khusnutdinov Rustam
Gorin Ivan</t>
  </si>
  <si>
    <t>Начальники участка Door Line
Мастер 2 категории
Мастер 2 категории</t>
  </si>
  <si>
    <t>логистика акт 03-06-2021 (Рязанцев К.С.)
Воробьева Елена Николаевна</t>
  </si>
  <si>
    <t>00000016134</t>
  </si>
  <si>
    <t>Vorobyova Elena</t>
  </si>
  <si>
    <t>LR0AVC2H</t>
  </si>
  <si>
    <t>Workstation,keyboard,monitor</t>
  </si>
  <si>
    <t xml:space="preserve">На складе </t>
  </si>
  <si>
    <t>Ковалев Александр Павлович</t>
  </si>
  <si>
    <t>Акт 16.12.2025 Трифонов И.
Акт 16.12.2025 Хуснутдинов Р
 Акт 18.02.2026 Васюнин Д.
 Акт 18.02.2026 Хабибулин Д
Акт 24.02.2026 Горин И.</t>
  </si>
  <si>
    <t>Кан Светлана Михайловна 11783</t>
  </si>
  <si>
    <t>Стоит SSD 240 ОЗУ 8GB</t>
  </si>
  <si>
    <t>Kovalev Aleksandr</t>
  </si>
  <si>
    <t>Free_after_Kan Svetlana</t>
  </si>
  <si>
    <t>Специалист технической поддержки 1 категории</t>
  </si>
  <si>
    <t>PLD, WL</t>
  </si>
  <si>
    <t>PC1SQYJW</t>
  </si>
  <si>
    <t>Laptop,mouse.  Monitor Lenovo C24e-10 (S/N: V5AR7111)</t>
  </si>
  <si>
    <t>140000056/Z000105</t>
  </si>
  <si>
    <t>100000004236</t>
  </si>
  <si>
    <t>F2717NBP4502103063</t>
  </si>
  <si>
    <t>MRJVN-7H2TD-7TH8K-2WWX8-BWTMT</t>
  </si>
  <si>
    <t>PF10YR5K</t>
  </si>
  <si>
    <t>Акт 31.08.2026 Воробьева</t>
  </si>
  <si>
    <t>ULTRAVNC \ MESH</t>
  </si>
  <si>
    <t>no need</t>
  </si>
  <si>
    <t>7NM8C-TX2VX-4JDRH-G6RXK-YDWXC</t>
  </si>
  <si>
    <t>Акт 25.01.2023</t>
  </si>
  <si>
    <t>4780
14758</t>
  </si>
  <si>
    <r>
      <rPr>
        <b/>
        <sz val="12"/>
        <color theme="1"/>
        <rFont val="Times New Roman"/>
        <family val="1"/>
        <charset val="204"/>
      </rPr>
      <t xml:space="preserve">Порошкова Екатерина Зайридиновна
</t>
    </r>
    <r>
      <rPr>
        <b/>
        <sz val="12"/>
        <color theme="1"/>
        <rFont val="Times New Roman"/>
        <family val="1"/>
        <charset val="204"/>
      </rPr>
      <t>Левин Артур Тимурович</t>
    </r>
  </si>
  <si>
    <t>Акт 20.02.2025</t>
  </si>
  <si>
    <t>требуется замена жесткого диска/ need to replacement hard disk</t>
  </si>
  <si>
    <t>Poroshkova Ekaterina
Levin Arthur</t>
  </si>
  <si>
    <t>Специалист по качеству
Оператор</t>
  </si>
  <si>
    <t>00000019366(12)</t>
  </si>
  <si>
    <t>R90T947N</t>
  </si>
  <si>
    <t>акт 12-12-2024
Акт 31.08.2026</t>
  </si>
  <si>
    <t>Астаркин Евгений Сергеевич</t>
  </si>
  <si>
    <t>Astarkin Evgeniy</t>
  </si>
  <si>
    <t>Laptop Acer NITRO 5 AN 515-55-72ST</t>
  </si>
  <si>
    <t>NHQB2CN0021070BC303400</t>
  </si>
  <si>
    <t>логистика акт 03-06-2021 (Рязанцев К.С.), использует Савленков В.</t>
  </si>
  <si>
    <t>BJNX3-F4B2V-WWDD2-F2KBG-2378X</t>
  </si>
  <si>
    <t>Батомункуева Наталья Даба-Самбуевна</t>
  </si>
  <si>
    <t>Акт 12.08.2021</t>
  </si>
  <si>
    <t>100000001586</t>
  </si>
  <si>
    <t>Free_after_Batomunkueva Natalia</t>
  </si>
  <si>
    <t>Переводчик</t>
  </si>
  <si>
    <t>PC1SQYJX</t>
  </si>
  <si>
    <t>Laptop Lenovo ThinkPad EDGE E550</t>
  </si>
  <si>
    <r>
      <rPr>
        <sz val="10"/>
        <color theme="1"/>
        <rFont val="Times New Roman"/>
        <family val="1"/>
        <charset val="204"/>
      </rPr>
      <t>4043</t>
    </r>
    <r>
      <rPr>
        <sz val="10"/>
        <color theme="1"/>
        <rFont val="Times New Roman"/>
        <family val="1"/>
        <charset val="204"/>
      </rPr>
      <t xml:space="preserve">
3968</t>
    </r>
  </si>
  <si>
    <r>
      <rPr>
        <b/>
        <sz val="12"/>
        <color theme="1"/>
        <rFont val="Times New Roman"/>
        <family val="1"/>
        <charset val="204"/>
      </rPr>
      <t xml:space="preserve"> Федосова Ольга Геннадьевна (4043)
</t>
    </r>
    <r>
      <rPr>
        <b/>
        <sz val="12"/>
        <color theme="1"/>
        <rFont val="Times New Roman"/>
        <family val="1"/>
        <charset val="204"/>
      </rPr>
      <t>Чирков Роман Валерьевич (3968)</t>
    </r>
  </si>
  <si>
    <t>140000004/Z000030</t>
  </si>
  <si>
    <t>TY829-NWGQF-82FJG-BVBW6-RRJFG</t>
  </si>
  <si>
    <t>Подвергся вандализму</t>
  </si>
  <si>
    <t>PF077DN8</t>
  </si>
  <si>
    <r>
      <rPr>
        <sz val="12"/>
        <color rgb="FF000000"/>
        <rFont val="Times New Roman"/>
        <family val="1"/>
        <charset val="204"/>
      </rPr>
      <t xml:space="preserve">Olga Fedosova
</t>
    </r>
    <r>
      <rPr>
        <sz val="12"/>
        <color rgb="FF980000"/>
        <rFont val="Times New Roman"/>
        <family val="1"/>
        <charset val="204"/>
      </rPr>
      <t>Chirkov Roman</t>
    </r>
  </si>
  <si>
    <t>Инженер по электрике автомобиля 3 категории/Мастер 2 категории</t>
  </si>
  <si>
    <t>Laptop, mouse + Keyboard</t>
  </si>
  <si>
    <t>00000019366(18)</t>
  </si>
  <si>
    <t>PCN3C-6YHCQ-CV2HM-2WW8R-X2C7P</t>
  </si>
  <si>
    <t>R90T9486</t>
  </si>
  <si>
    <t>Черкасова Диана Вячеславовна</t>
  </si>
  <si>
    <t>логистика акт 03-06-2021 (Рязанцев К.С.)</t>
  </si>
  <si>
    <t>Cherkasova Diana</t>
  </si>
  <si>
    <t>Ведущий специалист бюро пропусков</t>
  </si>
  <si>
    <t>Мартынов Д.
Климанов А.</t>
  </si>
  <si>
    <t>100000001587</t>
  </si>
  <si>
    <r>
      <rPr>
        <sz val="12"/>
        <color rgb="FF000000"/>
        <rFont val="Times New Roman"/>
        <family val="1"/>
        <charset val="204"/>
      </rPr>
      <t xml:space="preserve">Акт 17.12.2025  Федосова О.
</t>
    </r>
    <r>
      <rPr>
        <sz val="12"/>
        <color rgb="FF980000"/>
        <rFont val="Times New Roman"/>
        <family val="1"/>
        <charset val="204"/>
      </rPr>
      <t>Акт 18.03.2026 Чирков Р.</t>
    </r>
  </si>
  <si>
    <t>PC1SQYJR</t>
  </si>
  <si>
    <t>100000003331</t>
  </si>
  <si>
    <t>NBJBH-8YTHB-6DJ34-Q64J4-BY7H6</t>
  </si>
  <si>
    <t>NXEGYER00H320088D83400</t>
  </si>
  <si>
    <t>Акт 28.11.2025</t>
  </si>
  <si>
    <t>12962
7697</t>
  </si>
  <si>
    <t xml:space="preserve">логистика акт на Зуева Наталья Сергеевна 12962
Кустова Виталия Андреевна 7697 </t>
  </si>
  <si>
    <t>100000001590</t>
  </si>
  <si>
    <t>PC1SQYHQ</t>
  </si>
  <si>
    <t>1423
1839
2192</t>
  </si>
  <si>
    <t>Викторов Иван 1423
Фирсов Валерий 1839
Лабутин Максим Геннадьевич 2192</t>
  </si>
  <si>
    <t>DKM9N-KBGMM-RPWF8-6T4T2-3YKBT</t>
  </si>
  <si>
    <t>была модернизация/upgraded/была добавлено 8 ГБ оперативной памяти</t>
  </si>
  <si>
    <t>Viktorov Ivan
Firsov Valery
Labutin Maxim</t>
  </si>
  <si>
    <t>Начальники участка Engine 
Мастер 1 категории</t>
  </si>
  <si>
    <t>00000022303(7)</t>
  </si>
  <si>
    <t>PF14SQHW</t>
  </si>
  <si>
    <t>Климанов А.
Протопопов А.</t>
  </si>
  <si>
    <t>Акт 25.11.2025
Акт 10.08.2026</t>
  </si>
  <si>
    <t>По свински</t>
  </si>
  <si>
    <t>Мартынов Д
Кудрявцев Д.</t>
  </si>
  <si>
    <t>Акт 17.12.2025 Викторов И.
Акт 17.12.2025 Фирсов В.
Акт 03.08.2026 Лабутин М.</t>
  </si>
  <si>
    <t>Наумов Павел Анатольевич</t>
  </si>
  <si>
    <t>Юдина Юлия Геннадьевна (должна сдать)</t>
  </si>
  <si>
    <t>Naymov Pavel</t>
  </si>
  <si>
    <t>PMD, PS</t>
  </si>
  <si>
    <t>100000002696</t>
  </si>
  <si>
    <t>Yudina Yulia</t>
  </si>
  <si>
    <t>Бухгалтер по расчету заработной платы</t>
  </si>
  <si>
    <t>NXEGYER00H320086E73400</t>
  </si>
  <si>
    <t>140000163/Z000081</t>
  </si>
  <si>
    <t>834
809
4622
605
5494</t>
  </si>
  <si>
    <t>Романов Дмитрий Сергеевич
Буенок Сергей Николаевич
Стародубов Кирилл Сергеевич
Коробков Андрей Евгеньевич
Крутая Анастасия Андреевна 5494</t>
  </si>
  <si>
    <t>Акт 10.02.2026</t>
  </si>
  <si>
    <t>2024	БЕЗ НДС  60440.50</t>
  </si>
  <si>
    <t>Romanov Dmitry/ Buenok Sergey/Starodubov Kirill/Korobkov Andrey
Krutaya Anastasiya</t>
  </si>
  <si>
    <t>Начальник участка, Мастер по ремонту 1 категории/ Мастер по ремонту 1 категории
Оператор</t>
  </si>
  <si>
    <t>логистика акт 03-06-2021</t>
  </si>
  <si>
    <t>100000002691</t>
  </si>
  <si>
    <t>S4FM3359</t>
  </si>
  <si>
    <t>100000001591</t>
  </si>
  <si>
    <t>6XNQH-J4V92-G3HC4-G8KJY-PR6MT</t>
  </si>
  <si>
    <t>PC1SQYHN</t>
  </si>
  <si>
    <t>YGB9N-CFHRJ-JQ2J6-GK7T6-YG9TP</t>
  </si>
  <si>
    <t>TNPMT-6RQ9V-QVQGV-YFWHP-6JHH6</t>
  </si>
  <si>
    <t>Акт 17.03.2022</t>
  </si>
  <si>
    <t>17.06.2026 (Миляева Л.)</t>
  </si>
  <si>
    <t>NXEGYER00H320089B63400</t>
  </si>
  <si>
    <t>9NCW8-H2DK8-Y87TH-C4RG4-3DB6G</t>
  </si>
  <si>
    <t>Мартынов Д./Климанов А.</t>
  </si>
  <si>
    <t>Федотов Денис Андреевич</t>
  </si>
  <si>
    <t>Акт 07.05.2025 Романов Д.
Акт 19.12.2025 Буенок С.
Акт 16.02.2026
Акт 16.06.2026 Крутая А.</t>
  </si>
  <si>
    <t>Fedotov Denis</t>
  </si>
  <si>
    <t>Руководитель группы учета</t>
  </si>
  <si>
    <t>AiO Lenovo V30A</t>
  </si>
  <si>
    <t>10000001770</t>
  </si>
  <si>
    <t>MP1Z7VHR</t>
  </si>
  <si>
    <t>JT4JK-CXND4-8M9CJ-MGJG8-D9P6G</t>
  </si>
  <si>
    <t>Акт 14.02.2026</t>
  </si>
  <si>
    <r>
      <rPr>
        <sz val="10"/>
        <color theme="1"/>
        <rFont val="Times New Roman"/>
        <family val="1"/>
        <charset val="204"/>
      </rPr>
      <t xml:space="preserve">13491
</t>
    </r>
    <r>
      <rPr>
        <sz val="10"/>
        <color theme="1"/>
        <rFont val="Times New Roman"/>
        <family val="1"/>
        <charset val="204"/>
      </rPr>
      <t>14582</t>
    </r>
  </si>
  <si>
    <t>логистика акт на Лычкина Юлия Романовна 25.11.2025
акт на Климов С. 25.11.2025</t>
  </si>
  <si>
    <r>
      <rPr>
        <b/>
        <sz val="12"/>
        <color theme="1"/>
        <rFont val="Times New Roman"/>
        <family val="1"/>
        <charset val="204"/>
      </rPr>
      <t xml:space="preserve">Шуршиков Роман Сергеевич
</t>
    </r>
    <r>
      <rPr>
        <b/>
        <sz val="12"/>
        <color theme="1"/>
        <rFont val="Times New Roman"/>
        <family val="1"/>
        <charset val="204"/>
      </rPr>
      <t>Анашкина Алина Витальевна</t>
    </r>
  </si>
  <si>
    <r>
      <rPr>
        <sz val="12"/>
        <color rgb="FF000000"/>
        <rFont val="Times New Roman"/>
        <family val="1"/>
        <charset val="204"/>
      </rPr>
      <t xml:space="preserve">Shurshikov Roman
</t>
    </r>
    <r>
      <rPr>
        <sz val="12"/>
        <color rgb="FF980000"/>
        <rFont val="Times New Roman"/>
        <family val="1"/>
        <charset val="204"/>
      </rPr>
      <t>Anashkina Alina</t>
    </r>
  </si>
  <si>
    <t>Технолог 1 категории</t>
  </si>
  <si>
    <t>100000004308</t>
  </si>
  <si>
    <t>100000001593</t>
  </si>
  <si>
    <t>F2715NBP35070820586</t>
  </si>
  <si>
    <t>PC1SQYHH</t>
  </si>
  <si>
    <r>
      <rPr>
        <sz val="10"/>
        <color rgb="FF000000"/>
        <rFont val="Times New Roman"/>
        <family val="1"/>
        <charset val="204"/>
      </rPr>
      <t xml:space="preserve">Акт 11.12.2025 Шуршиков Р.
</t>
    </r>
    <r>
      <rPr>
        <sz val="10"/>
        <color rgb="FF980000"/>
        <rFont val="Times New Roman"/>
        <family val="1"/>
        <charset val="204"/>
      </rPr>
      <t>Акт 03.03.2026 Анашкина А.</t>
    </r>
  </si>
  <si>
    <t>NGQTG-PTWKP-CMG84-G99HC-P9Y4G</t>
  </si>
  <si>
    <t>Чуйкина Эльвира Руслановна</t>
  </si>
  <si>
    <t xml:space="preserve">Акт 25.11.2025 Лычкина Ю.
Акт 11.12.2025 Климов С. </t>
  </si>
  <si>
    <t>Chuikina Elvira</t>
  </si>
  <si>
    <r>
      <rPr>
        <b/>
        <sz val="12"/>
        <color rgb="FF000000"/>
        <rFont val="Times New Roman"/>
        <family val="1"/>
        <charset val="204"/>
      </rPr>
      <t xml:space="preserve">Для Storkeepers (акт на Воронину Н.)
</t>
    </r>
    <r>
      <rPr>
        <b/>
        <sz val="12"/>
        <color rgb="FF000000"/>
        <rFont val="Times New Roman"/>
        <family val="1"/>
        <charset val="204"/>
      </rPr>
      <t>Дергалева Ольга Евгеньевна 12629</t>
    </r>
  </si>
  <si>
    <t>Специалист по управлению эффективностью</t>
  </si>
  <si>
    <t>Кузнецов Михаил Сергеевич</t>
  </si>
  <si>
    <t>IRBIS SMART AIO MB2389</t>
  </si>
  <si>
    <t>100000004635</t>
  </si>
  <si>
    <t>Kuznetsov Mikhail</t>
  </si>
  <si>
    <r>
      <rPr>
        <u/>
        <sz val="11"/>
        <color rgb="FF000000"/>
        <rFont val="Times New Roman"/>
        <family val="1"/>
        <charset val="204"/>
      </rPr>
      <t xml:space="preserve">1656
</t>
    </r>
    <r>
      <rPr>
        <u/>
        <sz val="11"/>
        <color rgb="FF1155CC"/>
        <rFont val="Times New Roman"/>
        <family val="1"/>
        <charset val="204"/>
      </rPr>
      <t>3162</t>
    </r>
  </si>
  <si>
    <t>140000047/Z000124</t>
  </si>
  <si>
    <t>TM, TM QT</t>
  </si>
  <si>
    <t>Поляков Евгений Вадимович
Дубровин Сергей Валерьевич</t>
  </si>
  <si>
    <t>2408A22H124i5M2165R00486</t>
  </si>
  <si>
    <t>P901FSPC</t>
  </si>
  <si>
    <t>100000005553</t>
  </si>
  <si>
    <t>PW0LW3P7</t>
  </si>
  <si>
    <t>Polyakov Evgeniy / Dubrovin Sergey</t>
  </si>
  <si>
    <t>Технолог 3 категории / Оператор</t>
  </si>
  <si>
    <t>Акт 11.02.2026
Акт 22.08.2026 (Дергалева)</t>
  </si>
  <si>
    <t>100000004855</t>
  </si>
  <si>
    <t>CGJTB-N8YP3-4KKDV-KY8JH-94TPT</t>
  </si>
  <si>
    <t>Акт 25.09.2025</t>
  </si>
  <si>
    <t>UN31ZSI04F533024740700</t>
  </si>
  <si>
    <t>Акт 28.03.2026</t>
  </si>
  <si>
    <t>Windows 11</t>
  </si>
  <si>
    <t>Акт 05.12.2025 Поляков Е.
Акт 05.12.2025 Дубровин С.</t>
  </si>
  <si>
    <t>много учеток,  Мишукова Юлия Анатольевна</t>
  </si>
  <si>
    <t>need to check</t>
  </si>
  <si>
    <t>140000051/Z000111</t>
  </si>
  <si>
    <t>Веселова Полина Олеговна</t>
  </si>
  <si>
    <t>была модернизация/upgraded ( 256 SSD +ram from rdc reserve)</t>
  </si>
  <si>
    <t>Veselova Polina</t>
  </si>
  <si>
    <t>Специалист системы менеджмента качества</t>
  </si>
  <si>
    <t>Q&amp;T, QM</t>
  </si>
  <si>
    <t>00000015288</t>
  </si>
  <si>
    <t>PC0KL0MB</t>
  </si>
  <si>
    <t>LR0AVC1P</t>
  </si>
  <si>
    <t xml:space="preserve">Акт 25.11.2025 </t>
  </si>
  <si>
    <t>Делова Елена Сергеевна (резерв за Титова Евгения Игоревна, будет с 01_10_2026)</t>
  </si>
  <si>
    <t>Акт 10.09.2019</t>
  </si>
  <si>
    <t>Delova Elena</t>
  </si>
  <si>
    <t xml:space="preserve">1595
2827 
16881 </t>
  </si>
  <si>
    <t>Специалист 2 категории</t>
  </si>
  <si>
    <t xml:space="preserve">Собаченков Михаил Геннадьевич 
Поляков Борис Олегович 
Лукин Николай Николаевич </t>
  </si>
  <si>
    <t>100000004482</t>
  </si>
  <si>
    <t>2408A22H124I5M2165R00113</t>
  </si>
  <si>
    <t>Sobachenkov Mikhail
Boris Polyakov
Nikolay Lunkin</t>
  </si>
  <si>
    <t>Для Storkeepers (акт на Кочеткову М.)
Ляхова Татьяна Викторовна</t>
  </si>
  <si>
    <t xml:space="preserve">Технолог </t>
  </si>
  <si>
    <t>3Q8NH-CMPR3-MKMQF-TPHW8-WB49C</t>
  </si>
  <si>
    <t>Lyakhova Tatyana</t>
  </si>
  <si>
    <t>Storekeepers
Кладовщик</t>
  </si>
  <si>
    <t>100000006998</t>
  </si>
  <si>
    <t>Акт 18.08.2025</t>
  </si>
  <si>
    <t>НЕТ</t>
  </si>
  <si>
    <t>140000139/Z000051</t>
  </si>
  <si>
    <t>S4FM3370</t>
  </si>
  <si>
    <t>Попов Максим Владимирович</t>
  </si>
  <si>
    <t>PW0K0DZJ</t>
  </si>
  <si>
    <t>Popov Maxim</t>
  </si>
  <si>
    <t>ND9DW-GMRDT-Q2KP9-F3PRF-6Q9GG</t>
  </si>
  <si>
    <t>Начальник смены по ремонту</t>
  </si>
  <si>
    <t>Y9N99-HD2J4-T2XMY-C9WJB-CWF9C</t>
  </si>
  <si>
    <t>100000003613</t>
  </si>
  <si>
    <t>Акт 13.03.2026
Акт 17.06.2026</t>
  </si>
  <si>
    <t>F2715NBP35060820616</t>
  </si>
  <si>
    <t>TNFWG-M7BX4-4BRPB-3K3HT-WXCKC</t>
  </si>
  <si>
    <t>Акт 17.04.2026</t>
  </si>
  <si>
    <t>849T4-N2V9P-2KMK4-M7HR6-6F4TG</t>
  </si>
  <si>
    <t>Акт 06.07.2026 Собаченков М.
Акт 06.07.2026 Поляков Б.
Акт 06.07.2026 Лункин Н.</t>
  </si>
  <si>
    <t>Для Storkeepers (акт на Кочеткову М.) / Родина Лариса Александровна 14878 
Сафиулова Александрина Викторовна 13473</t>
  </si>
  <si>
    <t>Rodina Larisa
Safiulova Alexandrina</t>
  </si>
  <si>
    <t>140000147/Z000093</t>
  </si>
  <si>
    <t>S4FM3405</t>
  </si>
  <si>
    <t>Корзиенко Ирина Викторовна</t>
  </si>
  <si>
    <t>Кочеткова Дарья Евгеньевна</t>
  </si>
  <si>
    <t>Kochetkova Daria</t>
  </si>
  <si>
    <t>Специалист по закупкам 2 категории</t>
  </si>
  <si>
    <t>10000001767</t>
  </si>
  <si>
    <t>была модернизация/upgraded(SSD 256+ RAM+4) (8 ram)</t>
  </si>
  <si>
    <t>Korzienko Irina</t>
  </si>
  <si>
    <t>Специалист TPS</t>
  </si>
  <si>
    <t>MP1Z7VHL</t>
  </si>
  <si>
    <t>140000058/Z000106</t>
  </si>
  <si>
    <r>
      <rPr>
        <sz val="10"/>
        <color rgb="FF000000"/>
        <rFont val="Times New Roman"/>
        <family val="1"/>
        <charset val="204"/>
      </rPr>
      <t xml:space="preserve">2187
</t>
    </r>
    <r>
      <rPr>
        <sz val="10"/>
        <color rgb="FF783F04"/>
        <rFont val="Times New Roman"/>
        <family val="1"/>
        <charset val="204"/>
      </rPr>
      <t>1837</t>
    </r>
  </si>
  <si>
    <t>PF0XKWTE</t>
  </si>
  <si>
    <t>RYKTR-N7M84-BY8V6-P78TM-B4JJ6</t>
  </si>
  <si>
    <r>
      <rPr>
        <b/>
        <sz val="12"/>
        <color rgb="FF000000"/>
        <rFont val="Times New Roman"/>
        <family val="1"/>
        <charset val="204"/>
      </rPr>
      <t xml:space="preserve">Попов Павел Михайлович
</t>
    </r>
    <r>
      <rPr>
        <b/>
        <sz val="12"/>
        <color rgb="FF783F04"/>
        <rFont val="Times New Roman"/>
        <family val="1"/>
        <charset val="204"/>
      </rPr>
      <t>Петров Владимир Юрьевич</t>
    </r>
  </si>
  <si>
    <r>
      <rPr>
        <sz val="12"/>
        <color rgb="FF000000"/>
        <rFont val="Times New Roman"/>
        <family val="1"/>
        <charset val="204"/>
      </rPr>
      <t xml:space="preserve">Popov Pavel
</t>
    </r>
    <r>
      <rPr>
        <sz val="12"/>
        <color rgb="FF783F04"/>
        <rFont val="Times New Roman"/>
        <family val="1"/>
        <charset val="204"/>
      </rPr>
      <t>Petrov Vladimir</t>
    </r>
  </si>
  <si>
    <t>Акт 18.09.2025</t>
  </si>
  <si>
    <r>
      <rPr>
        <sz val="12"/>
        <color rgb="FF000000"/>
        <rFont val="Times New Roman"/>
        <family val="1"/>
        <charset val="204"/>
      </rPr>
      <t>Начальник участка</t>
    </r>
    <r>
      <rPr>
        <sz val="12"/>
        <color rgb="FF783F04"/>
        <rFont val="Times New Roman"/>
        <family val="1"/>
        <charset val="204"/>
      </rPr>
      <t xml:space="preserve">
Начальник смены</t>
    </r>
  </si>
  <si>
    <t>Laptop Lenovo ThinkPad EDGE E560(C2)</t>
  </si>
  <si>
    <t>140000040/Z000019</t>
  </si>
  <si>
    <t>PF0L9GF3</t>
  </si>
  <si>
    <t>MQVD3-HP4DK-K24K2-D28F9-WTYP2</t>
  </si>
  <si>
    <t>Акт 17.06.2026
Акт 18.06.2026</t>
  </si>
  <si>
    <t>Installed Key: VK7JG-NPHTM-C97JM-9MPGT-3V66T
OEM Key: B2WJH-PNYTH-RQHYP-22YK8-F3K2P</t>
  </si>
  <si>
    <t>Акт 12.07.2024</t>
  </si>
  <si>
    <t>Кудрявцев Д.
Мартынов Д.</t>
  </si>
  <si>
    <t>Акт от 22.12.2025 Попов П.
Акт от 22.12.2025 Петров В.</t>
  </si>
  <si>
    <t>Карпенко Григорий Александрович</t>
  </si>
  <si>
    <t>Karpenko Grigory</t>
  </si>
  <si>
    <t>Начальник смены</t>
  </si>
  <si>
    <t>NOBO</t>
  </si>
  <si>
    <t>100000003368</t>
  </si>
  <si>
    <t>NXEGYER00H32008AFB3400</t>
  </si>
  <si>
    <t>7830
13831</t>
  </si>
  <si>
    <t>Кривовязов Назар Александвроич 
Яковлев Андрей Алексеевич</t>
  </si>
  <si>
    <t>была модернизация/upgraded (SSD 480)</t>
  </si>
  <si>
    <t>Krivovyazov Nazar
Yakovlev Andrey</t>
  </si>
  <si>
    <t>Оператор
Оператор</t>
  </si>
  <si>
    <t>Акт 07.05.2026</t>
  </si>
  <si>
    <t>Laptop Lenovo ThinkPad EDGE E560</t>
  </si>
  <si>
    <t>140000048/Z000015</t>
  </si>
  <si>
    <t>PF0LC477</t>
  </si>
  <si>
    <r>
      <rPr>
        <b/>
        <sz val="12"/>
        <color rgb="FF000000"/>
        <rFont val="Times New Roman"/>
        <family val="1"/>
        <charset val="204"/>
      </rPr>
      <t>Для Storkeepers (акт на Воронину Н.)
Морозова Олеся Евгеньевна 17632</t>
    </r>
    <r>
      <rPr>
        <b/>
        <sz val="12"/>
        <color rgb="FFFF9900"/>
        <rFont val="Times New Roman"/>
        <family val="1"/>
        <charset val="204"/>
      </rPr>
      <t xml:space="preserve">
</t>
    </r>
    <r>
      <rPr>
        <b/>
        <sz val="12"/>
        <color rgb="FF000000"/>
        <rFont val="Times New Roman"/>
        <family val="1"/>
        <charset val="204"/>
      </rPr>
      <t>Полосина Елена Николаевна 4816</t>
    </r>
  </si>
  <si>
    <t>Акт 03.03.2026 Кривовязов Н.
Акт 29.05.2026 Яковлев А.</t>
  </si>
  <si>
    <t>150000021/Z000003</t>
  </si>
  <si>
    <t>P901FSLQ</t>
  </si>
  <si>
    <t>HVNTR-6PK7H-3H3HQ-DG9TV-VT92P</t>
  </si>
  <si>
    <t>Афанасьева Елена Романовна</t>
  </si>
  <si>
    <t>Afanasyeva Elena</t>
  </si>
  <si>
    <t>Экономист</t>
  </si>
  <si>
    <t xml:space="preserve">свободен после Тихонова Анастасия Викторовна
</t>
  </si>
  <si>
    <t>Акт 17.02.2026
Акт 22.08.2026 (Морозова)
Акт 22.08.2026 (Полосина)</t>
  </si>
  <si>
    <t>100000001656</t>
  </si>
  <si>
    <t>Tikhonova Anastasiya</t>
  </si>
  <si>
    <t>Бухгалтер 3 категории</t>
  </si>
  <si>
    <t>1K50JK3</t>
  </si>
  <si>
    <t>FD, ACC</t>
  </si>
  <si>
    <t>AiO Dell Inspiron 5400</t>
  </si>
  <si>
    <t>Акт 21.03.2026</t>
  </si>
  <si>
    <t>100000001671</t>
  </si>
  <si>
    <t>B3RHDF2</t>
  </si>
  <si>
    <t>GNGJH-TJM72-WMBYY-2R847-XD7YP</t>
  </si>
  <si>
    <t>8560
9244</t>
  </si>
  <si>
    <t>Новикова Елена Андреевна 8560
Новикова Карина Андреевна. 9244</t>
  </si>
  <si>
    <t>Иванов К.</t>
  </si>
  <si>
    <t>Novikova Elena
Novikova Karina</t>
  </si>
  <si>
    <t>Акт 12.01.2024</t>
  </si>
  <si>
    <t>Диспетчер производства
Оператор</t>
  </si>
  <si>
    <t>без НДС 71 583,33
с НДС 85 900</t>
  </si>
  <si>
    <t>Monitoring QI  Акт на Геворкян Максим от 13-04-26</t>
  </si>
  <si>
    <t>Люкин Максим Анатольевич</t>
  </si>
  <si>
    <t>150000011/Z000010</t>
  </si>
  <si>
    <t>Lyukin Maksim</t>
  </si>
  <si>
    <t xml:space="preserve">Monitoring QI </t>
  </si>
  <si>
    <t>P901FSLH</t>
  </si>
  <si>
    <t>100000004859</t>
  </si>
  <si>
    <t>UN31ZSI04F533024CA0700</t>
  </si>
  <si>
    <t>100000003618</t>
  </si>
  <si>
    <t>F2715NBP35060821254</t>
  </si>
  <si>
    <t>Климанов А./Мартынов Д.</t>
  </si>
  <si>
    <t>YYRN4-KPQ9V-322D8-896GH-4C2KC</t>
  </si>
  <si>
    <t>Акт 22.04.2026 Новикова Е.
11.08.2026 Новикова К</t>
  </si>
  <si>
    <t>Акт 13.04.2026</t>
  </si>
  <si>
    <t>Клеменов Александр Сергеевич</t>
  </si>
  <si>
    <t>Klemenov Alexander</t>
  </si>
  <si>
    <t>100000004860</t>
  </si>
  <si>
    <t>UN31ZSI04F533023F60700</t>
  </si>
  <si>
    <t>D2PKV-MNQ3R-6TQPC-GP8RF-2KC2T</t>
  </si>
  <si>
    <t>Для MU_TC Технический общий (акт на Коржилов Валентин Борисович 16643)</t>
  </si>
  <si>
    <t>Акт от 11.12.2025</t>
  </si>
  <si>
    <t>общий для инженеров электроников</t>
  </si>
  <si>
    <t>TM , TM MTS</t>
  </si>
  <si>
    <t>laptop,mouse</t>
  </si>
  <si>
    <t>Laptop IRBIS 15NBP3512</t>
  </si>
  <si>
    <t>100000004328</t>
  </si>
  <si>
    <t>369
5742</t>
  </si>
  <si>
    <t>Омелечко Андрей Николаевич
Волченкова Лидия Константиновна 5742</t>
  </si>
  <si>
    <t>Omelechko Andrey
Volchenkova Lidiya</t>
  </si>
  <si>
    <t>F2715NBP3512_G2084140</t>
  </si>
  <si>
    <t>Руководитель группы по качеству
Специалист по качеству</t>
  </si>
  <si>
    <t>RUTL-G2084140</t>
  </si>
  <si>
    <t>Laptop Lenovo t440p</t>
  </si>
  <si>
    <t>MXFK4-67NGM-WJQQ8-RWHYC-KW3GP</t>
  </si>
  <si>
    <t>Змеев Сергей Викторович</t>
  </si>
  <si>
    <t>Zmeev Sergey</t>
  </si>
  <si>
    <t>Инженер по производственному оборудованию</t>
  </si>
  <si>
    <t>Акт 07.07.2026 на Коржилова В.</t>
  </si>
  <si>
    <t>100000003634</t>
  </si>
  <si>
    <t>PB02JDTF</t>
  </si>
  <si>
    <t>F2715NBP35060820527</t>
  </si>
  <si>
    <t>RNJMK-CFKPY-YQCT9-3D3CC-P9T72</t>
  </si>
  <si>
    <t>Акт 11.04.2022 Омелечко А.
Акт 05.09.2026 Волченкова Л.</t>
  </si>
  <si>
    <t>XNG97-RMBTH-6WK8Q-8828Q-MDWXC</t>
  </si>
  <si>
    <t>Фоменков В.</t>
  </si>
  <si>
    <t>2593
7523</t>
  </si>
  <si>
    <t xml:space="preserve">РЕМОНТ ПО ГАРАНТИИ </t>
  </si>
  <si>
    <t>Акт от 30.11.2024</t>
  </si>
  <si>
    <r>
      <rPr>
        <b/>
        <sz val="12"/>
        <color theme="1"/>
        <rFont val="Times New Roman"/>
        <family val="1"/>
        <charset val="204"/>
      </rPr>
      <t>Бабичев Владислав Юрьевич (2593)</t>
    </r>
    <r>
      <rPr>
        <b/>
        <sz val="12"/>
        <color rgb="FF9C5700"/>
        <rFont val="Times New Roman"/>
        <family val="1"/>
        <charset val="204"/>
      </rPr>
      <t xml:space="preserve">
</t>
    </r>
    <r>
      <rPr>
        <b/>
        <sz val="12"/>
        <color theme="1"/>
        <rFont val="Times New Roman"/>
        <family val="1"/>
        <charset val="204"/>
      </rPr>
      <t>Бурыкин Антон Владимирович (7523)</t>
    </r>
  </si>
  <si>
    <t>SSD m2 NWME 512гб. ОЗУ 4гб</t>
  </si>
  <si>
    <r>
      <rPr>
        <sz val="12"/>
        <color rgb="FF000000"/>
        <rFont val="Times New Roman"/>
        <family val="1"/>
        <charset val="204"/>
      </rPr>
      <t>Babichev Vladislav</t>
    </r>
    <r>
      <rPr>
        <sz val="12"/>
        <color rgb="FF9C5700"/>
        <rFont val="Times New Roman"/>
        <family val="1"/>
        <charset val="204"/>
      </rPr>
      <t xml:space="preserve">
</t>
    </r>
    <r>
      <rPr>
        <sz val="12"/>
        <color rgb="FF000000"/>
        <rFont val="Times New Roman"/>
        <family val="1"/>
        <charset val="204"/>
      </rPr>
      <t>Anton Burykin</t>
    </r>
  </si>
  <si>
    <r>
      <rPr>
        <sz val="12"/>
        <color rgb="FF006100"/>
        <rFont val="Times New Roman"/>
        <family val="1"/>
        <charset val="204"/>
      </rPr>
      <t xml:space="preserve">Инженер-технолог 1 категории </t>
    </r>
    <r>
      <rPr>
        <sz val="12"/>
        <color rgb="FF9C5700"/>
        <rFont val="Times New Roman"/>
        <family val="1"/>
        <charset val="204"/>
      </rPr>
      <t xml:space="preserve">
</t>
    </r>
    <r>
      <rPr>
        <sz val="12"/>
        <color rgb="FF006100"/>
        <rFont val="Times New Roman"/>
        <family val="1"/>
        <charset val="204"/>
      </rPr>
      <t>Технолог 1 категории</t>
    </r>
  </si>
  <si>
    <t>00000022303(12)</t>
  </si>
  <si>
    <t>Модернизация не требуется/normal (no need to upgrade) ОТГРУЖЕНО В РЕДКОМ 17.07.2026</t>
  </si>
  <si>
    <t>PF14SZ17</t>
  </si>
  <si>
    <t>Пахалова Ольга Валентиновна</t>
  </si>
  <si>
    <t>Q9N3C-M3GHR-V9QDW-3J7T8-PKCH2</t>
  </si>
  <si>
    <t>BROKEN_Kolesnikov Ilya</t>
  </si>
  <si>
    <t>Акт 23.04.2026 (Бурыкин )</t>
  </si>
  <si>
    <t xml:space="preserve">Инженер-технолог 1 категории </t>
  </si>
  <si>
    <t>РЕМОНТ/REPAIR</t>
  </si>
  <si>
    <t>TM, TM MTC</t>
  </si>
  <si>
    <t>100000006717</t>
  </si>
  <si>
    <t>100000006449</t>
  </si>
  <si>
    <t>Pakhalova Olga</t>
  </si>
  <si>
    <t>7973
15073</t>
  </si>
  <si>
    <t>Барабанов Павел Владимирович
Черепанов Александр Николаевич</t>
  </si>
  <si>
    <t>140000148/Z000094</t>
  </si>
  <si>
    <t>PW0K0DGQ</t>
  </si>
  <si>
    <t>S4FM3417</t>
  </si>
  <si>
    <t>Barabanov Pavel
Cherepanov Alexander</t>
  </si>
  <si>
    <t>Технолог 1 категории
Технолог 1 категории</t>
  </si>
  <si>
    <t>100000006718</t>
  </si>
  <si>
    <t>6NY4M-XFMRQ-BFM4H-PFHQK-GJF9C</t>
  </si>
  <si>
    <t>PW0K0DP7</t>
  </si>
  <si>
    <t>Акт 04.10.2024</t>
  </si>
  <si>
    <t>TPNQR-223XJ-GKYJ4-9XQTM-43K86</t>
  </si>
  <si>
    <t>N82GG-WMWVC-8HBTR-923HP-9QB6G</t>
  </si>
  <si>
    <t xml:space="preserve">Administrator </t>
  </si>
  <si>
    <t>Акт 15.06.2026
Акт 01.07.2026 Черепанов А.</t>
  </si>
  <si>
    <t>Гончаренко Павел Александрович</t>
  </si>
  <si>
    <t>Goncharenko Pavel</t>
  </si>
  <si>
    <t>Ведущий инженер</t>
  </si>
  <si>
    <t>Laptop Acer NITRO 5 AN515-54</t>
  </si>
  <si>
    <t>PW0K0DPT</t>
  </si>
  <si>
    <t>NHQ59ER0179350C6EF3400</t>
  </si>
  <si>
    <t>Акт 24.08.2026 на Коржилова В.</t>
  </si>
  <si>
    <t>Акт 28.05.2021</t>
  </si>
  <si>
    <t>1250
9664</t>
  </si>
  <si>
    <t>3RWCF-M4NX4-DDXQ3-F26C3-8K9CT</t>
  </si>
  <si>
    <t>Акт 01.07.2026</t>
  </si>
  <si>
    <t>Фролов Дмитрий Сергеевич 1250
Павлов Егор Евгениевич 9664</t>
  </si>
  <si>
    <t>была модернизация/upgraded(RAM+16)</t>
  </si>
  <si>
    <t>Миляев Виталий Александрович</t>
  </si>
  <si>
    <t>Frolov Dmitriy</t>
  </si>
  <si>
    <t>Слесарь-инструментальщик/ Оператор</t>
  </si>
  <si>
    <t>Milyaev Vitaliy</t>
  </si>
  <si>
    <t>140000189</t>
  </si>
  <si>
    <t>140000060/Z000104</t>
  </si>
  <si>
    <t>PF0W18W7</t>
  </si>
  <si>
    <t>S4HN3462</t>
  </si>
  <si>
    <t>P4KRW-T63R7-KCDT7-T92FV-6XXTP</t>
  </si>
  <si>
    <t>Акт 10.09.2024</t>
  </si>
  <si>
    <t>?
No Administrator rights (Павлов Е.)</t>
  </si>
  <si>
    <t>Климанов А</t>
  </si>
  <si>
    <t>Акт 19.07.2023 Фролов Д.
Акт  26.11.2025 Павлов Е.</t>
  </si>
  <si>
    <t>12814
12918
12926
12629
9002
 440</t>
  </si>
  <si>
    <t>логистика акт 03-06-2021 Выдан акт Ворониной Наталье
12.11.2024/ Быцкевич Оксана Викторовна 12814
 Хороших Наталья Викторовна
Морозова Олеся Евгеньевна 9373
Бородкина Лидия Дмитриевна акт 27.02.2026
Лапина Каролина Евгеньевна акт 27.02.2026
Зуева Натьлья Сергеевна 12962
Зворыгина Татьяна Викторовна 9002
Овсиенко Елена Евгеньевна 440</t>
  </si>
  <si>
    <t>3307
326</t>
  </si>
  <si>
    <t>Модернизация не требуется/normal (no need to upgrade)
В РЕГАРДЕ НА РЕМОНТЕ</t>
  </si>
  <si>
    <t>Кушнарев Илья Сергеевич (3307)
Ланкин Павел Юрьевич (326)</t>
  </si>
  <si>
    <t>Kushnarev Ilya
Lankin Pavel</t>
  </si>
  <si>
    <t>Специалист по производственной безопасности</t>
  </si>
  <si>
    <t>Начальник смены
Начальник смены</t>
  </si>
  <si>
    <t>Acer Aspire 5 A515-57-506D</t>
  </si>
  <si>
    <t>PC1SQYHA</t>
  </si>
  <si>
    <t>100000004735</t>
  </si>
  <si>
    <t>Новиков Дмитрий Александрович</t>
  </si>
  <si>
    <t>100000004856</t>
  </si>
  <si>
    <t xml:space="preserve">Novikov Dmitry </t>
  </si>
  <si>
    <t>Технолог 2 категории</t>
  </si>
  <si>
    <t>NXKN3CD001452022993400</t>
  </si>
  <si>
    <t>UN31ZSI04F5330252D0700</t>
  </si>
  <si>
    <t>100000006418</t>
  </si>
  <si>
    <t>RUTL-252D0700</t>
  </si>
  <si>
    <t>PW0K0DSY</t>
  </si>
  <si>
    <t>K926X-N466P-FRCM3-WY6CC-8XC2T</t>
  </si>
  <si>
    <t>NV8DJ-DRFMJ-DD4QY-RHR69-QV8FG</t>
  </si>
  <si>
    <t>Акт 09.02.2026</t>
  </si>
  <si>
    <t>32FTN-2KVGH-FGGT8-P9RQ3-H222T</t>
  </si>
  <si>
    <t>Климанов А.
Кудрявцев Д.
Мартынов Д.</t>
  </si>
  <si>
    <t>Акт 28.11.2025 Быцкевич О.
Акт 28.11.2025 Морозова О.
Акт 01.12.2025 Хороших Н
Акт 27.02.2026
Акт 04.09.2026 Зуева Н.
Акт 04.09.2026 Зворыгиа Т.
Акт 21.09.2026 на Овсиенко Е.</t>
  </si>
  <si>
    <t>Мартынов Д.
Фоменков В.</t>
  </si>
  <si>
    <t>Акт 15.04.2026</t>
  </si>
  <si>
    <t>Акт 22.10.2025 Кушнарев И.
Акт 30.10.2025 Ланкин П.</t>
  </si>
  <si>
    <t>БЕЗ НДС 50360, С НДС 60432</t>
  </si>
  <si>
    <t>Белоглазов Андрей Юрьевич</t>
  </si>
  <si>
    <t>Beloglazov Andrey</t>
  </si>
  <si>
    <t>Модернизация не требуется/normal (no need to upgrade)
ОТГРУЖЕНО В РЕДКОМ 28.08.2026</t>
  </si>
  <si>
    <t>Руководитель группы обслуживания зданий и сооружений</t>
  </si>
  <si>
    <t>BROKEN_Denisenko Anastasia</t>
  </si>
  <si>
    <t>4149
2208</t>
  </si>
  <si>
    <t>Специалист по управлению контейнерным терминалом</t>
  </si>
  <si>
    <t>Савосин Андрей Анатольевич
Дёмчева Светлана Викторовна</t>
  </si>
  <si>
    <t>100000004246</t>
  </si>
  <si>
    <t>12918
18486
18831</t>
  </si>
  <si>
    <t>F2715NBP35060821348</t>
  </si>
  <si>
    <t>Начальник участка в цеху окраски</t>
  </si>
  <si>
    <t>логистика (акт Дергалева О)
Бородкина Лидия Дмитриевна 12918
Тимофеева Ольга Викторовна 18486
Попов Даниил Петрович 18831</t>
  </si>
  <si>
    <t>140000155/Z000072</t>
  </si>
  <si>
    <t>8VRHK-NHHHP-RD38F-GW7GY-92FC2</t>
  </si>
  <si>
    <t>Borodkina Lidiya
Timofeyeva Olga
Popov Daniil</t>
  </si>
  <si>
    <t>Акт 15.01.2025</t>
  </si>
  <si>
    <t>100000006419</t>
  </si>
  <si>
    <t>PW0K0DC9</t>
  </si>
  <si>
    <t>S4FM3303</t>
  </si>
  <si>
    <t>Акт 28.02.2026</t>
  </si>
  <si>
    <t>Репин Сергей Алексеевич</t>
  </si>
  <si>
    <t>6GWV3-DNW83-66MWD-2X33R-X2FTG</t>
  </si>
  <si>
    <t>Repin Sergey</t>
  </si>
  <si>
    <t>PC1SQYHK</t>
  </si>
  <si>
    <t>100000005126</t>
  </si>
  <si>
    <t>C2507N0002595</t>
  </si>
  <si>
    <t>B3R9N-TXWQ2-XGHCW-XX96F-F62YT</t>
  </si>
  <si>
    <t>3H8XT-PN3WH-GVQR6-MMGJQ-63CYT</t>
  </si>
  <si>
    <t>WJFNF-XGY8Q-DCY3J-QHBXY-XBT6P</t>
  </si>
  <si>
    <r>
      <rPr>
        <sz val="10"/>
        <color rgb="FF000000"/>
        <rFont val="Times New Roman"/>
        <family val="1"/>
        <charset val="204"/>
      </rPr>
      <t xml:space="preserve">835
1173
5960
642
</t>
    </r>
    <r>
      <rPr>
        <sz val="10"/>
        <color rgb="FF980000"/>
        <rFont val="Times New Roman"/>
        <family val="1"/>
        <charset val="204"/>
      </rPr>
      <t>5216</t>
    </r>
  </si>
  <si>
    <t>Климанов А.
Протопопов А.
Мартынов Д.</t>
  </si>
  <si>
    <t>Акт 16.12.2025</t>
  </si>
  <si>
    <r>
      <rPr>
        <b/>
        <sz val="12"/>
        <color rgb="FF000000"/>
        <rFont val="Times New Roman"/>
        <family val="1"/>
        <charset val="204"/>
      </rPr>
      <t xml:space="preserve">Ершова Анастасия Юрьевна
Колков Александр Александрович
Дормидонтов Владимир Владимирович
</t>
    </r>
    <r>
      <rPr>
        <b/>
        <sz val="12"/>
        <color rgb="FF980000"/>
        <rFont val="Times New Roman"/>
        <family val="1"/>
        <charset val="204"/>
      </rPr>
      <t>Хафизов Радмил Рамисович</t>
    </r>
  </si>
  <si>
    <t>требуется модернизация/ЗАМЕНА сдох жесткий</t>
  </si>
  <si>
    <t>Акт 28.11.2025 Дергалева О.
Акт 22.08.2026
Акт 22.08.2026
Акт 19.09.2026
Акт 21.09.2026 на Попов Д.</t>
  </si>
  <si>
    <r>
      <rPr>
        <sz val="12"/>
        <color rgb="FF000000"/>
        <rFont val="Times New Roman"/>
        <family val="1"/>
        <charset val="204"/>
      </rPr>
      <t xml:space="preserve">Anastasiya Ershova
Kolkov Alexander
Dormidontov Vladimir
</t>
    </r>
    <r>
      <rPr>
        <sz val="12"/>
        <color rgb="FF980000"/>
        <rFont val="Times New Roman"/>
        <family val="1"/>
        <charset val="204"/>
      </rPr>
      <t>Khafizov Radmil</t>
    </r>
  </si>
  <si>
    <t>Начальники участка/group leaders of Paint</t>
  </si>
  <si>
    <t>140000167/Z000084</t>
  </si>
  <si>
    <t xml:space="preserve">РЕМОНТ НЕ ПО ГАРАНТИИ </t>
  </si>
  <si>
    <t>S4FM3406</t>
  </si>
  <si>
    <t>Модернизация не требуется/normal (no need to upgrade)
Отправить на ремонт за свой счёт</t>
  </si>
  <si>
    <t>BROKEN_Trofimov Vladimir</t>
  </si>
  <si>
    <t>Горох Алексей Алексеевич</t>
  </si>
  <si>
    <r>
      <rPr>
        <sz val="12"/>
        <color rgb="FF000000"/>
        <rFont val="Times New Roman"/>
        <family val="1"/>
        <charset val="204"/>
      </rPr>
      <t xml:space="preserve">Акт 10.08.2023
Акт 10.02.2026
Акт 21.11.2024 Колков А.
</t>
    </r>
    <r>
      <rPr>
        <sz val="12"/>
        <color rgb="FF980000"/>
        <rFont val="Times New Roman"/>
        <family val="1"/>
        <charset val="204"/>
      </rPr>
      <t>Акт 05.05.2026 Хафизов Р.</t>
    </r>
  </si>
  <si>
    <t>Gorokh Alexey</t>
  </si>
  <si>
    <t>100000006731</t>
  </si>
  <si>
    <t>100000004747</t>
  </si>
  <si>
    <t>NXKN3CD0014511069B3400</t>
  </si>
  <si>
    <t>DQBRRCD00255101AB86N02</t>
  </si>
  <si>
    <t>Акт 06.11.2025</t>
  </si>
  <si>
    <t>1993
3655
1994
7274
4966</t>
  </si>
  <si>
    <t>Гудков Александр
Гордиенко Владимир Алексеевич
Бармин Дмитрий
 Щербаченко Георгий Игоревич
Головин Дмитрий Викторович</t>
  </si>
  <si>
    <t xml:space="preserve"> Gudkov Alexander.
Gordienko Vladimir
Barmin Dmitry
Shcherbachenko Georgy
Golovin Dmitry</t>
  </si>
  <si>
    <t>начальники участка цеха сварки штамповки
Мастер 1 категории</t>
  </si>
  <si>
    <t>MD, S&amp;W</t>
  </si>
  <si>
    <t>Laptop,mouse+Lan-USB</t>
  </si>
  <si>
    <t>логистика акт 03-06-2021 (Рязанцев К.С.)
Черникова Марина
Репп Дарья Владимировна 17410
Новицкая Антонина Альбертовна 18034</t>
  </si>
  <si>
    <t>100000001648</t>
  </si>
  <si>
    <t>PF2TM25Q</t>
  </si>
  <si>
    <t>100000001585</t>
  </si>
  <si>
    <t xml:space="preserve">YNPF9-8Y39J-TTFHK-MF3YF-4X976 </t>
  </si>
  <si>
    <t>PC1SQYHV</t>
  </si>
  <si>
    <t>Климанов А.
Летунов А.
Климанов А.
Протопопов А.</t>
  </si>
  <si>
    <t>Акт 02.11.2024 Гудков А.
Акт 13.01.2025 Гордиенко В.
акт 01-12-2022
22-01-2024
08.11.2024 
19.01.26
17.02.2026
Акт 22.08.2026 Головин Д.</t>
  </si>
  <si>
    <t>Измайлова Юлия Геннадьевна</t>
  </si>
  <si>
    <t>Была модернизация/upgraded (8  ГБ ОЗУ)</t>
  </si>
  <si>
    <t>Izmaylova Yuliya</t>
  </si>
  <si>
    <t>Инженер линии 1 категории</t>
  </si>
  <si>
    <t>14000148/Z000041</t>
  </si>
  <si>
    <t>Y9QCX-JN9X2-JTV8D-H7GMK-TF6MT</t>
  </si>
  <si>
    <t>Протопопов А.
Мартынов Д.</t>
  </si>
  <si>
    <t>Акт 05.09.2026 черникова
Акт 15.09.2026 Репп Д.
Акт 25.09.2026 Новицкая</t>
  </si>
  <si>
    <t>BROKEN_Androsik Anna</t>
  </si>
  <si>
    <t>Специалист по охране труда</t>
  </si>
  <si>
    <t>1047
1894</t>
  </si>
  <si>
    <t>DQBR8CD00255101D126N02</t>
  </si>
  <si>
    <t>Глаголев Александр Николаевич
Гарифзянов Евгений Владимирович</t>
  </si>
  <si>
    <t>PF12TV85</t>
  </si>
  <si>
    <t>Glagolev Aleksandr
Garifzyanov Evgeny</t>
  </si>
  <si>
    <t>49N9W-VPKPW-CM62F-X98WP-YKM6G</t>
  </si>
  <si>
    <t>Акт 18.05.2026</t>
  </si>
  <si>
    <t>100000003593</t>
  </si>
  <si>
    <t>Акт 06.04.2026</t>
  </si>
  <si>
    <t>F2715NBP35060821062</t>
  </si>
  <si>
    <t>Летунов А.
Протопопов А.</t>
  </si>
  <si>
    <t>Акт 10.03.2025 Глаголев
Акт 16.09.2026 Гарифзянов</t>
  </si>
  <si>
    <t>Матрица разбита
Отправить на ремонт за свой счёт</t>
  </si>
  <si>
    <t>BROKEN_Popova Marina</t>
  </si>
  <si>
    <t>Storekeeper AC 1</t>
  </si>
  <si>
    <t>100000006531</t>
  </si>
  <si>
    <t>Карпышев Александр Игоревич</t>
  </si>
  <si>
    <t>DQBRRCD00255101AAF6N02</t>
  </si>
  <si>
    <t>Karpyshev Alexander</t>
  </si>
  <si>
    <t>Инженер по автоматизированным системам</t>
  </si>
  <si>
    <t>100000005129</t>
  </si>
  <si>
    <t>NDGQD-T4X6H-V44M7-WHKYQ-JTY6G</t>
  </si>
  <si>
    <t>C2507N0003092</t>
  </si>
  <si>
    <t>6JNW4-VC8JV-J9PPD-VBP7M-X4R9C</t>
  </si>
  <si>
    <t>Акт 15.01.2026</t>
  </si>
  <si>
    <t>4908
1531
4852
15293
4774
4509</t>
  </si>
  <si>
    <t xml:space="preserve">Петрунин Павел Александрович
Диденко Алексей Александрович
Гусельникова Светлана Александрович
Смирный Сергей Викторович
Рожков Ростислав Олегович 
Захаров Сергей Анатольевич
</t>
  </si>
  <si>
    <t>Petrunin Pavel 
Didenko Alexey
Guselnikova Svetlana
Smirny Sergey
Rozhkov Rostislav
Zakharov Sergey</t>
  </si>
  <si>
    <t>Мастер 2 категории / Начальник участка</t>
  </si>
  <si>
    <t>14000155/Z000060</t>
  </si>
  <si>
    <t>PF12TWZN</t>
  </si>
  <si>
    <t>BROKEN_Kolyaskina Yuliya</t>
  </si>
  <si>
    <t>Воробьева Дарья Витальевна</t>
  </si>
  <si>
    <t>Мартынов Д./ Летунов А/Климанов А./Протопопов А.</t>
  </si>
  <si>
    <t>Акт 11.12.2024 Гусельникова С.
Акт 11.12.2024 Диденко А.
Акт 11.12.2022 Петрунин П.
Акт 15.06.2026 Рожков Р.
Акт 04.08.2026 Захаров С.</t>
  </si>
  <si>
    <t>100000006110</t>
  </si>
  <si>
    <t>Vorobyova Darya</t>
  </si>
  <si>
    <t>Руководитель группы по внешним связям</t>
  </si>
  <si>
    <t>GD, LEG, ER</t>
  </si>
  <si>
    <t>DQBRRCD00255101A916N02</t>
  </si>
  <si>
    <t>100000003345</t>
  </si>
  <si>
    <t>NXEGYER00H320089203400</t>
  </si>
  <si>
    <t>YYN2G-HW73Q-344KD-CPPHX-M98XC</t>
  </si>
  <si>
    <t>Акт 18.08.2026</t>
  </si>
  <si>
    <t>Акт 27.01.2026</t>
  </si>
  <si>
    <t>Кутузов Антон Владимирович
Злобина Оксана Сатановна 8273</t>
  </si>
  <si>
    <t>была модернизация/upgraded Добавление 4GB Оперативы</t>
  </si>
  <si>
    <t>Zlobina Oksana</t>
  </si>
  <si>
    <t xml:space="preserve">Начальник участка </t>
  </si>
  <si>
    <t>MD, STAMP</t>
  </si>
  <si>
    <t>00000011068</t>
  </si>
  <si>
    <t>Машкова Екатерина Владимировна</t>
  </si>
  <si>
    <t>СФОРМИРОВАТЬ ЗАЯВКУ НА РЕМОНТ</t>
  </si>
  <si>
    <t>Mashkova Ekaterina</t>
  </si>
  <si>
    <t>Необходима замена кулера и клавиатуры
Требуется ремонт</t>
  </si>
  <si>
    <t>BROKEN_Glagolev Alexander</t>
  </si>
  <si>
    <t>начальники участка цеха сварки штамповки/ welding and stamping shops Group leaders</t>
  </si>
  <si>
    <t>R90QN4XC</t>
  </si>
  <si>
    <t>100000001651</t>
  </si>
  <si>
    <t>00000010787</t>
  </si>
  <si>
    <t>PF2TXV6E</t>
  </si>
  <si>
    <t>RUTL-PF2TXV6E</t>
  </si>
  <si>
    <t>R90QFPYM</t>
  </si>
  <si>
    <t>Летунов А.
Мартынов Д.
Климанов А.</t>
  </si>
  <si>
    <t>Климанов А.К</t>
  </si>
  <si>
    <t>акт 01-11-2024</t>
  </si>
  <si>
    <t>Акт 02.10.2025 Плюснин С.
Акт 10.12.2025 Кутузов А.</t>
  </si>
  <si>
    <t>Акт 03.07.2026</t>
  </si>
  <si>
    <t>BROKEN_Strelnikova Natalya</t>
  </si>
  <si>
    <t>1088
3813
10630
4076 
1248
17437</t>
  </si>
  <si>
    <t>AIO HP200G G4 22</t>
  </si>
  <si>
    <t>Зимин Валерий Владимирович ( 1088 )
Черноусов Роман Николаевич ( 3813 )
Поляков Петр Геннадьевич ( 10630 )
Матюшкин Артём Юрьевич ( 4076 )
Пугачёв Кирилл Николаевич ( 1248 )
Сизов Алексей Вячеславович ( 17437 )</t>
  </si>
  <si>
    <t>100000001757</t>
  </si>
  <si>
    <r>
      <rPr>
        <strike/>
        <sz val="12"/>
        <color rgb="FFFF0000"/>
        <rFont val="Times New Roman"/>
        <family val="1"/>
        <charset val="204"/>
      </rPr>
      <t>Molodtsov Anton Работает ли за этим ПК?</t>
    </r>
    <r>
      <rPr>
        <sz val="12"/>
        <color rgb="FF000000"/>
        <rFont val="Times New Roman"/>
        <family val="1"/>
        <charset val="204"/>
      </rPr>
      <t xml:space="preserve">
Zimin Valeriy
</t>
    </r>
    <r>
      <rPr>
        <sz val="12"/>
        <color rgb="FFFF0066"/>
        <rFont val="Times New Roman"/>
        <family val="1"/>
        <charset val="204"/>
      </rPr>
      <t>Chernousov Roman</t>
    </r>
    <r>
      <rPr>
        <sz val="12"/>
        <color rgb="FF000000"/>
        <rFont val="Times New Roman"/>
        <family val="1"/>
        <charset val="204"/>
      </rPr>
      <t xml:space="preserve">
</t>
    </r>
    <r>
      <rPr>
        <sz val="12"/>
        <color rgb="FF3366FF"/>
        <rFont val="Times New Roman"/>
        <family val="1"/>
        <charset val="204"/>
      </rPr>
      <t>Polyakov Petr</t>
    </r>
    <r>
      <rPr>
        <sz val="12"/>
        <color rgb="FF000000"/>
        <rFont val="Times New Roman"/>
        <family val="1"/>
        <charset val="204"/>
      </rPr>
      <t xml:space="preserve">
</t>
    </r>
    <r>
      <rPr>
        <sz val="12"/>
        <color rgb="FF7F6000"/>
        <rFont val="Times New Roman"/>
        <family val="1"/>
        <charset val="204"/>
      </rPr>
      <t>Matyushkin Artem</t>
    </r>
    <r>
      <rPr>
        <sz val="12"/>
        <color rgb="FF000000"/>
        <rFont val="Times New Roman"/>
        <family val="1"/>
        <charset val="204"/>
      </rPr>
      <t xml:space="preserve">
</t>
    </r>
    <r>
      <rPr>
        <sz val="12"/>
        <color rgb="FF980000"/>
        <rFont val="Times New Roman"/>
        <family val="1"/>
        <charset val="204"/>
      </rPr>
      <t xml:space="preserve">Pugachev Kirill
</t>
    </r>
    <r>
      <rPr>
        <sz val="12"/>
        <color rgb="FF000000"/>
        <rFont val="Times New Roman"/>
        <family val="1"/>
        <charset val="204"/>
      </rPr>
      <t>Sizov Alexey</t>
    </r>
  </si>
  <si>
    <r>
      <rPr>
        <sz val="10"/>
        <color rgb="FF006100"/>
        <rFont val="Times New Roman"/>
        <family val="1"/>
        <charset val="204"/>
      </rPr>
      <t xml:space="preserve">Мастер 3 категории
</t>
    </r>
    <r>
      <rPr>
        <sz val="10"/>
        <color rgb="FF000000"/>
        <rFont val="Times New Roman"/>
        <family val="1"/>
        <charset val="204"/>
      </rPr>
      <t>Начальник участка</t>
    </r>
    <r>
      <rPr>
        <sz val="10"/>
        <color rgb="FF006100"/>
        <rFont val="Times New Roman"/>
        <family val="1"/>
        <charset val="204"/>
      </rPr>
      <t xml:space="preserve">
</t>
    </r>
    <r>
      <rPr>
        <sz val="10"/>
        <color rgb="FFFF0066"/>
        <rFont val="Times New Roman"/>
        <family val="1"/>
        <charset val="204"/>
      </rPr>
      <t>Начальник участка</t>
    </r>
    <r>
      <rPr>
        <sz val="10"/>
        <color rgb="FF006100"/>
        <rFont val="Times New Roman"/>
        <family val="1"/>
        <charset val="204"/>
      </rPr>
      <t xml:space="preserve">
</t>
    </r>
    <r>
      <rPr>
        <sz val="10"/>
        <color rgb="FF3366FF"/>
        <rFont val="Times New Roman"/>
        <family val="1"/>
        <charset val="204"/>
      </rPr>
      <t>Мастер 3 категории</t>
    </r>
    <r>
      <rPr>
        <sz val="10"/>
        <color rgb="FF006100"/>
        <rFont val="Times New Roman"/>
        <family val="1"/>
        <charset val="204"/>
      </rPr>
      <t xml:space="preserve">
</t>
    </r>
    <r>
      <rPr>
        <sz val="10"/>
        <color rgb="FF9C5700"/>
        <rFont val="Times New Roman"/>
        <family val="1"/>
        <charset val="204"/>
      </rPr>
      <t xml:space="preserve">Мастер участка ремонта 1 категории
</t>
    </r>
    <r>
      <rPr>
        <sz val="10"/>
        <color rgb="FF980000"/>
        <rFont val="Times New Roman"/>
        <family val="1"/>
        <charset val="204"/>
      </rPr>
      <t xml:space="preserve">Мастер участка ремонта 1 категории
</t>
    </r>
    <r>
      <rPr>
        <sz val="10"/>
        <color rgb="FF006100"/>
        <rFont val="Times New Roman"/>
        <family val="1"/>
        <charset val="204"/>
      </rPr>
      <t>Начальник участка</t>
    </r>
  </si>
  <si>
    <t>00000016132</t>
  </si>
  <si>
    <t>LR0AVC24</t>
  </si>
  <si>
    <t>RUTL-LR0AVC24</t>
  </si>
  <si>
    <t>Климанов А.
Кудрявцев Д.
Протопопов А.</t>
  </si>
  <si>
    <t>8CC1373GZW</t>
  </si>
  <si>
    <t>RUTL-8CC1373GZW</t>
  </si>
  <si>
    <r>
      <rPr>
        <sz val="10"/>
        <color rgb="FF000000"/>
        <rFont val="Times New Roman"/>
        <family val="1"/>
        <charset val="204"/>
      </rPr>
      <t xml:space="preserve">Акт 05.12.2024 Зимин В.
</t>
    </r>
    <r>
      <rPr>
        <sz val="10"/>
        <color rgb="FFFF00FF"/>
        <rFont val="Times New Roman"/>
        <family val="1"/>
        <charset val="204"/>
      </rPr>
      <t>Акт 05.12.2024 Черноусов Р.</t>
    </r>
    <r>
      <rPr>
        <sz val="10"/>
        <color rgb="FF000000"/>
        <rFont val="Times New Roman"/>
        <family val="1"/>
        <charset val="204"/>
      </rPr>
      <t xml:space="preserve">
</t>
    </r>
    <r>
      <rPr>
        <sz val="10"/>
        <color rgb="FF3366FF"/>
        <rFont val="Times New Roman"/>
        <family val="1"/>
        <charset val="204"/>
      </rPr>
      <t>Акт 21.02.2025 Поляков П.</t>
    </r>
    <r>
      <rPr>
        <sz val="10"/>
        <color rgb="FF9C5700"/>
        <rFont val="Times New Roman"/>
        <family val="1"/>
        <charset val="204"/>
      </rPr>
      <t xml:space="preserve">
</t>
    </r>
    <r>
      <rPr>
        <sz val="10"/>
        <color rgb="FF7F6000"/>
        <rFont val="Times New Roman"/>
        <family val="1"/>
        <charset val="204"/>
      </rPr>
      <t xml:space="preserve">Акт 07.04.2026 Матюшкин А
</t>
    </r>
    <r>
      <rPr>
        <sz val="10"/>
        <color rgb="FF980000"/>
        <rFont val="Times New Roman"/>
        <family val="1"/>
        <charset val="204"/>
      </rPr>
      <t xml:space="preserve">Акт 22.04.2026 Пугачёв К.
</t>
    </r>
    <r>
      <rPr>
        <sz val="10"/>
        <color rgb="FF000000"/>
        <rFont val="Times New Roman"/>
        <family val="1"/>
        <charset val="204"/>
      </rPr>
      <t>Акт 22.08.2026 (Сизов)</t>
    </r>
  </si>
  <si>
    <t>БЕЗ НДС
с НДС 61000</t>
  </si>
  <si>
    <t>Ларионов Максим Алексеевич</t>
  </si>
  <si>
    <t>Larionov Maksim</t>
  </si>
  <si>
    <t>Q&amp;T, QT</t>
  </si>
  <si>
    <t>100000005391</t>
  </si>
  <si>
    <t>C2509N0008389</t>
  </si>
  <si>
    <t>QBGDN-JX4VG-BHG28-Q7K6F-BY7PT</t>
  </si>
  <si>
    <t>DBY6N-8T84C-3Q8FB-V4T9C-RVV82</t>
  </si>
  <si>
    <t>Акт 26.02.2026</t>
  </si>
  <si>
    <t>646
1088</t>
  </si>
  <si>
    <t>Шайхизаманов Ринат Фанизович
Зимин Валерий</t>
  </si>
  <si>
    <t>Модернизация не требуется/normal (no need to upgrade) SSD 512 ОЗУ 8гб.</t>
  </si>
  <si>
    <t>Shakhizamanov Rinat/ Zimin Valeriy</t>
  </si>
  <si>
    <t>Постоянные зависания/синий экран
Отправить на ремонт за свой счёт</t>
  </si>
  <si>
    <t>BROKEN_Kulikova Lidiya</t>
  </si>
  <si>
    <t>Laptop,mouse,переходник tp-link</t>
  </si>
  <si>
    <t>Бухгалтер</t>
  </si>
  <si>
    <t>00000019367(2)</t>
  </si>
  <si>
    <t>R90SRSG6</t>
  </si>
  <si>
    <t>100000001678</t>
  </si>
  <si>
    <t>HJRHDF2</t>
  </si>
  <si>
    <t>RUTL-HJRHDF2</t>
  </si>
  <si>
    <t>Installed Key: YF42W-2KNPG-G6YW6-42D4Q-GF4C2 
 OEM Key: YF42W-2KNPG-G6YW6-42D4Q-GF4C2</t>
  </si>
  <si>
    <t>Акт от 30.11.2024
Акт 29.09.2025 Зимин В.</t>
  </si>
  <si>
    <t>Моргачев Сергей Андреевич</t>
  </si>
  <si>
    <t>Morgachev Sergey</t>
  </si>
  <si>
    <t>100000001598</t>
  </si>
  <si>
    <t>CND12505ST</t>
  </si>
  <si>
    <t>BN4XJ-R9DYY-96W48-YK8DM-MYZPY</t>
  </si>
  <si>
    <t>Тютина Майя Алексеевна</t>
  </si>
  <si>
    <t>Акт 10.03.2025</t>
  </si>
  <si>
    <t>Модерн ПЕРЕСТАЛ ВИДЕТЬ НАКОПИТЕЛЬ/ повреждение матрицы
Отправить на ремонт за свой счёт</t>
  </si>
  <si>
    <t>BROKEN</t>
  </si>
  <si>
    <t>4908/4863</t>
  </si>
  <si>
    <t>Петрунин Павел Александрович 4908
Привезенцев Алексей Сергеевич 4863</t>
  </si>
  <si>
    <t>Petrunin Pavel
Privezentsev Alexey</t>
  </si>
  <si>
    <t>Мастер 3 категории
Мастер 1 категории</t>
  </si>
  <si>
    <t>100000001601</t>
  </si>
  <si>
    <t>100000004326</t>
  </si>
  <si>
    <t>2408A22H124i5M2165R00487</t>
  </si>
  <si>
    <t>RUTL-65R00487</t>
  </si>
  <si>
    <t>CND12506FL</t>
  </si>
  <si>
    <t>MHHDN-CRHTG-TQKQX-R39YY-6VJXC</t>
  </si>
  <si>
    <t>Акт 21.05.2025</t>
  </si>
  <si>
    <t>Акт  05.08.2026
Акт 19.08.2026</t>
  </si>
  <si>
    <t>Тараторкина Ника Олеговна</t>
  </si>
  <si>
    <t>Taratorkina Nika</t>
  </si>
  <si>
    <t>Ведущий специалист по персоналу</t>
  </si>
  <si>
    <r>
      <rPr>
        <sz val="10"/>
        <color rgb="FF000000"/>
        <rFont val="Times New Roman"/>
        <family val="1"/>
        <charset val="204"/>
      </rPr>
      <t xml:space="preserve">7487
</t>
    </r>
    <r>
      <rPr>
        <sz val="10"/>
        <color rgb="FFA61C00"/>
        <rFont val="Times New Roman"/>
        <family val="1"/>
        <charset val="204"/>
      </rPr>
      <t xml:space="preserve">3563
</t>
    </r>
    <r>
      <rPr>
        <sz val="10"/>
        <color rgb="FF000000"/>
        <rFont val="Times New Roman"/>
        <family val="1"/>
        <charset val="204"/>
      </rPr>
      <t>4471</t>
    </r>
  </si>
  <si>
    <t>HRD, DP, HR DATA</t>
  </si>
  <si>
    <r>
      <rPr>
        <b/>
        <sz val="12"/>
        <color rgb="FF000000"/>
        <rFont val="Times New Roman"/>
        <family val="1"/>
        <charset val="204"/>
      </rPr>
      <t xml:space="preserve">
</t>
    </r>
    <r>
      <rPr>
        <b/>
        <sz val="12"/>
        <color rgb="FF980000"/>
        <rFont val="Times New Roman"/>
        <family val="1"/>
        <charset val="204"/>
      </rPr>
      <t xml:space="preserve">Абдуллаев Эльдар Элшанович
</t>
    </r>
    <r>
      <rPr>
        <b/>
        <sz val="12"/>
        <color rgb="FF000000"/>
        <rFont val="Times New Roman"/>
        <family val="1"/>
        <charset val="204"/>
      </rPr>
      <t>Зафарзода Зарирджон</t>
    </r>
  </si>
  <si>
    <r>
      <rPr>
        <sz val="12"/>
        <color rgb="FF000000"/>
        <rFont val="Times New Roman"/>
        <family val="1"/>
        <charset val="204"/>
      </rPr>
      <t xml:space="preserve">Karagulov Kantemir
</t>
    </r>
    <r>
      <rPr>
        <sz val="12"/>
        <color rgb="FF980000"/>
        <rFont val="Times New Roman"/>
        <family val="1"/>
        <charset val="204"/>
      </rPr>
      <t xml:space="preserve">Abdullaev Eldar
</t>
    </r>
    <r>
      <rPr>
        <sz val="12"/>
        <color rgb="FF000000"/>
        <rFont val="Times New Roman"/>
        <family val="1"/>
        <charset val="204"/>
      </rPr>
      <t>Zafarzoda Zarirjon</t>
    </r>
  </si>
  <si>
    <r>
      <rPr>
        <sz val="12"/>
        <color rgb="FF006100"/>
        <rFont val="Times New Roman"/>
        <family val="1"/>
        <charset val="204"/>
      </rPr>
      <t xml:space="preserve">Мастер 1 категории
</t>
    </r>
    <r>
      <rPr>
        <sz val="12"/>
        <color rgb="FF980000"/>
        <rFont val="Times New Roman"/>
        <family val="1"/>
        <charset val="204"/>
      </rPr>
      <t xml:space="preserve">Начальник участка
</t>
    </r>
    <r>
      <rPr>
        <sz val="12"/>
        <color rgb="FF006100"/>
        <rFont val="Times New Roman"/>
        <family val="1"/>
        <charset val="204"/>
      </rPr>
      <t>Мастер 3 категории</t>
    </r>
  </si>
  <si>
    <t>100000001602</t>
  </si>
  <si>
    <t>100000003578</t>
  </si>
  <si>
    <t>2407A12H424I5M2165R00009</t>
  </si>
  <si>
    <t>F9FN9-G2HWF-WXJ9G-PQ933-3PFC2</t>
  </si>
  <si>
    <t>ОЗУ 2 плашки по 4гб всего 8 гб. SSD Micron MTFDDAK256TDL 240 гб.
Не включается совсем. На матплате видны прогары (ооочень маленькие)
Отправить на ремонт за свой счёт</t>
  </si>
  <si>
    <t>BROKEN_Moskalenko Olga</t>
  </si>
  <si>
    <t>Акт 28.03.2025</t>
  </si>
  <si>
    <t>Специалист по стандартизации документооборота</t>
  </si>
  <si>
    <t>CND12505XP</t>
  </si>
  <si>
    <t>RUTL-CND12505XP</t>
  </si>
  <si>
    <t>WJN26-MB989-2T3FD-6TDGD-3PFD9</t>
  </si>
  <si>
    <t>PF1SLH49</t>
  </si>
  <si>
    <t>RUTL-PF1SLH49</t>
  </si>
  <si>
    <t>9HNX7-28CB7-VYV34-GX3R7-R9CKC</t>
  </si>
  <si>
    <t>Акт 05.03.2026 Карагулов К.
Акт 05.03.2026 Абдуллаев Э.
Акт 24.08.2026 Зафарзода З.</t>
  </si>
  <si>
    <t>D27N6-DQRCV-D3J93-JX9DG-J2QGT</t>
  </si>
  <si>
    <t>Акт 22.08.2024</t>
  </si>
  <si>
    <t>1197
4668
8162
3801</t>
  </si>
  <si>
    <t>Поляков Дмитрий Генадьевич
Коротнев Юрий Генадьевич
Гранкин Роман анатольевич
Шолох Евгений Мурадович</t>
  </si>
  <si>
    <t>Polyakov dmitriy
Korotnev Yuriy
Grankin Roman
Sholokh  Evgeniy</t>
  </si>
  <si>
    <t>Начальник участка / Мастер штамповой оснастки</t>
  </si>
  <si>
    <t>Лубянкин Максим Александрович</t>
  </si>
  <si>
    <t>Liubyankin Maksim</t>
  </si>
  <si>
    <t>100000001608</t>
  </si>
  <si>
    <t>100000003332</t>
  </si>
  <si>
    <t>NXEGYER00H3200897C3400</t>
  </si>
  <si>
    <t>Акт 04.07.2024</t>
  </si>
  <si>
    <t>Модернизация не требуется
Отправить на ремонт за свой счёт</t>
  </si>
  <si>
    <t>BROKEN_Maslova Zhanna</t>
  </si>
  <si>
    <t>Специалист по затратам</t>
  </si>
  <si>
    <t>CND12505QN</t>
  </si>
  <si>
    <t>PF1ALKU1</t>
  </si>
  <si>
    <t>RUTL-PF1ALKU1</t>
  </si>
  <si>
    <t>CNM3K-WT96W-W4VDJ-P24KT-BP2MK</t>
  </si>
  <si>
    <t>BYNTV-DRJ9G-7HCDP-7PPB8-33WXG</t>
  </si>
  <si>
    <t>Кудрявцев Д./ Летунов А.</t>
  </si>
  <si>
    <t>Акт от 16.09.2025 Поляков Д.
Акт от 16.09.2025 Гранкин Р.
Акт от 27.03.2025</t>
  </si>
  <si>
    <t>Поляков Вадим Алексеевич</t>
  </si>
  <si>
    <t>Polyakov Vadim</t>
  </si>
  <si>
    <t>100000003583</t>
  </si>
  <si>
    <t>F2715NBP35060821255</t>
  </si>
  <si>
    <t>BROKEN_Fomenkov Vladimir</t>
  </si>
  <si>
    <t>Laptop Dell Vostro 7500</t>
  </si>
  <si>
    <t>JFS51B3</t>
  </si>
  <si>
    <t>RUTL-JFS51B3</t>
  </si>
  <si>
    <t>W9V86-NMY7Q-7HVMW-68MTH-T3BP2</t>
  </si>
  <si>
    <t>.</t>
  </si>
  <si>
    <t>лежит на ремонт</t>
  </si>
  <si>
    <t>1088
4121
18758</t>
  </si>
  <si>
    <t>Зимин Валерий Владимирович
Караваев Антон Олегович 
Суровицкий Савелий Сергеевич</t>
  </si>
  <si>
    <t xml:space="preserve">Zimin Valeriy/ Karavaev Anton / Surovitsky Savely </t>
  </si>
  <si>
    <t>Начальник участка/ Мастер 2 категории / Мастер 1 категории</t>
  </si>
  <si>
    <t>100000003627</t>
  </si>
  <si>
    <t>F2715NBP35060821801</t>
  </si>
  <si>
    <t>6W38N-TD78B-YH896-B64W6-683GP</t>
  </si>
  <si>
    <t>Акт 13.11.2025 Зимин В.
Акт 24.11.2025 Караваев А.</t>
  </si>
  <si>
    <t>Кулешова Татьяна Ивановна</t>
  </si>
  <si>
    <t>Kuleshova Tatyana</t>
  </si>
  <si>
    <t>Отправить на ремонт за свой счёт</t>
  </si>
  <si>
    <t>BROKEN_Chuikina Elvira</t>
  </si>
  <si>
    <t>00000011597</t>
  </si>
  <si>
    <t>100000006515</t>
  </si>
  <si>
    <t>PW0K0D82</t>
  </si>
  <si>
    <t>LR08MD81</t>
  </si>
  <si>
    <t>RUTL-LR08MD81</t>
  </si>
  <si>
    <t>9710
17611</t>
  </si>
  <si>
    <t>B62KN-PFV2H-4P873-KMXMF-QGP2T</t>
  </si>
  <si>
    <t>Перфилова Софья Алексеевна
Жуковина Алиса Алексеевна</t>
  </si>
  <si>
    <t>RC84X-P9NB9-89XXY-PJWWV-7QWXC</t>
  </si>
  <si>
    <t>Perfilova Sofia
Zhukovina Alisa</t>
  </si>
  <si>
    <t>Диспетчер производства
Диспетчер производства (промоушен)</t>
  </si>
  <si>
    <t>Акт 30.07.2025</t>
  </si>
  <si>
    <t>Акт 19.05.2026</t>
  </si>
  <si>
    <t>150000025/Z000002</t>
  </si>
  <si>
    <t>PC0KDWEN</t>
  </si>
  <si>
    <t>G4KPG-NK39V-FQ3VF-RQ6GD-TCQGP</t>
  </si>
  <si>
    <t>Акт 22.05.2025 Перфилова С.
Акт 04.09.2026 Жуковина А.</t>
  </si>
  <si>
    <t>НЕ КРУТИТ КУЛЕР ОХЛАЖДЕНИЯ, ОПАСНО С ПЕРЕГРЕВОМ</t>
  </si>
  <si>
    <t>BROKEN_Starostina Ekaterina</t>
  </si>
  <si>
    <t>Начальник смены технического обслуживания оборудования 1 категории</t>
  </si>
  <si>
    <t>100000001597</t>
  </si>
  <si>
    <r>
      <rPr>
        <b/>
        <sz val="12"/>
        <color rgb="FF000000"/>
        <rFont val="Times New Roman"/>
        <family val="1"/>
        <charset val="204"/>
      </rPr>
      <t xml:space="preserve">Бабурин Петр Андреевич
</t>
    </r>
    <r>
      <rPr>
        <b/>
        <sz val="12"/>
        <color rgb="FF980000"/>
        <rFont val="Times New Roman"/>
        <family val="1"/>
        <charset val="204"/>
      </rPr>
      <t>Антонов Николай Владимирович</t>
    </r>
  </si>
  <si>
    <t>Baburin Petr
Antonov Nikolay</t>
  </si>
  <si>
    <t>Инженер по геометрии автомобиля 3 категории / Инженер по геометрии автомобиля 4 категории</t>
  </si>
  <si>
    <t>NXEGYER00H32008A093400</t>
  </si>
  <si>
    <t>KQNWF-3JGF2-HPM7G-2GBBF-F6YP2</t>
  </si>
  <si>
    <t xml:space="preserve">Климанов А.
Кудрявцев Д. </t>
  </si>
  <si>
    <t>Акт 02.11.2024 Бабурин П.
Акт 15.05.2026 Антонов Н.</t>
  </si>
  <si>
    <t>Коняев Владимир Сергеевич</t>
  </si>
  <si>
    <t>CND12506BY</t>
  </si>
  <si>
    <t>Konyaev Vladimir</t>
  </si>
  <si>
    <t>RUTL-CND12506BY</t>
  </si>
  <si>
    <t>00000011055</t>
  </si>
  <si>
    <t>Акт 17.01.2022</t>
  </si>
  <si>
    <r>
      <rPr>
        <u/>
        <sz val="10"/>
        <color rgb="FF0563C1"/>
        <rFont val="Times New Roman"/>
        <family val="1"/>
        <charset val="204"/>
      </rPr>
      <t xml:space="preserve">419
</t>
    </r>
    <r>
      <rPr>
        <u/>
        <sz val="10"/>
        <color rgb="FF1F1F1F"/>
        <rFont val="Times New Roman"/>
        <family val="1"/>
        <charset val="204"/>
      </rPr>
      <t>4232</t>
    </r>
  </si>
  <si>
    <t>Завитаев Антон Владимирович
Афросин Максим Юрьевич</t>
  </si>
  <si>
    <t>Zavitaev Anton
Afrosin maksim</t>
  </si>
  <si>
    <t>СММ Инспектор
Техник по геометрии 4 категории</t>
  </si>
  <si>
    <t>00000010786</t>
  </si>
  <si>
    <t>R90QN4WH</t>
  </si>
  <si>
    <t>FKKNH-CYFXT-MWD86-Q3PTY-6VJXC</t>
  </si>
  <si>
    <t>NOT STABLE( проблема с цепью питания??)</t>
  </si>
  <si>
    <t>R90QFPYQ</t>
  </si>
  <si>
    <t>Акт 07.04.2025</t>
  </si>
  <si>
    <t>Акт 12.11.2018 Завитаев А.
Акт 29.09.2026 Афросин М.</t>
  </si>
  <si>
    <t>БЕЗ НДС 30247.46 С НДС 35 692,00</t>
  </si>
  <si>
    <t xml:space="preserve">Колодный Виктор Алексеевич </t>
  </si>
  <si>
    <t xml:space="preserve">Kolodnyi Victor </t>
  </si>
  <si>
    <t xml:space="preserve">Мастер 3 категории </t>
  </si>
  <si>
    <t>NOBO, NOBO QI</t>
  </si>
  <si>
    <t>ПК Lenovo ThinkStation P 330</t>
  </si>
  <si>
    <t>F2715NBP35060820202</t>
  </si>
  <si>
    <t>Windows 10 Pro - 22H2/19045 x64</t>
  </si>
  <si>
    <t>PC0ZVQPP</t>
  </si>
  <si>
    <t>1408
16984
4294</t>
  </si>
  <si>
    <t>M8K98-4NJ6P-BT2B3-DHHMG-WXCKC</t>
  </si>
  <si>
    <t>Бакай Иван Вадимович (1408)
Баксараев Владислав Дмитриевич 16984
Саакян Максим Артурович (4294)</t>
  </si>
  <si>
    <t>RUTL-PC0ZVQPP</t>
  </si>
  <si>
    <t>Модернизирован SSD samsung 500гб ОЗУ 12гб</t>
  </si>
  <si>
    <t>Акт от 23.11.2024</t>
  </si>
  <si>
    <t>Тишин Алексей Викторович</t>
  </si>
  <si>
    <t>Модернизация не требуется/normal (no need to upgrade) 256 ssd nwme 12 озу</t>
  </si>
  <si>
    <t>Tishin Alexey</t>
  </si>
  <si>
    <t>Инженер по деталям интерьера и экстерьера 2 категории</t>
  </si>
  <si>
    <t>100000001626</t>
  </si>
  <si>
    <t>Bakai Ivan
Baksaraev Vladislav
Saakyan Maksim</t>
  </si>
  <si>
    <t>PF2VTHSH</t>
  </si>
  <si>
    <t>Мастер 3 категории
Мастер участка ремонта 2 категории
Начальник участка</t>
  </si>
  <si>
    <t>Акт 29-08-2021</t>
  </si>
  <si>
    <t>00000011069</t>
  </si>
  <si>
    <t>Журавлев Алексей Валерьевич</t>
  </si>
  <si>
    <t>R90QN4VV</t>
  </si>
  <si>
    <t>Zhuravlyov Alexey</t>
  </si>
  <si>
    <t>00000011073</t>
  </si>
  <si>
    <t>R90QN4XJ</t>
  </si>
  <si>
    <t>24JJN-7CJDD-7JKBC-HVGM2-76DGP</t>
  </si>
  <si>
    <t>Летунов А.
Климанов А.
Протопопов А.</t>
  </si>
  <si>
    <t>Акт 04.10.2024 Бакай И.
Акт 29.06.2026 Баксараев В.
04.09.2025 Саакян М.</t>
  </si>
  <si>
    <t>Чудайкина Елизавета Фёдоровна</t>
  </si>
  <si>
    <t>не включается (Сброс таблетки не помог , не правильно ведет себя индикация на блоке питания при включении ПК)</t>
  </si>
  <si>
    <t>Тимошин Дмитрий Иванович</t>
  </si>
  <si>
    <t>Timoshin Dmitriy</t>
  </si>
  <si>
    <t>Инженер-системный программист</t>
  </si>
  <si>
    <t>10000001759</t>
  </si>
  <si>
    <t>Chudaikina Elizaveta</t>
  </si>
  <si>
    <t>Администратор</t>
  </si>
  <si>
    <t>7DS51B3</t>
  </si>
  <si>
    <t>100000004327</t>
  </si>
  <si>
    <t>2408A22H124i5M2165R00464</t>
  </si>
  <si>
    <t>5839
5098
9043</t>
  </si>
  <si>
    <t>Белов Денис Александрович
Бойцов Степан Игоревич
Мунтян Дмитрий Андреевич</t>
  </si>
  <si>
    <t>была модернизация/upgraded (SSD 256 (SSD)</t>
  </si>
  <si>
    <t>Belov Denis
Muntyan Dmitry</t>
  </si>
  <si>
    <t>начальник участка
Мастер участка ремонта 1 категории</t>
  </si>
  <si>
    <t>Соловьёв Сергей Валерьевич</t>
  </si>
  <si>
    <t>7XDM7-N8F3J-F3YHR-9HC8G-BP32T</t>
  </si>
  <si>
    <t>Solovyov Sergey</t>
  </si>
  <si>
    <t>Инженер-механик 3 категории</t>
  </si>
  <si>
    <t>00000011074</t>
  </si>
  <si>
    <t>PMNXK-YCQHJ-X9QYX-YWP4X-9HJXC</t>
  </si>
  <si>
    <t>100000004847</t>
  </si>
  <si>
    <t>Акт 24.09.2025</t>
  </si>
  <si>
    <t>UN31ZSI04F533021D80700</t>
  </si>
  <si>
    <t>LibreOffice</t>
  </si>
  <si>
    <t>Акт 18.11.2025</t>
  </si>
  <si>
    <t>R90QFPZT</t>
  </si>
  <si>
    <t>Необходимо отдать в ремонт. Неисправна цепь питания (не заряжается)</t>
  </si>
  <si>
    <t>Pishikina Lyudmila</t>
  </si>
  <si>
    <t>Специалист по управлению рисками</t>
  </si>
  <si>
    <t>Акт 14.10.2025 Белов Д.
Акт 30.01.2026 Бойцов С.
Акт 22.08.2026 Мунтян Д.</t>
  </si>
  <si>
    <t>100000004306</t>
  </si>
  <si>
    <t>F2715NBP35070820048</t>
  </si>
  <si>
    <t>Libre office / onlyOffice</t>
  </si>
  <si>
    <t>Лось Алексей Анатольевич</t>
  </si>
  <si>
    <t>Модернизация была 8гб оперы поставил /normal (no need to upgrade)</t>
  </si>
  <si>
    <t>FJBNK-J88J6-R6DDR-DQWYF-KBT6P</t>
  </si>
  <si>
    <t>Los Alexey</t>
  </si>
  <si>
    <t>NOBO, NOBO MS</t>
  </si>
  <si>
    <t>Акт 17.11.2025</t>
  </si>
  <si>
    <t>00000011576</t>
  </si>
  <si>
    <t>Модернизация не требуется/normal (no need to upgrade)
Клавиши поломаны, закупить клавиатурный модуль</t>
  </si>
  <si>
    <t>BROKEN_Fedyunina Polina</t>
  </si>
  <si>
    <t>LR08MD8D</t>
  </si>
  <si>
    <t xml:space="preserve">Специалист по взаимодействию с учебными учреждениями </t>
  </si>
  <si>
    <t>100000001639</t>
  </si>
  <si>
    <t>PF2TYGX0</t>
  </si>
  <si>
    <t>Акт 16.07.2026</t>
  </si>
  <si>
    <t>1229
6703
6995
2844</t>
  </si>
  <si>
    <t>Матюхин Александр Александрович 1229
Макаров Григорий Вячеславович 6703
Борискин Сергей Андреевич 6995
Мохов Роман Иванович 2844</t>
  </si>
  <si>
    <t>DXKNB-B4BWV-M636W-H8CP9-BKP6G</t>
  </si>
  <si>
    <t>Акт  04.08.2026</t>
  </si>
  <si>
    <t>Matyukhin Aleksandr
Makarov Grigory
Boriskin Sergey
Mokhov Roman</t>
  </si>
  <si>
    <t>Начальник участка
Начальник участка
Мастер участка ремонта 1 категории
Мастер участка ремонта 2 категории</t>
  </si>
  <si>
    <t>00000016126</t>
  </si>
  <si>
    <t>Карпунин Александр Анатольевич</t>
  </si>
  <si>
    <t>LR0AVC1J</t>
  </si>
  <si>
    <t>Karpunin Aleksandr</t>
  </si>
  <si>
    <t>Начальник смены по качеству</t>
  </si>
  <si>
    <t>100000003646</t>
  </si>
  <si>
    <t>F2715NBP35060821580</t>
  </si>
  <si>
    <t>N3MB8-7J8M8-QFR2P-FXR8Q-WQKTP</t>
  </si>
  <si>
    <t>Акт 16.11.2024</t>
  </si>
  <si>
    <t>Кудрявцев Д.
Климанов А.
Протопопов А.
Климанов А</t>
  </si>
  <si>
    <t>Акт 03.03.2026 Матюхин А.
Акт 06.03.2026  Макаров Г.
Акт 22.08.2026 Борискин С
Акт 31.08.2026 Мохов Р.</t>
  </si>
  <si>
    <t>15339
16985
18832</t>
  </si>
  <si>
    <t>Жуковская Елена Андреевна 15339
Пономарчук Татьяна Андреевна 16985
Макарова Юлия Владимировна 18832</t>
  </si>
  <si>
    <t>Модернизация не требуется/normal (no need to upgrade)  (царапина на экране выдавать только в КОНДИЦИОНЕРЫ)</t>
  </si>
  <si>
    <t>КЗ на плате где-то
Отправить на ремонт за свой счёт</t>
  </si>
  <si>
    <t xml:space="preserve">Zhukovskaya Elena/ .Ponomarchuk Tatyana / Makarova Yuliya </t>
  </si>
  <si>
    <t>Специалист по послепродажному обслуживанию/ Специалист по качеству</t>
  </si>
  <si>
    <t>AC, AC PLS</t>
  </si>
  <si>
    <t>Люкин Денис Анатольевич</t>
  </si>
  <si>
    <t>BROKEN_Podgornev Alexander
BROKEN_Palamodov Sergei</t>
  </si>
  <si>
    <t>Liukin Denis</t>
  </si>
  <si>
    <t>100000006536</t>
  </si>
  <si>
    <t>Координатор производства</t>
  </si>
  <si>
    <t>PW0K0DJC</t>
  </si>
  <si>
    <t>Laptop IRBIS 15NBP3508</t>
  </si>
  <si>
    <t>100000003374</t>
  </si>
  <si>
    <t>140000012/Z000139</t>
  </si>
  <si>
    <t>F2715NBP35080821350</t>
  </si>
  <si>
    <t>Акт 10.07.2026</t>
  </si>
  <si>
    <t>Акт 24.03.2026</t>
  </si>
  <si>
    <t>2QNPG22</t>
  </si>
  <si>
    <t xml:space="preserve"> Трофимова Екатерина Олеговна</t>
  </si>
  <si>
    <t>Trofimova Ekaterina</t>
  </si>
  <si>
    <t>Инженер по внедрению информационных систем 1 категории / Information Systems Implementation engineer of the 1st category</t>
  </si>
  <si>
    <t>RDC, ISSS, 1CSG</t>
  </si>
  <si>
    <t>XNRBW-3Q2VH-VGFH2-TCBFV-G6MD2</t>
  </si>
  <si>
    <t>Laptop,mouse. Monitor Xiaomi Mi 1C 23,8" (S/N: 54383/250100058949)</t>
  </si>
  <si>
    <r>
      <rPr>
        <u/>
        <sz val="10"/>
        <color rgb="FF000000"/>
        <rFont val="Times New Roman"/>
        <family val="1"/>
        <charset val="204"/>
      </rPr>
      <t xml:space="preserve">2147
364
</t>
    </r>
    <r>
      <rPr>
        <u/>
        <sz val="10"/>
        <color rgb="FF000000"/>
        <rFont val="Times New Roman"/>
        <family val="1"/>
        <charset val="204"/>
      </rPr>
      <t>2609
7487</t>
    </r>
  </si>
  <si>
    <t>100000003384</t>
  </si>
  <si>
    <t>Кудрявцев Д.
Климанов А</t>
  </si>
  <si>
    <t xml:space="preserve">
Акт 25.12.2025 Подгорнев А.</t>
  </si>
  <si>
    <t>MP2HBY6H</t>
  </si>
  <si>
    <t>Линукс?</t>
  </si>
  <si>
    <t>Пиратский.</t>
  </si>
  <si>
    <t>Есть ли права администратора?</t>
  </si>
  <si>
    <t>Ивлиев Евгений Евгеньевич
Кочетов Михаил Витальевич
Кутузов Сергей Владимирович
Карагулов Кантемир Заурович</t>
  </si>
  <si>
    <t>Кто делал?</t>
  </si>
  <si>
    <t>Ivliev Evgeniy
Kochetov Mikhail
Kutuzov Sergey
Karagulov Kantemir</t>
  </si>
  <si>
    <r>
      <rPr>
        <sz val="12"/>
        <color rgb="FF000000"/>
        <rFont val="Times New Roman"/>
        <family val="1"/>
        <charset val="204"/>
      </rPr>
      <t>Начальник участка</t>
    </r>
    <r>
      <rPr>
        <sz val="12"/>
        <color rgb="FF990000"/>
        <rFont val="Times New Roman"/>
        <family val="1"/>
        <charset val="204"/>
      </rPr>
      <t xml:space="preserve">
</t>
    </r>
    <r>
      <rPr>
        <sz val="12"/>
        <color rgb="FF006100"/>
        <rFont val="Times New Roman"/>
        <family val="1"/>
        <charset val="204"/>
      </rPr>
      <t>Начальник участка
Мастер 3 категории
Мастер 2 категории</t>
    </r>
  </si>
  <si>
    <t>Где акт?</t>
  </si>
  <si>
    <t>00000022303(9)</t>
  </si>
  <si>
    <t>PF14T1VM</t>
  </si>
  <si>
    <t>Климанов А.
Протопопов А.
Мартынов Д.</t>
  </si>
  <si>
    <t>Акт  11.08.2021 
Акт  17.12.2024
Акт 22.08.2026
Акт 10.09.2026</t>
  </si>
  <si>
    <t>Яничкина Татьяна Анатольевна</t>
  </si>
  <si>
    <t>Yanichkina Tatyana</t>
  </si>
  <si>
    <t>Боец вернулся с того света (гнездо расшатано)
Отправить на ремонт за свой счёт</t>
  </si>
  <si>
    <t>OMD, DM</t>
  </si>
  <si>
    <t>100000001665</t>
  </si>
  <si>
    <t>00000022303(14)</t>
  </si>
  <si>
    <t>CG50JK3</t>
  </si>
  <si>
    <t>PF14SWTH</t>
  </si>
  <si>
    <t>Акт от 25.03.2026</t>
  </si>
  <si>
    <t>Акт 21.11.2025</t>
  </si>
  <si>
    <r>
      <rPr>
        <sz val="10"/>
        <color rgb="FF000000"/>
        <rFont val="Times New Roman"/>
        <family val="1"/>
        <charset val="204"/>
      </rPr>
      <t xml:space="preserve">1270
</t>
    </r>
    <r>
      <rPr>
        <sz val="10"/>
        <color rgb="FF980000"/>
        <rFont val="Times New Roman"/>
        <family val="1"/>
        <charset val="204"/>
      </rPr>
      <t>8154</t>
    </r>
  </si>
  <si>
    <r>
      <rPr>
        <b/>
        <sz val="12"/>
        <color rgb="FF000000"/>
        <rFont val="Times New Roman"/>
        <family val="1"/>
        <charset val="204"/>
      </rPr>
      <t xml:space="preserve">Егоров Дмитрий Николаевич
</t>
    </r>
    <r>
      <rPr>
        <b/>
        <sz val="12"/>
        <color rgb="FF980000"/>
        <rFont val="Times New Roman"/>
        <family val="1"/>
        <charset val="204"/>
      </rPr>
      <t>Жбанов Максим Витальевич</t>
    </r>
  </si>
  <si>
    <r>
      <rPr>
        <sz val="12"/>
        <color rgb="FF000000"/>
        <rFont val="Times New Roman"/>
        <family val="1"/>
        <charset val="204"/>
      </rPr>
      <t xml:space="preserve">Egorov Dmitry
</t>
    </r>
    <r>
      <rPr>
        <sz val="12"/>
        <color rgb="FF980000"/>
        <rFont val="Times New Roman"/>
        <family val="1"/>
        <charset val="204"/>
      </rPr>
      <t>Zhbanov Maxim</t>
    </r>
  </si>
  <si>
    <r>
      <rPr>
        <sz val="12"/>
        <color rgb="FF006100"/>
        <rFont val="Times New Roman"/>
        <family val="1"/>
        <charset val="204"/>
      </rPr>
      <t xml:space="preserve">Инженер-технолог 3 категории
</t>
    </r>
    <r>
      <rPr>
        <sz val="12"/>
        <color rgb="FF980000"/>
        <rFont val="Times New Roman"/>
        <family val="1"/>
        <charset val="204"/>
      </rPr>
      <t xml:space="preserve">Инженер-технолог 1 категории </t>
    </r>
  </si>
  <si>
    <t>100000003335</t>
  </si>
  <si>
    <t>NXEGYER00H32008A7A3400</t>
  </si>
  <si>
    <t xml:space="preserve">Жаворонков Максим Сергеевич </t>
  </si>
  <si>
    <t>CPX29-JKNFG-DPMP3-PT3D6-RRHJ6</t>
  </si>
  <si>
    <t>Zhavoronkov Maksim</t>
  </si>
  <si>
    <t>Руководитель группы ремонта и обслуживания штампов</t>
  </si>
  <si>
    <t>100000007012</t>
  </si>
  <si>
    <r>
      <rPr>
        <sz val="12"/>
        <color rgb="FF000000"/>
        <rFont val="Times New Roman"/>
        <family val="1"/>
        <charset val="204"/>
      </rPr>
      <t>Акт  01.10.2024 Егоров</t>
    </r>
    <r>
      <rPr>
        <sz val="12"/>
        <color rgb="FF980000"/>
        <rFont val="Times New Roman"/>
        <family val="1"/>
        <charset val="204"/>
      </rPr>
      <t xml:space="preserve">
Акт 17.03.2026 Жбанов М.</t>
    </r>
  </si>
  <si>
    <t>K0127440</t>
  </si>
  <si>
    <t>QMNR4-G9VP8-MKMYB-KDVGM-QJ3PP</t>
  </si>
  <si>
    <t>13503
15315</t>
  </si>
  <si>
    <t>Курмелев И.В. (13503)
Лышов Д.Н. (15315)</t>
  </si>
  <si>
    <t>Коробський Александр Александрович</t>
  </si>
  <si>
    <t>Igor Kurmelev 
Dmitry Lyshov</t>
  </si>
  <si>
    <t>Korobskiy Alexander</t>
  </si>
  <si>
    <t>СММ Инспектор / инженер по геометрии</t>
  </si>
  <si>
    <t>Руководитель группы по работе с рекламациями</t>
  </si>
  <si>
    <t>PMD, ORD</t>
  </si>
  <si>
    <t>100000006416</t>
  </si>
  <si>
    <t>100000003595</t>
  </si>
  <si>
    <t>PW0K0DCB</t>
  </si>
  <si>
    <t>XN72H-43FY6-GDGVG-HPY38-Q6986</t>
  </si>
  <si>
    <t>F2715NBP35060821715</t>
  </si>
  <si>
    <t>Акт 21.04.2026</t>
  </si>
  <si>
    <t>Акт 06.04.2026 Курмелев И.
Акт 06.04.2026  Лышов Д.</t>
  </si>
  <si>
    <t>Грошев Андрей Витальевич</t>
  </si>
  <si>
    <t>Groshev Andrey</t>
  </si>
  <si>
    <t>100000005542</t>
  </si>
  <si>
    <t>PW0LW3NT</t>
  </si>
  <si>
    <t>YD8K3-NQJQY-4TFYR-CKM7P-Q3XCT</t>
  </si>
  <si>
    <t>Каширкин Алексей Владимирович (1782) 
Долговых Дмитрий Сергеевич 15917
Илюшкин Илья Юрьевич
Гаджизада Бахтияр Гейдар оглы 6731</t>
  </si>
  <si>
    <t>Модернизация не требуется/normal (no need to upgrade), 13.07.2026 Заменён АКБ</t>
  </si>
  <si>
    <t>Kashirkin Alexey 
Dolgovykh Dmitry
Ilyushkin Ilya
Hajizada Bakhtiar</t>
  </si>
  <si>
    <t>Мастер 2 категории
Начальник участка
Мастер участка ремонта 2 категории
Мастер 2 категории</t>
  </si>
  <si>
    <t>100000003654</t>
  </si>
  <si>
    <t>F2715NBP35060820030</t>
  </si>
  <si>
    <t>FDFN8-7MHFK-3KP8H-6D8P9-FRJJ6</t>
  </si>
  <si>
    <t>Кудрявцев Д. / Протопопов А.</t>
  </si>
  <si>
    <t>Акт 21.04.2026 Каширкин А
Акт 29.04.2026 Долговых Д.
Акт 11.08.2026 Илюшкин И.
Акт 22.08.2026 Гаджизада Б</t>
  </si>
  <si>
    <t>Лупанов Илья Николаевич</t>
  </si>
  <si>
    <t>Lupanov Ilya</t>
  </si>
  <si>
    <t>100000005192</t>
  </si>
  <si>
    <t>C2507N0002566</t>
  </si>
  <si>
    <t>JY9Y3-TNFWH-BCFHH-MP4V4-WFHCP</t>
  </si>
  <si>
    <t>Акт 20,02,2026</t>
  </si>
  <si>
    <t>9372
14927</t>
  </si>
  <si>
    <t>Осипова Маргарита Николаевна
Михеева Екатерина Андреевна</t>
  </si>
  <si>
    <t>Margarita Osipova
Ekaterina Mikheeva</t>
  </si>
  <si>
    <t>Специалист TPS
Специалист TPS</t>
  </si>
  <si>
    <t>100000004309</t>
  </si>
  <si>
    <t>Байко Наталия Игоревна</t>
  </si>
  <si>
    <t>F2715NBP35070821434</t>
  </si>
  <si>
    <t>Bayko Natalia</t>
  </si>
  <si>
    <t>CH, CH Q&amp;T, CH QI</t>
  </si>
  <si>
    <t>100000003334</t>
  </si>
  <si>
    <t>MG9NY-DHY83-W4XBK-DTHP8-7FR9C</t>
  </si>
  <si>
    <t>NXEGYER00H32008F053400</t>
  </si>
  <si>
    <t>Акт 06.02.2026
Акт 03.07.2026 Михеева Е.</t>
  </si>
  <si>
    <t>Q6J3H-TCQKQ-J3DYY-X9M4P-JB6PT</t>
  </si>
  <si>
    <t>Акт от 17.07.2024</t>
  </si>
  <si>
    <t>Семенихина Наталия Валерьевна</t>
  </si>
  <si>
    <t>Semenikhina Natalya</t>
  </si>
  <si>
    <t>Ведущий бухгалтер 1 категории</t>
  </si>
  <si>
    <t>Laptop,mouse, Monitor Xiaomi a24i SN: 54383/250100058946</t>
  </si>
  <si>
    <t>7986
3860</t>
  </si>
  <si>
    <t>100000005378</t>
  </si>
  <si>
    <t>Блажко Виолетта Витальевна
Антонова Юлия</t>
  </si>
  <si>
    <t>C2507N0002964</t>
  </si>
  <si>
    <t>Blazhko Violetta/
Antonova Yulia</t>
  </si>
  <si>
    <t>Экономист/ 
Офис-ассистент/</t>
  </si>
  <si>
    <t>3GH8P-NQBQ6-HJVKH-7CJYT-PDK2P</t>
  </si>
  <si>
    <t>Акт 02.01.2026</t>
  </si>
  <si>
    <t>140000152/Z000068</t>
  </si>
  <si>
    <t>S4FM3362</t>
  </si>
  <si>
    <t>VN372-P26F6-Q8FD7-V8GGR-WFG6P</t>
  </si>
  <si>
    <t>Акт 01.08.2025 Блажко В.
Акт 21.11.2025 Антонова Ю.</t>
  </si>
  <si>
    <t>Острась Николай Владимирович</t>
  </si>
  <si>
    <t>Ostras Nikolay</t>
  </si>
  <si>
    <t>Мастер 1 категории</t>
  </si>
  <si>
    <t>100000003614</t>
  </si>
  <si>
    <t>F2715NBP35060821577</t>
  </si>
  <si>
    <t>Акт 16.03.2026</t>
  </si>
  <si>
    <r>
      <rPr>
        <sz val="10"/>
        <color rgb="FF000000"/>
        <rFont val="Times New Roman"/>
        <family val="1"/>
        <charset val="204"/>
      </rPr>
      <t>12526</t>
    </r>
    <r>
      <rPr>
        <sz val="10"/>
        <color rgb="FF980000"/>
        <rFont val="Times New Roman"/>
        <family val="1"/>
        <charset val="204"/>
      </rPr>
      <t xml:space="preserve">
</t>
    </r>
    <r>
      <rPr>
        <sz val="10"/>
        <color rgb="FF000000"/>
        <rFont val="Times New Roman"/>
        <family val="1"/>
        <charset val="204"/>
      </rPr>
      <t>9758
11821</t>
    </r>
  </si>
  <si>
    <r>
      <rPr>
        <b/>
        <sz val="12"/>
        <color rgb="FF000000"/>
        <rFont val="Times New Roman"/>
        <family val="1"/>
        <charset val="204"/>
      </rPr>
      <t>Оспищев Роман Николаевич (12526)</t>
    </r>
    <r>
      <rPr>
        <b/>
        <sz val="12"/>
        <color rgb="FF980000"/>
        <rFont val="Times New Roman"/>
        <family val="1"/>
        <charset val="204"/>
      </rPr>
      <t xml:space="preserve">
</t>
    </r>
    <r>
      <rPr>
        <b/>
        <sz val="12"/>
        <color rgb="FF000000"/>
        <rFont val="Times New Roman"/>
        <family val="1"/>
        <charset val="204"/>
      </rPr>
      <t>Чепарнов Роман Юрьевич
Шведов Даниил Игоревич (11821)</t>
    </r>
  </si>
  <si>
    <t>Модернизация не требуется/normal (no need to upgrade) Заменён SSD 256 на 500ГБ + 4озу(12) 16.06.2026</t>
  </si>
  <si>
    <r>
      <rPr>
        <sz val="12"/>
        <color rgb="FF000000"/>
        <rFont val="Times New Roman"/>
        <family val="1"/>
        <charset val="204"/>
      </rPr>
      <t>Ospischev Roman</t>
    </r>
    <r>
      <rPr>
        <sz val="12"/>
        <color rgb="FF980000"/>
        <rFont val="Times New Roman"/>
        <family val="1"/>
        <charset val="204"/>
      </rPr>
      <t xml:space="preserve">
</t>
    </r>
    <r>
      <rPr>
        <sz val="12"/>
        <color rgb="FF000000"/>
        <rFont val="Times New Roman"/>
        <family val="1"/>
        <charset val="204"/>
      </rPr>
      <t>Cheparnov Roman
Shvedov Daniil</t>
    </r>
  </si>
  <si>
    <t>Мастер 2 категории
Мастер 1 категории
Начальник участка</t>
  </si>
  <si>
    <t>14000149/Z000042</t>
  </si>
  <si>
    <t>Владимирова Кристина Александровна</t>
  </si>
  <si>
    <t>Vladimirova Kristina</t>
  </si>
  <si>
    <t>PF12TV9F</t>
  </si>
  <si>
    <t>SoftMaker FreeOffice 2021</t>
  </si>
  <si>
    <t>100000004848</t>
  </si>
  <si>
    <t>Мартынов Д.
Протопопов А.
Мартынов Д.</t>
  </si>
  <si>
    <t>Акт от 30.03.2026
Акт 22.08.2026
Акт 27.08.2026</t>
  </si>
  <si>
    <t>UN31ZSI04F533022030700</t>
  </si>
  <si>
    <t>NF2QH-Q26XC-7MFCP-9RRGT-3V7J6</t>
  </si>
  <si>
    <t>Акт 19.11.2025</t>
  </si>
  <si>
    <t>Михеев Илья Валентинович</t>
  </si>
  <si>
    <t>Mikheev Ilya</t>
  </si>
  <si>
    <t>Ведущий специалист по массовому подбору персонала</t>
  </si>
  <si>
    <t>HRD, REC, BC REC</t>
  </si>
  <si>
    <t>14927/10321</t>
  </si>
  <si>
    <t>100000003383</t>
  </si>
  <si>
    <t>Михеева Екатерина Андреевна 14927
Наумова Анастасия Романовна 10321</t>
  </si>
  <si>
    <t>F2715NBP35080821821</t>
  </si>
  <si>
    <t>Mikheeva Ekaterina
Naumova Anastasia</t>
  </si>
  <si>
    <t>Офис-ассистент / Office assistant
Специалист TPS</t>
  </si>
  <si>
    <t>DFF74-JCNK4-997PP-K22KQ-Y4JJ6</t>
  </si>
  <si>
    <t>Installed Key:	VK7JG-NPHTM-C97JM-9MPGT-3V66T
OEM Key:	CBYTG-6FNDK-4R9B7-D7C8F-HQWXC</t>
  </si>
  <si>
    <t>Акт 28.019.2026</t>
  </si>
  <si>
    <t>PF1LY4VK</t>
  </si>
  <si>
    <t>BN9RG-MJB77-P96MY-BT6TG-HFR9C</t>
  </si>
  <si>
    <t>Акт 20.08.2026
Акт 16.09.2026</t>
  </si>
  <si>
    <t>Воронина Олеся Владимировна</t>
  </si>
  <si>
    <t>Voronina Olesya</t>
  </si>
  <si>
    <t>100000004353</t>
  </si>
  <si>
    <t>2408A22H124i5M2165R00474</t>
  </si>
  <si>
    <t>7NRB2-P743P-RC96Y-RRMCK-MG9TP</t>
  </si>
  <si>
    <t xml:space="preserve">16115
15744
</t>
  </si>
  <si>
    <t xml:space="preserve">Остапенко Юлия Викторовна 
Пфайфер Татьяна Львовна
</t>
  </si>
  <si>
    <t xml:space="preserve">Yulia Ostapenko
Tatiana Pfeiffer 
</t>
  </si>
  <si>
    <t>NOBO, NOBO DL</t>
  </si>
  <si>
    <t>100000006474</t>
  </si>
  <si>
    <t>DQBRRCD00255101AA96N02</t>
  </si>
  <si>
    <t>KNJX4-9KWX2-BDMP3-96B3G-P7KCT</t>
  </si>
  <si>
    <t>Мелёшкин С.
Протопопов А.</t>
  </si>
  <si>
    <t>Потапов Дмитрий Николаевич</t>
  </si>
  <si>
    <t>была модернизация/upgraded (SSD)
Установлен SSD kingston 240gb Взамен старому HDD, добавлена плашка ОЗУ на 8gb.</t>
  </si>
  <si>
    <t>Potapov Dmitriy</t>
  </si>
  <si>
    <t xml:space="preserve">Акт 01.06.2026 Остапенко Ю.
Акт 01.06.2026 Пфайфер Т.
</t>
  </si>
  <si>
    <t>00000015289</t>
  </si>
  <si>
    <t>LR0AVC2C</t>
  </si>
  <si>
    <t>CBX6N-DD222-CRBJC-RPCX7-XD722</t>
  </si>
  <si>
    <t>Акт 30.11.2024</t>
  </si>
  <si>
    <t>3942
6503</t>
  </si>
  <si>
    <t>HOME</t>
  </si>
  <si>
    <t>Горюнова Светлана Викторовна
Башурина Анастасия Алексеевна</t>
  </si>
  <si>
    <t>Goryunova Svetlana
Bashurina Anastasia</t>
  </si>
  <si>
    <t>Старший кладовщик
Кладовщик</t>
  </si>
  <si>
    <t>100000006690</t>
  </si>
  <si>
    <t>DQBRRCD00255101A6D6N02</t>
  </si>
  <si>
    <t>Шустова Ксения Игоревна</t>
  </si>
  <si>
    <t>Shustova Kseniya</t>
  </si>
  <si>
    <t>Акт 27.09.2024</t>
  </si>
  <si>
    <t>10000001768</t>
  </si>
  <si>
    <t>MP1TK2Z3</t>
  </si>
  <si>
    <t>X7HFK-8QNDW-7Y7FD-49KXR-3DB6G</t>
  </si>
  <si>
    <t>Акт 12.05.2025</t>
  </si>
  <si>
    <t>Акт 27.06.2026
Акт 01.07.2026 Башурина А</t>
  </si>
  <si>
    <t>Акт от 01.04.2026</t>
  </si>
  <si>
    <t>Либерман Александр Александрович</t>
  </si>
  <si>
    <t>Lieberman Alexander</t>
  </si>
  <si>
    <t>00000011061</t>
  </si>
  <si>
    <t>16140
3394</t>
  </si>
  <si>
    <t>Ельчина Елена Евгеньевна
Москвина Кристина Владимировна</t>
  </si>
  <si>
    <t>Elchina Elena
Moskvina Kristina</t>
  </si>
  <si>
    <t>Офис-ассистент
Оператор</t>
  </si>
  <si>
    <t>100000006688</t>
  </si>
  <si>
    <t>DQBRRCD00255000ECF6N02</t>
  </si>
  <si>
    <t>R90QN4VU</t>
  </si>
  <si>
    <t>YNX7Y-TVCR8-9WJQG-Y89F3-2WGPT</t>
  </si>
  <si>
    <t>Акт 02.06.2026
Акт 08.09.2026</t>
  </si>
  <si>
    <t xml:space="preserve">Клейменов Кирилл Игоревич </t>
  </si>
  <si>
    <r>
      <rPr>
        <sz val="10"/>
        <color rgb="FF000000"/>
        <rFont val="Times New Roman"/>
        <family val="1"/>
        <charset val="204"/>
      </rPr>
      <t xml:space="preserve">8379
</t>
    </r>
    <r>
      <rPr>
        <sz val="10"/>
        <color rgb="FF980000"/>
        <rFont val="Times New Roman"/>
        <family val="1"/>
        <charset val="204"/>
      </rPr>
      <t>1179</t>
    </r>
  </si>
  <si>
    <t>Kleymenov Kirill</t>
  </si>
  <si>
    <r>
      <rPr>
        <b/>
        <sz val="12"/>
        <color rgb="FF000000"/>
        <rFont val="Times New Roman"/>
        <family val="1"/>
        <charset val="204"/>
      </rPr>
      <t xml:space="preserve">Ерохина Анжела Юрьевна 8379
</t>
    </r>
    <r>
      <rPr>
        <b/>
        <sz val="12"/>
        <color rgb="FF980000"/>
        <rFont val="Times New Roman"/>
        <family val="1"/>
        <charset val="204"/>
      </rPr>
      <t>Острась Илья Владимирович 1179</t>
    </r>
  </si>
  <si>
    <t>AC, AC MS</t>
  </si>
  <si>
    <r>
      <rPr>
        <sz val="12"/>
        <color rgb="FF000000"/>
        <rFont val="Times New Roman"/>
        <family val="1"/>
        <charset val="204"/>
      </rPr>
      <t xml:space="preserve">Erokhina Angela
</t>
    </r>
    <r>
      <rPr>
        <sz val="12"/>
        <color rgb="FF980000"/>
        <rFont val="Times New Roman"/>
        <family val="1"/>
        <charset val="204"/>
      </rPr>
      <t>Ostras Ilya</t>
    </r>
  </si>
  <si>
    <t>100000005554</t>
  </si>
  <si>
    <t>F2715NBP35060820168</t>
  </si>
  <si>
    <t>RUTL-60820168</t>
  </si>
  <si>
    <t>Libre Office</t>
  </si>
  <si>
    <t>PW0LW3S2</t>
  </si>
  <si>
    <t>F9YNH-8YBQM-HCCDB-2BKQM-HT9TP</t>
  </si>
  <si>
    <t>Акт 08.04.2026 Ерохина А.
Акт 08.04.2026 Острась И.</t>
  </si>
  <si>
    <t>6NTX9-JMP4K-DVK2Y-QQ3JY-X4TPT</t>
  </si>
  <si>
    <t>Акт 30.03.2026</t>
  </si>
  <si>
    <t>Семёнов Александр Анатольевич</t>
  </si>
  <si>
    <t>Semenov Aleksander</t>
  </si>
  <si>
    <t>Руководитель группы технологии и качества</t>
  </si>
  <si>
    <t>100000003645</t>
  </si>
  <si>
    <t>F2715NBP35060820119</t>
  </si>
  <si>
    <t>Libre office / onlyoffice</t>
  </si>
  <si>
    <t>NTT2Q-FX8XW-WWB2K-THM72-DDBP2</t>
  </si>
  <si>
    <t>3955
1486</t>
  </si>
  <si>
    <t>Журавлев Антон Вячеславович
Свиридова Алёна Константиновна 1486</t>
  </si>
  <si>
    <t>была модернизация/upgraded (SSD 256 +ram)</t>
  </si>
  <si>
    <t>Zhuravlev Anton
Sviridova Alena</t>
  </si>
  <si>
    <t>Начальник участка
Мастер 1 категории</t>
  </si>
  <si>
    <t>00000011062</t>
  </si>
  <si>
    <t>Специалист по массовому подбору персонала</t>
  </si>
  <si>
    <t>Лазутин Егор</t>
  </si>
  <si>
    <t>Lazutin Egor</t>
  </si>
  <si>
    <t>Акт 31.01.2026</t>
  </si>
  <si>
    <t>100000005183</t>
  </si>
  <si>
    <t>R90QN4Y2</t>
  </si>
  <si>
    <t>Специалист по планированию производства</t>
  </si>
  <si>
    <t>C2507N0002530</t>
  </si>
  <si>
    <t>F8FMD-NCVXC-G24WV-DWJ63-GF4J2</t>
  </si>
  <si>
    <t>Акт 24.02.2026</t>
  </si>
  <si>
    <t>RRPT3-F3N4C-T9882-7YT6K-TF4C2</t>
  </si>
  <si>
    <t>Летунов А.
Кудрявцев Д.</t>
  </si>
  <si>
    <t>Акт 14.08.2025 Журавлев А.
Акт 05.12.2025 Свиридова А.</t>
  </si>
  <si>
    <t>Никулина Оксана Анатольевна</t>
  </si>
  <si>
    <t>была модернизация/upgraded (SSD 480 from RDC reserve)</t>
  </si>
  <si>
    <t>Nikulina Oksana</t>
  </si>
  <si>
    <t>Специалист по документообороту</t>
  </si>
  <si>
    <t>Laptop,mouse, keyboard</t>
  </si>
  <si>
    <t>140000158/Z000075</t>
  </si>
  <si>
    <t>S4FM3328</t>
  </si>
  <si>
    <t>Акт 17.07.2019</t>
  </si>
  <si>
    <t>Акт 02.12.2025</t>
  </si>
  <si>
    <t>687
1443</t>
  </si>
  <si>
    <t>Абдель Латиф Аль Раи Анвар Махмуд/Бочаров Владислав Евгеньевич</t>
  </si>
  <si>
    <t>Al Rai Abdel Latif/ Bocharov Vladislav</t>
  </si>
  <si>
    <t>00000016123</t>
  </si>
  <si>
    <t>LR0AVC0V</t>
  </si>
  <si>
    <t>Залюбовина Ирина Валерьевна</t>
  </si>
  <si>
    <t>Zalubovina Irina</t>
  </si>
  <si>
    <t>Летунов А.
Мартынов Д.</t>
  </si>
  <si>
    <t>Ведущий специалист по внешнеэкономической деятельности</t>
  </si>
  <si>
    <t>Акт 22.01.2025 Аль Раи А.
Акт  06.03.2026 Бочаров В.</t>
  </si>
  <si>
    <t>10000001731</t>
  </si>
  <si>
    <t>M3N0CV15E298118</t>
  </si>
  <si>
    <t>Акт 16.09.2021</t>
  </si>
  <si>
    <t>10588
4744</t>
  </si>
  <si>
    <t>Карпушкина Анжела Геннадьевна
Фалина Елена Владимировна</t>
  </si>
  <si>
    <t>Karpushkina Angela
Falina Elena</t>
  </si>
  <si>
    <t>Специалист по вводу данных
Специалист по вводу данных</t>
  </si>
  <si>
    <t>100000003598</t>
  </si>
  <si>
    <t>Теплухина Ольга Юрьевна</t>
  </si>
  <si>
    <t>Teplukhina Olga</t>
  </si>
  <si>
    <t>F2715NBP35060820709</t>
  </si>
  <si>
    <t>10000001732</t>
  </si>
  <si>
    <t>M3N0CV15E17711C</t>
  </si>
  <si>
    <t>Акт 05.12.2024 Карпушкина А
Акт  03.07.2025 Фалина Е.</t>
  </si>
  <si>
    <t>была модернизация/upgraded(SSD 256+ RAM+4)</t>
  </si>
  <si>
    <t>Шатова Елена Аркадиевна</t>
  </si>
  <si>
    <t>Shatova Elena</t>
  </si>
  <si>
    <t>10000001733</t>
  </si>
  <si>
    <t>15603
17713</t>
  </si>
  <si>
    <t xml:space="preserve">Денисенко Анастасия Васильевна 15603
Фирсова Алина Максимовна </t>
  </si>
  <si>
    <t>Акт 20.02.2026</t>
  </si>
  <si>
    <t>Denisenko Anastasia
Firsova Alina</t>
  </si>
  <si>
    <t>PLD, ED</t>
  </si>
  <si>
    <t>M3N0CV15E193110</t>
  </si>
  <si>
    <t>100000001688</t>
  </si>
  <si>
    <t>7K4HDF2</t>
  </si>
  <si>
    <t>Q6Q74-FGNWF-2BGQG-6TXCW-2GYMP</t>
  </si>
  <si>
    <t>Акт 13.08.2026
Акт 20.08.2026</t>
  </si>
  <si>
    <t>Богачева Татьяна Юрьевна</t>
  </si>
  <si>
    <t>Bogacheva Tatyana</t>
  </si>
  <si>
    <t>10000001734</t>
  </si>
  <si>
    <t>Libre office/Only Office</t>
  </si>
  <si>
    <t>M3N0CV15E17311B</t>
  </si>
  <si>
    <t>Акт 15.09.2021</t>
  </si>
  <si>
    <r>
      <rPr>
        <u/>
        <sz val="12"/>
        <color theme="1"/>
        <rFont val="Times New Roman"/>
        <family val="1"/>
        <charset val="204"/>
      </rPr>
      <t xml:space="preserve">17111
 </t>
    </r>
    <r>
      <rPr>
        <u/>
        <sz val="12"/>
        <color theme="1"/>
        <rFont val="Times New Roman"/>
        <family val="1"/>
        <charset val="204"/>
      </rPr>
      <t>17399</t>
    </r>
  </si>
  <si>
    <t>Куликов Андрей Юрьевич 17111 
Бровкин Евгений Валериевич 17399</t>
  </si>
  <si>
    <t>Kulikov Andrey
Brovkin Evgeny</t>
  </si>
  <si>
    <t>Соколовский Антон Вячеславович</t>
  </si>
  <si>
    <t>Sokolovsky Anton</t>
  </si>
  <si>
    <t>Инженер по электрике автомобиля 3 категории / Engineer electrical car 3 category</t>
  </si>
  <si>
    <t>100000006458</t>
  </si>
  <si>
    <t>100000004861</t>
  </si>
  <si>
    <t>UN31ZSI04F5330224E0700</t>
  </si>
  <si>
    <t>PW0K0DHP</t>
  </si>
  <si>
    <t>RGF3X-JGNF2-K3GJT-TKFTK-3RTPT</t>
  </si>
  <si>
    <t>Акт 11.12.2025</t>
  </si>
  <si>
    <t>79TGC-NQJ8Q-WHQRC-2732P-V8RTG</t>
  </si>
  <si>
    <t>Акт 21.08.2026</t>
  </si>
  <si>
    <t>Иванов Дмитрий Сергеевич</t>
  </si>
  <si>
    <t>Ivanov Dmitriy</t>
  </si>
  <si>
    <t>Сухачева Олеся Васильевна 11045
Учетка TOS.specialists акт На Крылова Е 2551.</t>
  </si>
  <si>
    <t>Начальник цеха</t>
  </si>
  <si>
    <t>100000005187</t>
  </si>
  <si>
    <t>Sukhacheva Olesya</t>
  </si>
  <si>
    <t>Cпециалист TOS / TOS specialist</t>
  </si>
  <si>
    <t>C2507N0002577</t>
  </si>
  <si>
    <t>100000004355</t>
  </si>
  <si>
    <t>3HNYM-BT6BK-X2Q89-K4MPD-C3722</t>
  </si>
  <si>
    <t>2408A22H124i5M2165R00107</t>
  </si>
  <si>
    <t>2JHJP-NW2QR-G728Y-CYFGC-2DKTP</t>
  </si>
  <si>
    <t>Акт 18.08.2026
АКТ 28.08.2026</t>
  </si>
  <si>
    <t>Васильцов Сергей Александрович</t>
  </si>
  <si>
    <t>Vasiltsov Sergey</t>
  </si>
  <si>
    <t>00000019366(10)</t>
  </si>
  <si>
    <t>R90T9484</t>
  </si>
  <si>
    <t>Гайдуков Сергей Эдуардович</t>
  </si>
  <si>
    <t>Gaidukov Sergey</t>
  </si>
  <si>
    <t>Мастер 3 категории</t>
  </si>
  <si>
    <t>TM,TM DL</t>
  </si>
  <si>
    <t>00000010775</t>
  </si>
  <si>
    <t>6428/10031</t>
  </si>
  <si>
    <t>Рогатина Елизавета Георгиевна/ Шестаков Игорь Витальевич</t>
  </si>
  <si>
    <t>была модернизация/upgraded(SSD 256 +RAM +8)</t>
  </si>
  <si>
    <t>Rohatina Elizaveta/Shestakov Igor</t>
  </si>
  <si>
    <t>Аудитор логистических процессов</t>
  </si>
  <si>
    <t>00000010776</t>
  </si>
  <si>
    <t>R90QFPYH</t>
  </si>
  <si>
    <t>T3QQN-263W4-YTYRY-HK8BG-MKMP2</t>
  </si>
  <si>
    <t>Radishevich Yuri</t>
  </si>
  <si>
    <t>R90QFPYJ</t>
  </si>
  <si>
    <t>QTXVN-JJXK6-PXBHH-FC38J-PKCKC</t>
  </si>
  <si>
    <t>Кот Андрей Сергеевич 1288</t>
  </si>
  <si>
    <t>Kot Andrey</t>
  </si>
  <si>
    <t>Акт 18.02.2027</t>
  </si>
  <si>
    <t>100000006967</t>
  </si>
  <si>
    <t>PW0K0DZQ</t>
  </si>
  <si>
    <t>VHQ9N-84QVD-P4HPR-TQ934-YTDW6</t>
  </si>
  <si>
    <t>Ненашев Иван Александрович</t>
  </si>
  <si>
    <r>
      <rPr>
        <sz val="12"/>
        <color rgb="FF006100"/>
        <rFont val="Times New Roman"/>
        <family val="1"/>
        <charset val="204"/>
      </rPr>
      <t>Модернизация не требуется/normal (no need to upgrade)</t>
    </r>
    <r>
      <rPr>
        <sz val="12"/>
        <color rgb="FFFF0000"/>
        <rFont val="Times New Roman"/>
        <family val="1"/>
        <charset val="204"/>
      </rPr>
      <t xml:space="preserve"> отказ от замены</t>
    </r>
  </si>
  <si>
    <t>Nenashev Ivan</t>
  </si>
  <si>
    <t>Экономист / Economist</t>
  </si>
  <si>
    <t>FD (OMD, COST)</t>
  </si>
  <si>
    <t>100000001664</t>
  </si>
  <si>
    <t>6802
13032
12801</t>
  </si>
  <si>
    <t>CH50JK3</t>
  </si>
  <si>
    <t>Максимова Оксана Витальевна 6802
Филатов Николай Григорьевич 13032
Булгаков Михаил Алексеевич 12801</t>
  </si>
  <si>
    <t>Офис-ассистент / Office assistant</t>
  </si>
  <si>
    <t>Maksimova Oksana
Filatov Nikolay
Bulgakov Mikhail</t>
  </si>
  <si>
    <t>100000003347</t>
  </si>
  <si>
    <t>NXEGYER00H320085683400</t>
  </si>
  <si>
    <t>TY4CG-JDJH7-VJ2WF-DY4X9-HCFC6</t>
  </si>
  <si>
    <t>Акт 11.06.2026</t>
  </si>
  <si>
    <t>Кочетова Мария Николаевн</t>
  </si>
  <si>
    <t>Kochetova Maria</t>
  </si>
  <si>
    <t>Наладчик технологического оборудования 3 категории</t>
  </si>
  <si>
    <t>Laptop Lenovo ideapad S145</t>
  </si>
  <si>
    <t>PF2ZRC0G</t>
  </si>
  <si>
    <t>Акт 18.02.2026 
Акт 26.08.2026
Акт 26.08.2026</t>
  </si>
  <si>
    <t>Installed Key:        NVB27-M3GYH-4JT4P-GMTMP-27JXG
OEM Key:        MJPCB-N4KMY-6R2XF-K822Y-43KRC</t>
  </si>
  <si>
    <t>Мещеряков Артем Евгеньевич</t>
  </si>
  <si>
    <t>Meshcheryakov Artem</t>
  </si>
  <si>
    <t>100000006680</t>
  </si>
  <si>
    <t>PW0K0E02</t>
  </si>
  <si>
    <t>JJRNR-H6CYQ-8W2JF-2MQQY-X4TPT</t>
  </si>
  <si>
    <t>Акт 16.06.2026</t>
  </si>
  <si>
    <t>5369
4738
17756</t>
  </si>
  <si>
    <t>Заверухина Елена Юрьевна 5369
Фрост Елена Владимировна 4738
Мордышова Надежда Сергеевна. 17756</t>
  </si>
  <si>
    <t>Zaverukhina Elena
Frost Elena
Mordyshova Nadezhda</t>
  </si>
  <si>
    <t>LENOVO V30a-22IML</t>
  </si>
  <si>
    <t>100000001323</t>
  </si>
  <si>
    <t>MP1Z7VHF</t>
  </si>
  <si>
    <t>Головков Сергей Владимирович</t>
  </si>
  <si>
    <t>Golovkov Sergey</t>
  </si>
  <si>
    <t>Инженер-механик (промоушен)</t>
  </si>
  <si>
    <t>Летунов А.
Протопопов А.
Климанов А.</t>
  </si>
  <si>
    <t>100000006516</t>
  </si>
  <si>
    <t>Акт 27.02.2026 Заверухина Е.
Акт 21.05.2026 Фрост Е.
11.08.2026 Мордышова Н.</t>
  </si>
  <si>
    <t>PW0K0DA2</t>
  </si>
  <si>
    <t>BN6MR-GJXDM-GVQ8W-WC2P9-T83W6</t>
  </si>
  <si>
    <t>Акт 08.06.2026</t>
  </si>
  <si>
    <t>15893
8978</t>
  </si>
  <si>
    <t>Кирьянова Ирина Дмитриевна
Гусева Маргарита</t>
  </si>
  <si>
    <t>была модернизация/upgraded (SSD)</t>
  </si>
  <si>
    <t>Kiryanova Irina
Guseva Margarita</t>
  </si>
  <si>
    <t>PMD, WS</t>
  </si>
  <si>
    <t>140000036/Z000130</t>
  </si>
  <si>
    <t>Литягова Людмила Николайевна</t>
  </si>
  <si>
    <t>Lityagova Lyudmila</t>
  </si>
  <si>
    <t>P901FSR7</t>
  </si>
  <si>
    <t>Laptop,mouse,bag ,Клавиатура, Monitor Xiaomi A24i SN 54383/250100058941</t>
  </si>
  <si>
    <t>100000004299</t>
  </si>
  <si>
    <t>F2717NBP4502103071</t>
  </si>
  <si>
    <t>XN84D-G94FD-MP8M9-9HWWC-TMT6P</t>
  </si>
  <si>
    <t>Акт 27.03.2025
Акт 28.08.2026 Акт на монитор</t>
  </si>
  <si>
    <t>K4XYM-FGNH6-H7YMT-72WF6-Y986C</t>
  </si>
  <si>
    <t>Акт 02.06.2026 Кирьянова И.</t>
  </si>
  <si>
    <t>Бочарова(Шипилова) Екатерина Евгеньевна</t>
  </si>
  <si>
    <t>была модернизация/upgraded(RAM+4) Стало 8gb (СТАЛО 12 оперы и SSD Samsung)</t>
  </si>
  <si>
    <t>Shipilova Ekaterina</t>
  </si>
  <si>
    <t>Специалист по технологической оценке производственного процесса</t>
  </si>
  <si>
    <t>00000011579</t>
  </si>
  <si>
    <t>LR08MD36</t>
  </si>
  <si>
    <t>KTQN4-9FGT2-RRWJ6-8PWRY-MY7H6</t>
  </si>
  <si>
    <t>XQ9FN-7PC9B-JM8VM-FV4D6-HFR9C</t>
  </si>
  <si>
    <t>Акт 31.08.2022</t>
  </si>
  <si>
    <t>Попова Ольга Викторовна</t>
  </si>
  <si>
    <t>Popova Olga</t>
  </si>
  <si>
    <t>Заместитель главного бухгалтера</t>
  </si>
  <si>
    <t>10241 / 8452 / 3641</t>
  </si>
  <si>
    <t>laptop,mouse,bag+monitor lenovo T 25D</t>
  </si>
  <si>
    <t>Потапова Надежда Николаевна
Шишиморова Елена Александровна</t>
  </si>
  <si>
    <t>100000005376</t>
  </si>
  <si>
    <t>C2507N0002624</t>
  </si>
  <si>
    <t>Potapova Nadezhda / Shishimorova Elena</t>
  </si>
  <si>
    <t>Специалисты по складскому учету и документообороту/warehouse specialists</t>
  </si>
  <si>
    <t>140000162/Z000080</t>
  </si>
  <si>
    <t>S4FM3311</t>
  </si>
  <si>
    <t>Свиридова Алёна Константиновна</t>
  </si>
  <si>
    <t>Sviridova Alena</t>
  </si>
  <si>
    <t>00000010777</t>
  </si>
  <si>
    <t>Installed Key: VK7JG-NPHTM-C97JM-9MPGT-3V66T 
OEM Key: 6NM94-Y34GJ-9RKDD-V7B4B-B4G6P</t>
  </si>
  <si>
    <t>R90QFPY6</t>
  </si>
  <si>
    <t>WTVYB-BCNVD-7YYJM-YW6X7-XD722</t>
  </si>
  <si>
    <t>Акт 22.04.2026</t>
  </si>
  <si>
    <t>акт 14.11.2024</t>
  </si>
  <si>
    <t>Першин Антон Петрович</t>
  </si>
  <si>
    <t>Pershin Anton</t>
  </si>
  <si>
    <t>00000016125</t>
  </si>
  <si>
    <t>LR0AVC2D</t>
  </si>
  <si>
    <t>Акт 13.12.2022</t>
  </si>
  <si>
    <t>11796
12819</t>
  </si>
  <si>
    <t>Лаврухина Татьяна Александровна</t>
  </si>
  <si>
    <t>Лыгина Наталья Олеговна
Проскоков Алексей Олегович</t>
  </si>
  <si>
    <t>Модернизация не требуется/normal (no need to upgrade)
Был заменён аккумулятор 03.03.2026 Мартыновым
Ethernet порт расшатан сильно, выдали адаптер USB - LAN
Тачпад не работает</t>
  </si>
  <si>
    <t>Lavrukhina Tatyana</t>
  </si>
  <si>
    <t>Специалист по факторингу</t>
  </si>
  <si>
    <t>Lygina Natalya
Proskokov Alexey</t>
  </si>
  <si>
    <t>Специалист по технической оценке производственных процессов</t>
  </si>
  <si>
    <t>100000001693</t>
  </si>
  <si>
    <t>Q&amp;T, PQM</t>
  </si>
  <si>
    <t>D45HDF2</t>
  </si>
  <si>
    <t>Laptop, mouse, USB-LAN Ugreen</t>
  </si>
  <si>
    <t>100000004250</t>
  </si>
  <si>
    <t>9NCXM-38H6R-777W8-R2KGQ-T6PH2</t>
  </si>
  <si>
    <t>Иванов К</t>
  </si>
  <si>
    <t>Акт 01.12.2022</t>
  </si>
  <si>
    <t>F2715NBP35060820006</t>
  </si>
  <si>
    <t>без НДС 
с НДС</t>
  </si>
  <si>
    <t>TNBVX-T7BTQ-63FBM-JWMW8-2GYP2</t>
  </si>
  <si>
    <t>Мартынов Д./ Летунов А./ Климанов А.</t>
  </si>
  <si>
    <t xml:space="preserve">Акт 26.09.2025 Проскоков А
Акт 11.03.2025 Лыгина Н. </t>
  </si>
  <si>
    <t>Григорьева Алена Олеговна</t>
  </si>
  <si>
    <t>Grigoreva Alena</t>
  </si>
  <si>
    <t>Специалист по COGI</t>
  </si>
  <si>
    <t>140000159/Z000077</t>
  </si>
  <si>
    <t>S4FM3296</t>
  </si>
  <si>
    <t>YD7NB-6RJMW-3QR3X-M9RCP-9QBP2</t>
  </si>
  <si>
    <t>Акт 26.03.2025</t>
  </si>
  <si>
    <r>
      <rPr>
        <u/>
        <sz val="10"/>
        <color rgb="FF000000"/>
        <rFont val="Times New Roman"/>
        <family val="1"/>
        <charset val="204"/>
      </rPr>
      <t xml:space="preserve">718
</t>
    </r>
    <r>
      <rPr>
        <sz val="10"/>
        <color rgb="FF000000"/>
        <rFont val="Times New Roman"/>
        <family val="1"/>
        <charset val="204"/>
      </rPr>
      <t>2848
2079</t>
    </r>
  </si>
  <si>
    <t xml:space="preserve">Земцова Анастасия Геннадьевна </t>
  </si>
  <si>
    <t>Zemtsova Anastasia</t>
  </si>
  <si>
    <t>100000004862</t>
  </si>
  <si>
    <t>UN31ZSI04F533024F50700</t>
  </si>
  <si>
    <t>BNDVW-G2TKM-9KHXX-686QH-CYVJ6</t>
  </si>
  <si>
    <t>Филина Светлана Владимировна 
Самбурова Елена
Якушева Олеся</t>
  </si>
  <si>
    <r>
      <rPr>
        <sz val="12"/>
        <color theme="1"/>
        <rFont val="Times New Roman"/>
        <family val="1"/>
        <charset val="204"/>
      </rPr>
      <t xml:space="preserve">Filina Svetlana </t>
    </r>
    <r>
      <rPr>
        <sz val="12"/>
        <color theme="1"/>
        <rFont val="Times New Roman"/>
        <family val="1"/>
        <charset val="204"/>
      </rPr>
      <t>/ Samburova Ekaterina / Yakusheva Olesya</t>
    </r>
  </si>
  <si>
    <t>Мастер 2 категории / Мастер 1 категории</t>
  </si>
  <si>
    <t>00000016129</t>
  </si>
  <si>
    <t>Трегубова Яна Юрьевна</t>
  </si>
  <si>
    <t>LR0AVC0E</t>
  </si>
  <si>
    <t>Tregubova Yana</t>
  </si>
  <si>
    <t>Ведущий бухгалтер 2 категории</t>
  </si>
  <si>
    <t>laptop,mouse,bag, monitor Xiaomi a24i</t>
  </si>
  <si>
    <t>100000005379</t>
  </si>
  <si>
    <t>C2507N0006463</t>
  </si>
  <si>
    <t>TG4FJ-M3N83-PPJP2-V8BM7-WK8XC</t>
  </si>
  <si>
    <t>6R2GN-MGRCY-FCF4K-4C9JY-FGDPP</t>
  </si>
  <si>
    <t>Акт 13.05.2025 Филина С.
Акт 16.09.2025 Якушева О.
Акт 16.09.2025 Самбурова Е.</t>
  </si>
  <si>
    <t>Акт 03.01.2026</t>
  </si>
  <si>
    <t>Черногорцев Роман Геннадьевич</t>
  </si>
  <si>
    <t>TM, TM MS</t>
  </si>
  <si>
    <t>100000006150</t>
  </si>
  <si>
    <t>PW0LW3SE</t>
  </si>
  <si>
    <t>R6GNM-BYKX9-BYK2Y-RQGF8-BWRTG</t>
  </si>
  <si>
    <t>718
2915
5696</t>
  </si>
  <si>
    <r>
      <rPr>
        <b/>
        <sz val="12"/>
        <color rgb="FFFF0000"/>
        <rFont val="Times New Roman"/>
        <family val="1"/>
        <charset val="204"/>
      </rPr>
      <t>Филина Светлана Владимировна (удалить)</t>
    </r>
    <r>
      <rPr>
        <b/>
        <sz val="12"/>
        <color rgb="FF000000"/>
        <rFont val="Times New Roman"/>
        <family val="1"/>
        <charset val="204"/>
      </rPr>
      <t xml:space="preserve">
Шайхизаманова(Салова) Анна Игоревна
Александрова Любовь</t>
    </r>
  </si>
  <si>
    <r>
      <rPr>
        <sz val="12"/>
        <color rgb="FFFF0000"/>
        <rFont val="Times New Roman"/>
        <family val="1"/>
        <charset val="204"/>
      </rPr>
      <t xml:space="preserve">Filina Svetlana </t>
    </r>
    <r>
      <rPr>
        <sz val="12"/>
        <color rgb="FF000000"/>
        <rFont val="Times New Roman"/>
        <family val="1"/>
        <charset val="204"/>
      </rPr>
      <t>/ Alexandrova Lyubov
Shaikhizamanova Anna</t>
    </r>
  </si>
  <si>
    <t>Мастера проверки качества (линии интерьера и экстерьера)/Masters of quality control (interior and exterior lines)</t>
  </si>
  <si>
    <t>100000002690</t>
  </si>
  <si>
    <t>Лейко Алексей Геннадьеви</t>
  </si>
  <si>
    <t>Вздулся аккумулятор, сплавился Type-C порт зарядки
Отправили на ремонт по гарантии (Регард) 14-11-2025
Вернулся с гарантийного ремонта 13_02_2026</t>
  </si>
  <si>
    <t>Leyko Alexey</t>
  </si>
  <si>
    <t>NOBO, NOBO MTC</t>
  </si>
  <si>
    <t>NXEGYER00H32008AB43400</t>
  </si>
  <si>
    <t>100000003602</t>
  </si>
  <si>
    <t>F2715NBP35060821165</t>
  </si>
  <si>
    <t>Летунов А. \ Климанов А.</t>
  </si>
  <si>
    <t>Акт 30.07.2024 Шайхизаманова(Салова) А.
Акт 06.11.2024</t>
  </si>
  <si>
    <t>Корень Александр Александрович</t>
  </si>
  <si>
    <t>Koren Aleksandr</t>
  </si>
  <si>
    <t>Laptop Lenovo ThinkPad EDGE L560</t>
  </si>
  <si>
    <t>140000041/Z000127</t>
  </si>
  <si>
    <t>MP144ZJW</t>
  </si>
  <si>
    <t>8NHVJ-GM3DJ-XD87K-VYQ39-M98XC</t>
  </si>
  <si>
    <t>Акт 28.10.2025</t>
  </si>
  <si>
    <t>1608
4756</t>
  </si>
  <si>
    <r>
      <rPr>
        <b/>
        <sz val="12"/>
        <color rgb="FF000000"/>
        <rFont val="Times New Roman"/>
        <family val="1"/>
        <charset val="204"/>
      </rPr>
      <t xml:space="preserve">Шумейко Андрей Витальевич (1608)
</t>
    </r>
    <r>
      <rPr>
        <b/>
        <sz val="12"/>
        <color rgb="FFD07F00"/>
        <rFont val="Times New Roman"/>
        <family val="1"/>
        <charset val="204"/>
      </rPr>
      <t xml:space="preserve">Линяев Иван Александрович (4756)
</t>
    </r>
  </si>
  <si>
    <t>Shumeiko Andrei
Linyaev Ivan</t>
  </si>
  <si>
    <t>Начальник участка / Контролер качества/Мастер 1 категории</t>
  </si>
  <si>
    <t>100000003375</t>
  </si>
  <si>
    <t>F2715NBP35080821781</t>
  </si>
  <si>
    <t>Климанов А.
Летунов А.</t>
  </si>
  <si>
    <t>Якушевская Юлия Владимировна</t>
  </si>
  <si>
    <t>Акт 09.08.2024 Шумейко А.
Акт 16.07.2025 Линяев И.</t>
  </si>
  <si>
    <t>Yakushevskaya Yuliya</t>
  </si>
  <si>
    <t>Специалист по работе с рекламациями 2 категории</t>
  </si>
  <si>
    <t>100000003342</t>
  </si>
  <si>
    <t>NXEGYER00H32008AD23400</t>
  </si>
  <si>
    <t>9GX6F-NQJ6B-WHBHH-K62JG-4M6PT</t>
  </si>
  <si>
    <r>
      <rPr>
        <sz val="10"/>
        <color rgb="FF000000"/>
        <rFont val="Times New Roman"/>
        <family val="1"/>
        <charset val="204"/>
      </rPr>
      <t xml:space="preserve">6388
</t>
    </r>
    <r>
      <rPr>
        <sz val="10"/>
        <color rgb="FF980000"/>
        <rFont val="Times New Roman"/>
        <family val="1"/>
        <charset val="204"/>
      </rPr>
      <t>5796</t>
    </r>
  </si>
  <si>
    <r>
      <rPr>
        <b/>
        <sz val="12"/>
        <color rgb="FF000000"/>
        <rFont val="Times New Roman"/>
        <family val="1"/>
        <charset val="204"/>
      </rPr>
      <t xml:space="preserve">Рожков Дмитрий Юрьевич (6388)
</t>
    </r>
    <r>
      <rPr>
        <b/>
        <sz val="12"/>
        <color rgb="FF980000"/>
        <rFont val="Times New Roman"/>
        <family val="1"/>
        <charset val="204"/>
      </rPr>
      <t>Тетерин Дмитрий Сергеевич (5796)</t>
    </r>
  </si>
  <si>
    <r>
      <rPr>
        <sz val="12"/>
        <color rgb="FF000000"/>
        <rFont val="Times New Roman"/>
        <family val="1"/>
        <charset val="204"/>
      </rPr>
      <t xml:space="preserve">Rozhkov Dmitry
</t>
    </r>
    <r>
      <rPr>
        <sz val="12"/>
        <color rgb="FF980000"/>
        <rFont val="Times New Roman"/>
        <family val="1"/>
        <charset val="204"/>
      </rPr>
      <t>Teterin Dmitry</t>
    </r>
  </si>
  <si>
    <r>
      <rPr>
        <sz val="12"/>
        <color rgb="FF006100"/>
        <rFont val="Times New Roman"/>
        <family val="1"/>
        <charset val="204"/>
      </rPr>
      <t xml:space="preserve">Начальник участка
</t>
    </r>
    <r>
      <rPr>
        <sz val="12"/>
        <color rgb="FF980000"/>
        <rFont val="Times New Roman"/>
        <family val="1"/>
        <charset val="204"/>
      </rPr>
      <t>Мастер 2 категории</t>
    </r>
  </si>
  <si>
    <t xml:space="preserve">Москаленко Ольга </t>
  </si>
  <si>
    <t>Moskalenko Olga</t>
  </si>
  <si>
    <t>Специалист смк</t>
  </si>
  <si>
    <t>100000003359</t>
  </si>
  <si>
    <t>100000003648</t>
  </si>
  <si>
    <t>NXEGYER00H320087623400</t>
  </si>
  <si>
    <t>MS Office 2021</t>
  </si>
  <si>
    <t>F2715NBP35060820469</t>
  </si>
  <si>
    <t>Летунов А.
Фоменков В.</t>
  </si>
  <si>
    <t>RUTL-60820469</t>
  </si>
  <si>
    <t>Акт 18.12.2025</t>
  </si>
  <si>
    <r>
      <rPr>
        <sz val="12"/>
        <color theme="1"/>
        <rFont val="Times New Roman"/>
        <family val="1"/>
        <charset val="204"/>
      </rPr>
      <t xml:space="preserve">Климанов А.
</t>
    </r>
    <r>
      <rPr>
        <sz val="12"/>
        <color rgb="FF980000"/>
        <rFont val="Times New Roman"/>
        <family val="1"/>
        <charset val="204"/>
      </rPr>
      <t>Кудрявцев Д.</t>
    </r>
  </si>
  <si>
    <r>
      <rPr>
        <sz val="12"/>
        <color theme="1"/>
        <rFont val="Times New Roman"/>
        <family val="1"/>
        <charset val="204"/>
      </rPr>
      <t xml:space="preserve">Акт 31.03.2026 Рожков Д.
</t>
    </r>
    <r>
      <rPr>
        <sz val="12"/>
        <color rgb="FF980000"/>
        <rFont val="Times New Roman"/>
        <family val="1"/>
        <charset val="204"/>
      </rPr>
      <t>Акт 24.04.2026 (Тетерин)</t>
    </r>
  </si>
  <si>
    <t>Мухаметзянов Марсель Сайфуллаевич</t>
  </si>
  <si>
    <t>Mukhametzyanov Marsel</t>
  </si>
  <si>
    <t>100000005196</t>
  </si>
  <si>
    <t>C2507N0002999</t>
  </si>
  <si>
    <t>Libre office\Only Office</t>
  </si>
  <si>
    <t>HF7D7-VNHRM-948QM-2VYYH-BDW6C</t>
  </si>
  <si>
    <t>Administrator</t>
  </si>
  <si>
    <t>Акт 21,02,2026</t>
  </si>
  <si>
    <t>Боловинцев Евгений Анатольевич  8479
Елисеев Иван Дмитриевич 9342</t>
  </si>
  <si>
    <t>Bolovintsev Evgeny
Eliseev Ivan</t>
  </si>
  <si>
    <t xml:space="preserve">Мастер </t>
  </si>
  <si>
    <t>100000006429</t>
  </si>
  <si>
    <t>PW0K0DX8</t>
  </si>
  <si>
    <t>Сохацкая Мария Владимировна</t>
  </si>
  <si>
    <t>Sokhatskaya Mariya</t>
  </si>
  <si>
    <t>100000004361</t>
  </si>
  <si>
    <t>2408A22H124I5M2165R00125</t>
  </si>
  <si>
    <t>RQJ9T-CNQBY-TVXTD-CQCVY-43K86</t>
  </si>
  <si>
    <t>Акт 17.08.2026 Боловинцев Е.
Акт 17.08.2026 Елисеев И.</t>
  </si>
  <si>
    <t>libtre office,OnlyOffice</t>
  </si>
  <si>
    <t>BWGN7-QQQPD-WWDWG-C2DQ8-CPQGP</t>
  </si>
  <si>
    <t>8314
5095</t>
  </si>
  <si>
    <t>Геворкян Максим 8314
Корченкова Вера 5095</t>
  </si>
  <si>
    <t>Gevorkyan Maxim \Korchenkova Vera</t>
  </si>
  <si>
    <t>Верняева (Шишиморова) Александра Александровна</t>
  </si>
  <si>
    <t>Мастер 2 категории\Контролер качества</t>
  </si>
  <si>
    <t>Laptop,mouse+ USB OTG Adapter</t>
  </si>
  <si>
    <t>100000006431</t>
  </si>
  <si>
    <t>Shishimorova Alexandra</t>
  </si>
  <si>
    <t>HRD, C&amp;B</t>
  </si>
  <si>
    <t>PW0K0DXV</t>
  </si>
  <si>
    <t>AiO, mouse, (keyboard- сдана, работает на своей)</t>
  </si>
  <si>
    <t>100000007005</t>
  </si>
  <si>
    <t>DQBR8CD00255101D136N02</t>
  </si>
  <si>
    <t>J46PR-HNYQF-MHT6H-JRCF3-G83W6</t>
  </si>
  <si>
    <t>Акт 10.04.2026 Геворкян М.
Акт 15.04.2026  Корченкова В.</t>
  </si>
  <si>
    <t>Акт 04.08.2026</t>
  </si>
  <si>
    <t>4086
0341</t>
  </si>
  <si>
    <t>Лаврищева Оксана Сергеевна
Солопов Сергей Александрович</t>
  </si>
  <si>
    <t>Lavrisheva Oksana/ Solopov Sergey</t>
  </si>
  <si>
    <t>Техник по деталям интерьера и экстерьера/Interior and exterior detail Technician</t>
  </si>
  <si>
    <t>Workstation+monitor lenovo T24I</t>
  </si>
  <si>
    <t>140000192</t>
  </si>
  <si>
    <t>S4HN3484</t>
  </si>
  <si>
    <t>Акт 27.06.2023Лаврищева О
Акт 15.05.2024 Солопов С.</t>
  </si>
  <si>
    <t>Антонец Светлана Алексеевна</t>
  </si>
  <si>
    <t>Antonets Svetlana</t>
  </si>
  <si>
    <t>Ведущий специалист по затратам</t>
  </si>
  <si>
    <t>00000011053</t>
  </si>
  <si>
    <t>1207
18225</t>
  </si>
  <si>
    <r>
      <rPr>
        <b/>
        <sz val="12"/>
        <color theme="1"/>
        <rFont val="Times New Roman"/>
        <family val="1"/>
        <charset val="204"/>
      </rPr>
      <t xml:space="preserve">Горбунов Дмитрий 1207
</t>
    </r>
    <r>
      <rPr>
        <b/>
        <sz val="12"/>
        <color theme="1"/>
        <rFont val="Times New Roman"/>
        <family val="1"/>
        <charset val="204"/>
      </rPr>
      <t>Сенченков Александр Анатольевич 18225</t>
    </r>
  </si>
  <si>
    <t>Gorbunov Dmitriy
Senchenkov Aleksandr</t>
  </si>
  <si>
    <t>TM , TM AS</t>
  </si>
  <si>
    <t>100000006117</t>
  </si>
  <si>
    <t>PW0LW3RM</t>
  </si>
  <si>
    <t>R90QN4W9</t>
  </si>
  <si>
    <t>DFKVN-R9266-JVYDM-3GQ9B-F9CKC</t>
  </si>
  <si>
    <t>Акт 11.03.2020</t>
  </si>
  <si>
    <t>NM2QM-GCGBX-TY8KT-47JMK-XKX86</t>
  </si>
  <si>
    <t>Акт 03.04.2026
Акт 28.08.2026</t>
  </si>
  <si>
    <t>Косарева Ольга</t>
  </si>
  <si>
    <t>kosareva olga</t>
  </si>
  <si>
    <t>Контролер качества</t>
  </si>
  <si>
    <t>140000020/Z000144</t>
  </si>
  <si>
    <t>18527
18311</t>
  </si>
  <si>
    <t>Сурков Роман Олегович 18527
Кузнецов Александр Андреевич 18311</t>
  </si>
  <si>
    <t>BQJPG22</t>
  </si>
  <si>
    <t>Surkov Roman
Kuznetsov Aleksandr</t>
  </si>
  <si>
    <t>TM ,TM MTC</t>
  </si>
  <si>
    <t>HYM98-FBN8X-VMH8P-VK63P-4RFYC</t>
  </si>
  <si>
    <t>100000006977</t>
  </si>
  <si>
    <t>Акт 09.01.2024</t>
  </si>
  <si>
    <t>PW0K0DKC</t>
  </si>
  <si>
    <t>BCJRJ-JNC62-VM4PB-C7RBH-8HWGG</t>
  </si>
  <si>
    <t>Laptop Lenovo V310</t>
  </si>
  <si>
    <t>Акт 07.09.2026</t>
  </si>
  <si>
    <t>Матюшин Михаил Александрович</t>
  </si>
  <si>
    <t>Matyushin Mikhail</t>
  </si>
  <si>
    <t>Lenovo THINKPAD L450</t>
  </si>
  <si>
    <t>100000006136</t>
  </si>
  <si>
    <t>PW0LW3V8</t>
  </si>
  <si>
    <t>7NT87-K8P6P-VM84Y-PGGKR-7H7J6</t>
  </si>
  <si>
    <t>15399
17046
16795
16031
4370</t>
  </si>
  <si>
    <t>Медведев Сергей Алексеевич
Сидорков Александр Сергеевич
Фроликов Максим Викторович
Кашенцев Андрей Васильевич
Швендих Роман Александрович</t>
  </si>
  <si>
    <t>Medvedev Sergey
Schwendikh Roman
Kashentsev Andrey
Frolikov Maxim
Sidorkov Alexander</t>
  </si>
  <si>
    <t>Мастер 1 категории
Мастер 2 категории
Мастер 1 категории
Мастер 1 категории
Мастер 1 категории</t>
  </si>
  <si>
    <t>TM, TM AS</t>
  </si>
  <si>
    <t>100000006700</t>
  </si>
  <si>
    <t>PW0K0DQF</t>
  </si>
  <si>
    <t>Колесенкова Кристина Дмитриевна</t>
  </si>
  <si>
    <t>NHVJG-QRQBB-3CPMP-T88CM-PR4TG</t>
  </si>
  <si>
    <t>Kolesenkova Kristina</t>
  </si>
  <si>
    <t>Специалист по номенклатуре автокомпонентов</t>
  </si>
  <si>
    <t>Мелёшкин С.
Протопопов А.
Протопопов А.
Протопопов А.
Протопопов А.</t>
  </si>
  <si>
    <t>140000151/Z000067</t>
  </si>
  <si>
    <t>S4FM3335</t>
  </si>
  <si>
    <t>Акт 24.06.2026
Акт 29.06.2026
Акт 29.06.2026
Акт 29.06.2026
Акт 29.06.2026</t>
  </si>
  <si>
    <t>HG6NV-9HKD4-4MG3F-KRYMG-HFR9C</t>
  </si>
  <si>
    <t>Акт 12.05.2021 . 15.01.2024
???</t>
  </si>
  <si>
    <t>16438
17786</t>
  </si>
  <si>
    <t>Елкина-Шнэ Татьяна Леонидовна</t>
  </si>
  <si>
    <t>Аксенов Дмитрий Андреевич 16438
Западаев Дмитрий Игоревич</t>
  </si>
  <si>
    <t>elkina-shne tatyana</t>
  </si>
  <si>
    <t xml:space="preserve">Laptop,mouse,bag,monitor Xiaomi a24i </t>
  </si>
  <si>
    <t>Aksenov Dmitry
Zapadaev Dmitry</t>
  </si>
  <si>
    <t>100000006456</t>
  </si>
  <si>
    <t>100000005383</t>
  </si>
  <si>
    <t>C2507N0002814</t>
  </si>
  <si>
    <t>PW0K0DSS</t>
  </si>
  <si>
    <t>8CTN8-GK2FW-T978D-Q99DG-8TY6G</t>
  </si>
  <si>
    <t>BHRPV-N8RFC-MW9PH-MMF2T-MKMW2</t>
  </si>
  <si>
    <t>Акт 22.05.2026
Акт 11.08.2026</t>
  </si>
  <si>
    <t>Пьянов Алексей Алексеевич</t>
  </si>
  <si>
    <t>Требуется модернизация! стоит устаревший HDD, скорость работы ПК неприемлема.</t>
  </si>
  <si>
    <t>Pyanov Alexey</t>
  </si>
  <si>
    <t>WorkStation+monitor lenovo T24I,mouse,keyboard</t>
  </si>
  <si>
    <t>140000241</t>
  </si>
  <si>
    <t>PC10AS94</t>
  </si>
  <si>
    <t>15887
17786</t>
  </si>
  <si>
    <t>BNMKM-9DY3F-JY7MD-3YY3D-KKXTP</t>
  </si>
  <si>
    <t>Игонин Василий Викторович 15887
Панасов Артем Романович. 17929</t>
  </si>
  <si>
    <t>Igonin Vasily
Panasov Artem.</t>
  </si>
  <si>
    <t>100000006460</t>
  </si>
  <si>
    <t>Акт 23.12.2023</t>
  </si>
  <si>
    <t>PW0K0DGG</t>
  </si>
  <si>
    <t>DGPNK-FMKQC-PV8GY-4J9QF-HQXCT</t>
  </si>
  <si>
    <t>Акт 29.04.2026
11.08.2026</t>
  </si>
  <si>
    <t>Виноградова Татьяна Николаевна</t>
  </si>
  <si>
    <t>17385
17711</t>
  </si>
  <si>
    <t>Vinogradova Tatyana</t>
  </si>
  <si>
    <t xml:space="preserve">Аничкин Степан Владимирович  17385
Ленчик Иван Владимирович 17711 </t>
  </si>
  <si>
    <t>Anichkin Stepan
Lenchik Ivan</t>
  </si>
  <si>
    <t>Инженер по производственному оборудованию
Инженер-механик 1 категории</t>
  </si>
  <si>
    <t>YL00STZP</t>
  </si>
  <si>
    <t>100000006677</t>
  </si>
  <si>
    <t>9N3W4-HFFD9-7FMWC-QCD4H-KHJXC</t>
  </si>
  <si>
    <t>Акт 11.11.2023</t>
  </si>
  <si>
    <t>PW0K0DYM</t>
  </si>
  <si>
    <t>2NPTM-2GDJM-HV9T6-9W3YP-W2QW6</t>
  </si>
  <si>
    <t>Протопопов А.
Кудрявцев Д.</t>
  </si>
  <si>
    <t>Акт 16.07.2026 на Аничкин С.
Акт 05.08.2026 на Ленчик И.</t>
  </si>
  <si>
    <t>Шарапов Иван Вячеславович</t>
  </si>
  <si>
    <t>Sharapov Ivan</t>
  </si>
  <si>
    <t>Laptop,mouse+Lan-USB+ Monitor Xiaomi Mi 1C 23,8" (S/N: 50162/113D00066757)</t>
  </si>
  <si>
    <t>10000001735</t>
  </si>
  <si>
    <t>M3N0CV15E19611D</t>
  </si>
  <si>
    <t>Акт 03.09.2021. Монитор Акт 19.12.2024</t>
  </si>
  <si>
    <t>15179
16639</t>
  </si>
  <si>
    <t xml:space="preserve">Нестерова Екатерина Анатольевна 15179
Шахтарова Снежана Вячеславовна </t>
  </si>
  <si>
    <t>Nesterova Ekaterina
Shakhtarova Snezhana</t>
  </si>
  <si>
    <t>Контролер качества
Контролер качества</t>
  </si>
  <si>
    <t>100000006443</t>
  </si>
  <si>
    <t>DQBRRCD00255101A876N02</t>
  </si>
  <si>
    <t>WRBNM-82FRK-VDFJQ-X2P4M-K77J6</t>
  </si>
  <si>
    <t>Никифорова Олеся Юрьевна</t>
  </si>
  <si>
    <t>Акт 23.05.2026
Акт 10.08.2026</t>
  </si>
  <si>
    <t>Nikiforova Olesya</t>
  </si>
  <si>
    <t>Старший диспетчер производства</t>
  </si>
  <si>
    <t>00000011060</t>
  </si>
  <si>
    <t>R90QN4XF</t>
  </si>
  <si>
    <t>TNVH9-WHQH2-Q7XV6-CMBPX-XKXTP</t>
  </si>
  <si>
    <t>Акт 27.05.2020</t>
  </si>
  <si>
    <t>2414
3636
1069
1202
1164
2674</t>
  </si>
  <si>
    <r>
      <rPr>
        <b/>
        <sz val="12"/>
        <color rgb="FF000000"/>
        <rFont val="Times New Roman"/>
        <family val="1"/>
        <charset val="204"/>
      </rPr>
      <t>Сурков Евгений
Долгорученко Виталий
Семёнов Павел
Адамович Сергей
Радюкин Александр Игоревич 1164</t>
    </r>
    <r>
      <rPr>
        <b/>
        <sz val="12"/>
        <color rgb="FFFF9900"/>
        <rFont val="Times New Roman"/>
        <family val="1"/>
        <charset val="204"/>
      </rPr>
      <t xml:space="preserve">
</t>
    </r>
    <r>
      <rPr>
        <b/>
        <sz val="12"/>
        <color rgb="FF000000"/>
        <rFont val="Times New Roman"/>
        <family val="1"/>
        <charset val="204"/>
      </rPr>
      <t>Дорошин Ярослав Алексеевич 2674</t>
    </r>
  </si>
  <si>
    <t>Surkov Evgeniy
Semenov Pavel
Adamovich Sergey
Radiukin Alexander
Doroshin Yaroslav</t>
  </si>
  <si>
    <t>Мастер/ Оператор
Начальник смены
Начальник участка</t>
  </si>
  <si>
    <t>00000011076</t>
  </si>
  <si>
    <t>Воронина Ангелина Алексеевна</t>
  </si>
  <si>
    <t>Voronina Angelina</t>
  </si>
  <si>
    <t>Ведущий специалист по складскому учету и документообороту</t>
  </si>
  <si>
    <t>Laptop Asus VivoBook X1704ZA</t>
  </si>
  <si>
    <t>100000002704</t>
  </si>
  <si>
    <t>RAN0CV09X32842C</t>
  </si>
  <si>
    <t>R90QN4VM</t>
  </si>
  <si>
    <t>Акт от 25.12.2024</t>
  </si>
  <si>
    <t>Мартынов Д. 
Климанов А.
Протопопов А.</t>
  </si>
  <si>
    <t>Акт 14.05.2025 Сурков Е.
Акт 14.05.2025 Долгорученко В.
Акт 14.05.2025 Семёнов П.
Акт 14.05.2025 Адамович С.
Акт 17.09.2026 Радюкин
Акт 17.09.2026 Дорошин</t>
  </si>
  <si>
    <t>Попкова Дарья Александровна</t>
  </si>
  <si>
    <t>Модернизация не требуется</t>
  </si>
  <si>
    <t>Popkova Daria</t>
  </si>
  <si>
    <t>Workstation Lenovo V530s+ отдельно монитор Т24м</t>
  </si>
  <si>
    <t>00000022142</t>
  </si>
  <si>
    <t>YL002URZ</t>
  </si>
  <si>
    <t>7859
1972
2358
12920
15083</t>
  </si>
  <si>
    <t>Акт 13.02.2025</t>
  </si>
  <si>
    <t>Вухрер Юлия Викторовна
Наумкина Светлана Михайлова
Жичкин Дмитрий Владимирович
Евлампиева Екатерина Павловна 12920
Боркунова Мария Сергеевна 15083</t>
  </si>
  <si>
    <t>Vukhrer Yulia
Naumkina Svetlana
Zhichkin Dmitry
Evlampieva Ekaterina
Borkunova Maria</t>
  </si>
  <si>
    <t>Специалист по качеству / Мастер 1 категории / Мастер 2 категории
Контролер качества</t>
  </si>
  <si>
    <t>00000014313</t>
  </si>
  <si>
    <t>LR0AVC2E</t>
  </si>
  <si>
    <t>NTKPR-KTGG7-H9RXJ-RTQ7W-CPQGP</t>
  </si>
  <si>
    <t>Кудрявцев Д. / Летунов А. / Протопопов А.
Климанов А.</t>
  </si>
  <si>
    <t>Акт 18.09.2025 Наумкина С
Акт 18.09.2025 Жичкин Д.
Акт 29.05.2026 Вухрер Ю.
14.09.2026 Евлампиева Е
14.09.2026 Боркунова М</t>
  </si>
  <si>
    <t>Финашкин Виталий Геннадьевич</t>
  </si>
  <si>
    <t>Finaskin Vitaliy</t>
  </si>
  <si>
    <t>2269 
15840</t>
  </si>
  <si>
    <t>00000019366(4)</t>
  </si>
  <si>
    <t>Шестакова Алина Андреевна 2269 
Косинова Олеся Александровна 15840</t>
  </si>
  <si>
    <t>Shestakova Alina/Kosinova Olesya</t>
  </si>
  <si>
    <t>R90T947K</t>
  </si>
  <si>
    <t xml:space="preserve">AC, AC QMS </t>
  </si>
  <si>
    <t>2P8GN-2VP93-3RGWW-FRF2K-RM49C</t>
  </si>
  <si>
    <t>100000006538</t>
  </si>
  <si>
    <t>Акт 10.02.2023</t>
  </si>
  <si>
    <t>PW0K0DEB</t>
  </si>
  <si>
    <t>NCPMH-CPFGX-Q368H-W9TYM-B4HJ6</t>
  </si>
  <si>
    <t>Акт 15.05.2026
Акт 29.09.2026</t>
  </si>
  <si>
    <t>Тарасов Андрей Викторович</t>
  </si>
  <si>
    <t>Tarasov Andrey</t>
  </si>
  <si>
    <t>Ведущий аудитор системы менеджмента качества</t>
  </si>
  <si>
    <t>10000001794</t>
  </si>
  <si>
    <t>PF1SLAD3</t>
  </si>
  <si>
    <t>Акт 14.01.2021</t>
  </si>
  <si>
    <t>Зубкова Ксения Олеговна</t>
  </si>
  <si>
    <t>Zubkova Kseniya</t>
  </si>
  <si>
    <t>Специалист по вводу данных</t>
  </si>
  <si>
    <t>00000019366(15)</t>
  </si>
  <si>
    <t>R90SRSGK</t>
  </si>
  <si>
    <t>2DDXQ-N74VQ-YVGC6-J9HK9-2YWFG</t>
  </si>
  <si>
    <t>3TG9W-YNT4G-T72XR-DQHKY-R6YP2</t>
  </si>
  <si>
    <t>Бармин Дмитрий Юрьевич</t>
  </si>
  <si>
    <t>0000011588</t>
  </si>
  <si>
    <t>LR08MD87</t>
  </si>
  <si>
    <t>Акт 06.06.2025</t>
  </si>
  <si>
    <t>Михальченкова Елена Сергеевна</t>
  </si>
  <si>
    <t>модернизация пришел диск и оперативная память+4</t>
  </si>
  <si>
    <t>Mikhalchenkova Elena</t>
  </si>
  <si>
    <t>00000016131</t>
  </si>
  <si>
    <t>LR0AVC2N</t>
  </si>
  <si>
    <t>Васильченко Игорь Михайлович</t>
  </si>
  <si>
    <t>Vasilchenko Igor</t>
  </si>
  <si>
    <t>100000001607</t>
  </si>
  <si>
    <t>CND12505L3</t>
  </si>
  <si>
    <t>Акт 08.05.2025</t>
  </si>
  <si>
    <t>Муллоева Анастасия Алексеевна</t>
  </si>
  <si>
    <t>Mulloeva Anastasia</t>
  </si>
  <si>
    <t>100000003336</t>
  </si>
  <si>
    <t>NXEGYER00H320089263400</t>
  </si>
  <si>
    <t>2P9NF-YQJKV-CH6KD-HTXVC-J44C2</t>
  </si>
  <si>
    <t>Акт 05.07.2024</t>
  </si>
  <si>
    <t>Детинов Александр Дмитриевич</t>
  </si>
  <si>
    <t>Detinov Aleksandr</t>
  </si>
  <si>
    <t>100000004849</t>
  </si>
  <si>
    <t>UN31ZSI04F5330239D0700</t>
  </si>
  <si>
    <t>H37BT-BNKCP-XBGBX-3BYY4-3DB6G</t>
  </si>
  <si>
    <t>Амоян Муса Сурикович</t>
  </si>
  <si>
    <t>Модернизация не требуется/normal (no need to upgrade) 12гб. ОЗУ</t>
  </si>
  <si>
    <t>Amoyan Musa</t>
  </si>
  <si>
    <t>Техник по метрологии</t>
  </si>
  <si>
    <t>100000001652</t>
  </si>
  <si>
    <t>PF2TLQB1</t>
  </si>
  <si>
    <t>Крючков Никита Александрович</t>
  </si>
  <si>
    <t>Kruchkov Nikita</t>
  </si>
  <si>
    <t>Ведущий инженер по внедрению информационных систем</t>
  </si>
  <si>
    <t>RDC, ISSS, SAPSG</t>
  </si>
  <si>
    <t>100000005175</t>
  </si>
  <si>
    <t>C2507N0002873</t>
  </si>
  <si>
    <t>По-свински</t>
  </si>
  <si>
    <t>Фоменков В.А.</t>
  </si>
  <si>
    <t>Без НДС 59160 руб</t>
  </si>
  <si>
    <t>Чернышов Данила Валентинович</t>
  </si>
  <si>
    <t>Chernyshov Danila</t>
  </si>
  <si>
    <t>Инженер-электроник 4 категории</t>
  </si>
  <si>
    <t>F2717NBP4502103085</t>
  </si>
  <si>
    <t>Акт 27.10.2025</t>
  </si>
  <si>
    <t>Ершов Андрей Викторович 2168</t>
  </si>
  <si>
    <t>Andrey Ershov</t>
  </si>
  <si>
    <t>Инженер</t>
  </si>
  <si>
    <t>WorkStation,monitor(Lenovo T2324dC),mouse,keyboard</t>
  </si>
  <si>
    <t>Рабочая станция Lenovo ThinkStation P310+монитор</t>
  </si>
  <si>
    <t>140000420</t>
  </si>
  <si>
    <t>S4BP0263</t>
  </si>
  <si>
    <t>PWNVR-RX8HV-G4WP3-MT8B9-6CQGP</t>
  </si>
  <si>
    <t>Акт 14.08.2025</t>
  </si>
  <si>
    <t>Бондарев Сергей Викторович</t>
  </si>
  <si>
    <t>Bondarev Sergey</t>
  </si>
  <si>
    <t>100000003337</t>
  </si>
  <si>
    <t>NXEGYER00H320085AC3400</t>
  </si>
  <si>
    <t>Акт 05.06.2024</t>
  </si>
  <si>
    <t>Ананьева Наталья Ивановна</t>
  </si>
  <si>
    <t>Ananyeva Natalia</t>
  </si>
  <si>
    <t>Laptop Lenovo V15 G4</t>
  </si>
  <si>
    <t>100000002705</t>
  </si>
  <si>
    <t>PF4EL58S</t>
  </si>
  <si>
    <t>NKXWC-T73CF-8433K-JG8K4-X2FC2</t>
  </si>
  <si>
    <t>иванов к</t>
  </si>
  <si>
    <t>Акт 23.04.2024</t>
  </si>
  <si>
    <t>БЕЗ НДС  47850,00</t>
  </si>
  <si>
    <t>Терещенко Владислав Валерьевич</t>
  </si>
  <si>
    <r>
      <rPr>
        <sz val="14"/>
        <color rgb="FF006100"/>
        <rFont val="Times New Roman"/>
        <family val="1"/>
        <charset val="204"/>
      </rPr>
      <t xml:space="preserve">была модернизация/upgraded ( 480 SSD)+ram </t>
    </r>
    <r>
      <rPr>
        <sz val="14"/>
        <color rgb="FFFF0000"/>
        <rFont val="Times New Roman"/>
        <family val="1"/>
        <charset val="204"/>
      </rPr>
      <t>отказ от замены</t>
    </r>
  </si>
  <si>
    <t>Tereshenko Vladislav</t>
  </si>
  <si>
    <t>140000140/Z000064</t>
  </si>
  <si>
    <t>S4FM3313</t>
  </si>
  <si>
    <t>222J8-9DN6W-CD7VD-C473D-KKXTP</t>
  </si>
  <si>
    <t>Акт 31.03.2023</t>
  </si>
  <si>
    <t>Боенкова Юлия Дмитриевна</t>
  </si>
  <si>
    <t>Boenkova Yuliya</t>
  </si>
  <si>
    <t>10000001769</t>
  </si>
  <si>
    <t>MP1TK50J</t>
  </si>
  <si>
    <t>46BRT-MN243-G6GPC-FQ8VD-63BP2</t>
  </si>
  <si>
    <t>Акт 28.05.2025</t>
  </si>
  <si>
    <t>Фоменков Владимир Александрович</t>
  </si>
  <si>
    <t>Модернизация не требуется/normal (no need to upgrade)
БЫЛ ACER, ЗАМЕНЁН НА MSI!</t>
  </si>
  <si>
    <t>Fomenkov Vladimir</t>
  </si>
  <si>
    <t>Laptop,mouse, keyboard, LAN-USB-C+monitor T24I</t>
  </si>
  <si>
    <t>Laptop MSI Modern 15 F13MG</t>
  </si>
  <si>
    <t>100000004480</t>
  </si>
  <si>
    <t>C2410N0009256</t>
  </si>
  <si>
    <t>MS Office Professional Plus 2019</t>
  </si>
  <si>
    <t>YMNRJ-BFXRM-V2CXQ-PD6WX-2YVJ6</t>
  </si>
  <si>
    <t>Акт 17.06.2025</t>
  </si>
  <si>
    <t>Стрельникова Наталья Анатольевна</t>
  </si>
  <si>
    <t>Strelnikova Nataliya</t>
  </si>
  <si>
    <t>HRD, DP, PAY</t>
  </si>
  <si>
    <t>100000004634</t>
  </si>
  <si>
    <t>2408A22H124i5M2165R00481</t>
  </si>
  <si>
    <t>Пришёл с ремонта 19.09.2025</t>
  </si>
  <si>
    <t>Толстопятов Александр Вячеславович</t>
  </si>
  <si>
    <t>Tolstopyatov Aleksandr</t>
  </si>
  <si>
    <t>140000169/Z000119</t>
  </si>
  <si>
    <t>S4FM3300</t>
  </si>
  <si>
    <t>TNY93-TCKW6-24D3K-F2QMK-XKXTP</t>
  </si>
  <si>
    <t>Акт от 27.11.2024</t>
  </si>
  <si>
    <t>Баринова Светлана Владимировна</t>
  </si>
  <si>
    <t>Barinova Svetlana</t>
  </si>
  <si>
    <t>Руководитель юридической группы</t>
  </si>
  <si>
    <t>GD, LEG, LG</t>
  </si>
  <si>
    <t>laptop,bag</t>
  </si>
  <si>
    <t>10000001783</t>
  </si>
  <si>
    <t>PF24A9K8</t>
  </si>
  <si>
    <t>Акт 15.12.2025</t>
  </si>
  <si>
    <t>Зубов Михаил Владимирович</t>
  </si>
  <si>
    <t>Zubov Mikhail</t>
  </si>
  <si>
    <t>100000001666</t>
  </si>
  <si>
    <t>9C50JK3</t>
  </si>
  <si>
    <t>Акт от 15.08.2024</t>
  </si>
  <si>
    <t>Крылова Екатерина Александровна</t>
  </si>
  <si>
    <t>Krylova Еkaterina</t>
  </si>
  <si>
    <t>100000006415</t>
  </si>
  <si>
    <t>PW0K0DBG</t>
  </si>
  <si>
    <t>VMNCG-B3VK8-CYX6G-VDXQR-JHWGG</t>
  </si>
  <si>
    <t>Акт 18.04.2026</t>
  </si>
  <si>
    <t>Зубарев Александр Нодариевич</t>
  </si>
  <si>
    <t>Zubarev Alexander</t>
  </si>
  <si>
    <t>100000003367</t>
  </si>
  <si>
    <t>NXEGYER00H320088FC3400</t>
  </si>
  <si>
    <t>6HR2P-NR9K3-69WT8-7BKPW-9TQ21</t>
  </si>
  <si>
    <t>HJTRQ-N2HV4-DPRQ3-Y32WR-PPQGP</t>
  </si>
  <si>
    <t>Акт 22.06.2026</t>
  </si>
  <si>
    <t>БЕЗ НДС 60440.50</t>
  </si>
  <si>
    <t xml:space="preserve"> Антонов Станислав Александрович</t>
  </si>
  <si>
    <t xml:space="preserve">Antonov Stanislav </t>
  </si>
  <si>
    <t>Инженер по теплогазоснабжению, вентиляции и кондиционированию</t>
  </si>
  <si>
    <t>F2717NBP4502103196</t>
  </si>
  <si>
    <t>8C7KR-NGYJY-KW6VC-Q6WXH-GCQGP</t>
  </si>
  <si>
    <t>Пронских Ирина Александровна</t>
  </si>
  <si>
    <t>Pronskih Irina</t>
  </si>
  <si>
    <t>100000002702</t>
  </si>
  <si>
    <t>RAN0CV09X31242F</t>
  </si>
  <si>
    <t>Малая Ольга Михайловна</t>
  </si>
  <si>
    <t>Malaya Olga</t>
  </si>
  <si>
    <t>Laptop,mouse,bag, клавиатура, монитор Xiaomi a24i
SN: 54383/250100060055</t>
  </si>
  <si>
    <t>100000005377</t>
  </si>
  <si>
    <t>C2507N0006442</t>
  </si>
  <si>
    <t>NDWKM-VCCXG-JBM2R-QTYXR-7H7CP</t>
  </si>
  <si>
    <t>Гузачев Александр Юрьевич</t>
  </si>
  <si>
    <t>Guzachev Aleksander</t>
  </si>
  <si>
    <t>140000200</t>
  </si>
  <si>
    <t>PF15E758</t>
  </si>
  <si>
    <t>CGXGF-T2NVW-8XFHK-34HBV-GCQGP</t>
  </si>
  <si>
    <t>Акт 27.12.2022</t>
  </si>
  <si>
    <t>Ибляминов Рафаэль</t>
  </si>
  <si>
    <t>Iblyaminov Rafael</t>
  </si>
  <si>
    <t>100000005195</t>
  </si>
  <si>
    <t>C2507N0002656</t>
  </si>
  <si>
    <t>BFBCW-WWNTJ-96C26-V66PJ-4VV82</t>
  </si>
  <si>
    <t>Санаев Алексей Владимирович</t>
  </si>
  <si>
    <t>модернизация пришел диск и оперативная память</t>
  </si>
  <si>
    <t>Sanaev Alexey</t>
  </si>
  <si>
    <t>инженер технолог</t>
  </si>
  <si>
    <t>00000010770</t>
  </si>
  <si>
    <t>R90QFPZB</t>
  </si>
  <si>
    <t>Акт 08.11.2025</t>
  </si>
  <si>
    <t>Свинолупова Ольга Сергеевна(Животова)</t>
  </si>
  <si>
    <t>Svinolupova Olga</t>
  </si>
  <si>
    <t>HRD, CCTD, TA</t>
  </si>
  <si>
    <t>100000005393</t>
  </si>
  <si>
    <t>C2507N0002812</t>
  </si>
  <si>
    <t>MVGT4-FNHGB-R82YH-T3TQ6-23782</t>
  </si>
  <si>
    <t>Акт 17.03.2026</t>
  </si>
  <si>
    <t>Гринка Ольга Владимировна</t>
  </si>
  <si>
    <t>была модернизация/upgraded Transcend 230S [TS256GSSD230S] 12Гб. ОЗУ</t>
  </si>
  <si>
    <t>Grinka Olga</t>
  </si>
  <si>
    <t>Специалист по управлению платежами</t>
  </si>
  <si>
    <t>ILD, TB</t>
  </si>
  <si>
    <t>14000146/Z000039</t>
  </si>
  <si>
    <t>PF12TW4T</t>
  </si>
  <si>
    <t>2WBD2-BXNM7-4BWK9-TC9P8-HMH22</t>
  </si>
  <si>
    <t>Акт 25.05.2021</t>
  </si>
  <si>
    <t>Мусаева Зарина Аброровна</t>
  </si>
  <si>
    <r>
      <rPr>
        <sz val="14"/>
        <color rgb="FF006100"/>
        <rFont val="Times New Roman"/>
        <family val="1"/>
        <charset val="204"/>
      </rPr>
      <t>ССД установлен, опера до 8 увеличена(</t>
    </r>
    <r>
      <rPr>
        <sz val="14"/>
        <color rgb="FFFF0000"/>
        <rFont val="Times New Roman"/>
        <family val="1"/>
        <charset val="204"/>
      </rPr>
      <t>В dingTalk Отказ от замены Пк 13.03.2026</t>
    </r>
    <r>
      <rPr>
        <sz val="14"/>
        <color rgb="FF006100"/>
        <rFont val="Times New Roman"/>
        <family val="1"/>
        <charset val="204"/>
      </rPr>
      <t>)</t>
    </r>
  </si>
  <si>
    <t>Musaeva Zarina</t>
  </si>
  <si>
    <t>Координатор по транспорту</t>
  </si>
  <si>
    <t>00000010773</t>
  </si>
  <si>
    <t>R90QFPZ1</t>
  </si>
  <si>
    <t>Акт 21.09.2021</t>
  </si>
  <si>
    <t>Клейменова Оксана Викторовна</t>
  </si>
  <si>
    <t>Kleymenova Oksana</t>
  </si>
  <si>
    <t>Специалист по таможенным операциям</t>
  </si>
  <si>
    <t>10000001736</t>
  </si>
  <si>
    <t>M3N0CV15E16611G</t>
  </si>
  <si>
    <t>Акт 14.09.2021</t>
  </si>
  <si>
    <t>Никишина Екатерина Андреевна</t>
  </si>
  <si>
    <t>Nikishina Ekaterina</t>
  </si>
  <si>
    <t>00000016128</t>
  </si>
  <si>
    <t>LR0AVC1U</t>
  </si>
  <si>
    <t>2GFV2-N8Y44-TQBMM-M6M37-4C2KC</t>
  </si>
  <si>
    <t>Акт 15.05.2026</t>
  </si>
  <si>
    <t>Кудрявцев Дмитрий Алексеевич</t>
  </si>
  <si>
    <r>
      <rPr>
        <sz val="14"/>
        <color rgb="FF006100"/>
        <rFont val="Times New Roman"/>
        <family val="1"/>
        <charset val="204"/>
      </rPr>
      <t xml:space="preserve">Модернизация не требуется/normal (no need to upgrade) \ </t>
    </r>
    <r>
      <rPr>
        <sz val="14"/>
        <color rgb="FFFF0000"/>
        <rFont val="Times New Roman"/>
        <family val="1"/>
        <charset val="204"/>
      </rPr>
      <t xml:space="preserve">Отказ от замены Пк </t>
    </r>
  </si>
  <si>
    <t>Kudryavtsev Dmitriy</t>
  </si>
  <si>
    <t>Ведущий инженер-механик</t>
  </si>
  <si>
    <t>WorkStation+monitor lenovo T24I,mouse,keyboard,WI-Fi USB adapter TP-Link</t>
  </si>
  <si>
    <t>140000187</t>
  </si>
  <si>
    <t>S4HN3482</t>
  </si>
  <si>
    <t>PYQCN-FWD8W-HY7KR-63XMY-2PQGP</t>
  </si>
  <si>
    <t>Акт 29.03.2021</t>
  </si>
  <si>
    <t>Колесникова Ирина Сергеевна</t>
  </si>
  <si>
    <t>Kolesnikova Irina</t>
  </si>
  <si>
    <t>10000001737</t>
  </si>
  <si>
    <t>M3N0CV15E012116</t>
  </si>
  <si>
    <t>Акт 31.08.2021</t>
  </si>
  <si>
    <t>Костякова Елена Геннадьевна</t>
  </si>
  <si>
    <t>была модернизация/upgraded(SSD 240+RAM 8)</t>
  </si>
  <si>
    <t>Kostyakova Elena</t>
  </si>
  <si>
    <t>140000044/Z000017</t>
  </si>
  <si>
    <t>PF0LC1Q7</t>
  </si>
  <si>
    <t>Акт 06.10.2025</t>
  </si>
  <si>
    <t>Горяева Ирина Юрьевна</t>
  </si>
  <si>
    <t>Goryaeva Irina</t>
  </si>
  <si>
    <t>Специалист по внешнеэкономической деятельности</t>
  </si>
  <si>
    <t>10000001738</t>
  </si>
  <si>
    <t>M3N0CV15E174112</t>
  </si>
  <si>
    <t>Попова Марина Эдуардовна</t>
  </si>
  <si>
    <t>Popova Marina</t>
  </si>
  <si>
    <t>AC, AC GA</t>
  </si>
  <si>
    <t>100000006533</t>
  </si>
  <si>
    <t>PW0K0DW2</t>
  </si>
  <si>
    <t>6YPNR-QJV4K-MHKDF-HYQT8-PKC2T</t>
  </si>
  <si>
    <t>Младший инженер по внедрению информационных систем 2 категории</t>
  </si>
  <si>
    <t>Бикбаева Регина Фяритовна</t>
  </si>
  <si>
    <t>RDC, ISS, MSG</t>
  </si>
  <si>
    <t>Bikbaeva Regina</t>
  </si>
  <si>
    <t>100000001633</t>
  </si>
  <si>
    <t>AiO Acer Aspire C24-1800</t>
  </si>
  <si>
    <t>PF2VTM98</t>
  </si>
  <si>
    <t>ULTRAVNC 10.168.153.70</t>
  </si>
  <si>
    <t>Акт 23.08.2022</t>
  </si>
  <si>
    <t>Самошкин Владимир Анатольевич</t>
  </si>
  <si>
    <t>Samoshkin Vladimir</t>
  </si>
  <si>
    <t>Инженер по электрике автомобиля 4 категории / Engineer electrical car 4 category</t>
  </si>
  <si>
    <t>Акт 05.03.2026</t>
  </si>
  <si>
    <t>100000001634</t>
  </si>
  <si>
    <t>PF2TYFZN</t>
  </si>
  <si>
    <t>Акт 29.08.2021</t>
  </si>
  <si>
    <t>Корнилова Дарья Сергеевна</t>
  </si>
  <si>
    <t>Kornilova Daria</t>
  </si>
  <si>
    <t>Laptop,mouse, monitor Xiaomi a24i SN: 54383/250100058939</t>
  </si>
  <si>
    <t>100000005392</t>
  </si>
  <si>
    <t>C2507N0002589</t>
  </si>
  <si>
    <t>JN4VC-VCD2H-KB4DW-GGGKT-BP2TC</t>
  </si>
  <si>
    <t>Алсуфьев Роман Юрьевич</t>
  </si>
  <si>
    <t>Alsufiev Roman</t>
  </si>
  <si>
    <t>100000006711</t>
  </si>
  <si>
    <t>DQBRRCD00255101A526N02</t>
  </si>
  <si>
    <t>H22PC-PNM2Y-888R6-DYVQC-D6986</t>
  </si>
  <si>
    <t>Белоусов Алексей Михайлович</t>
  </si>
  <si>
    <t>Belousov Aleksey</t>
  </si>
  <si>
    <t>Наладчик технологического оборудования 4 категории</t>
  </si>
  <si>
    <t>CH,CH MD</t>
  </si>
  <si>
    <t>00000016130</t>
  </si>
  <si>
    <t>LR0AVC16</t>
  </si>
  <si>
    <t>TCNM4-D9P9H-83JBV-3K6Y3-QRPMP</t>
  </si>
  <si>
    <t>Акт 17.09.2024</t>
  </si>
  <si>
    <t>Корольков Евгений Анатольевич</t>
  </si>
  <si>
    <t>Korolkov Evgeniy</t>
  </si>
  <si>
    <t>RDC</t>
  </si>
  <si>
    <t>Laptop,mouse+monitor MSI-27 sn:PB4H694705416</t>
  </si>
  <si>
    <t>100000005414</t>
  </si>
  <si>
    <t>C2509N0008359</t>
  </si>
  <si>
    <t>MVGNT-CJ8HG-KJ793-DDWDV-DRTGC</t>
  </si>
  <si>
    <t>Акт 26.05.2026</t>
  </si>
  <si>
    <t>Струкова (Глашкина) Кристина Сергеевна</t>
  </si>
  <si>
    <t>Glashkina Kristina</t>
  </si>
  <si>
    <t>140000170/Z000087</t>
  </si>
  <si>
    <t>S4FM3412</t>
  </si>
  <si>
    <t>Акт 01.10.2024</t>
  </si>
  <si>
    <t>Ольховой Сергей Сергеевич</t>
  </si>
  <si>
    <t>Olhovoy Sergey</t>
  </si>
  <si>
    <t>Инженер-технолог 4 категории</t>
  </si>
  <si>
    <t>140000243</t>
  </si>
  <si>
    <t>PC10AS91</t>
  </si>
  <si>
    <t>QN8MD-Q6BX9-FXW83-62C8W-YP2KC</t>
  </si>
  <si>
    <t>Камалов Святослав Владимирович</t>
  </si>
  <si>
    <t>Kamalov Svyatoslav</t>
  </si>
  <si>
    <t>100000005181</t>
  </si>
  <si>
    <t>C2507N0002988</t>
  </si>
  <si>
    <t>MHVN4-P8VDP-6HT2K-MHV9V-94TGC</t>
  </si>
  <si>
    <t>Долженкова Алёна Сергеевна</t>
  </si>
  <si>
    <t>Dolzhenkova Alyona</t>
  </si>
  <si>
    <t>Ведущий специалист по планированию производства</t>
  </si>
  <si>
    <t>00000010783</t>
  </si>
  <si>
    <t>R90QFPYR</t>
  </si>
  <si>
    <t>MNH3D-3F6XV-MVQQB-BD6H3-FM49C</t>
  </si>
  <si>
    <t>Акт 19.07.2023</t>
  </si>
  <si>
    <t>Лазарева Юлия Николаевна</t>
  </si>
  <si>
    <t>Lazareva Yuilia</t>
  </si>
  <si>
    <t>Бухгалтер 2 категории</t>
  </si>
  <si>
    <t>100000001681</t>
  </si>
  <si>
    <t>83RHDF2</t>
  </si>
  <si>
    <t>HGNMX-PWW3T-FFBXY-89MWY-8FJFG</t>
  </si>
  <si>
    <t>92NQ3-K2P9V-G87J7-JX9DD-9D7YP</t>
  </si>
  <si>
    <t>Акт 11.01.2022</t>
  </si>
  <si>
    <t>Бойко Наталья Петровна</t>
  </si>
  <si>
    <t>Boyko Natalya</t>
  </si>
  <si>
    <t>Казначей / Treasurer</t>
  </si>
  <si>
    <t>100000001689</t>
  </si>
  <si>
    <t>JHRHDF2</t>
  </si>
  <si>
    <t>JKY3M-6N94X-Y6Y7T-TQXQT-GMT4C</t>
  </si>
  <si>
    <t>Акт 04.08.2023</t>
  </si>
  <si>
    <t>Кошелева Валерия Андреевна</t>
  </si>
  <si>
    <t>Kosheleva Valeriya</t>
  </si>
  <si>
    <t>100000003352</t>
  </si>
  <si>
    <t>NXEGYER00H32008AF03400</t>
  </si>
  <si>
    <t>Акт 08.07.2024</t>
  </si>
  <si>
    <t>Антонова Валентина Александровна</t>
  </si>
  <si>
    <t>Antonova Valentina</t>
  </si>
  <si>
    <t>Workstation HP EliteDesk 805 G6+ monitor 24d-20( V5CGA557)</t>
  </si>
  <si>
    <t>100000001669</t>
  </si>
  <si>
    <t>CZC14481GQ</t>
  </si>
  <si>
    <t>Акт 08.12.2025</t>
  </si>
  <si>
    <t>Савин Роман Валерьевич</t>
  </si>
  <si>
    <t>Savin Roman</t>
  </si>
  <si>
    <t>Мастер 2 категории</t>
  </si>
  <si>
    <t>100000001623</t>
  </si>
  <si>
    <t>PF2TY8WX</t>
  </si>
  <si>
    <t>48YWK-N8DXD-PHH2X-83R4X-9HJXG</t>
  </si>
  <si>
    <t xml:space="preserve"> Матюхина Ольга Вячеславовна</t>
  </si>
  <si>
    <t>Руководитель группы контроля качества</t>
  </si>
  <si>
    <t>100000003378</t>
  </si>
  <si>
    <t>F2715NBP35080821711</t>
  </si>
  <si>
    <t>Семёнова Елена Михайловна</t>
  </si>
  <si>
    <t>Semenova Elena</t>
  </si>
  <si>
    <t>100000001691</t>
  </si>
  <si>
    <t>1JRHDF2</t>
  </si>
  <si>
    <t>Акт 21.06.2023</t>
  </si>
  <si>
    <t>Чичков Александр Борисович</t>
  </si>
  <si>
    <t>Chichkov Aleksandr</t>
  </si>
  <si>
    <t>GD, SEC, ES</t>
  </si>
  <si>
    <t>100000001640</t>
  </si>
  <si>
    <t>PF2TYFXY</t>
  </si>
  <si>
    <t>проверить установлен активирован?</t>
  </si>
  <si>
    <t xml:space="preserve">4C6VB-TNR9Y-48TDB-HHRKP-XTQV6 </t>
  </si>
  <si>
    <t>Пинская Дарья Владимировна</t>
  </si>
  <si>
    <t>Pinskaya Daria</t>
  </si>
  <si>
    <t>Руководитель группы по подбору персонала</t>
  </si>
  <si>
    <t>HRD, REC, WC REC</t>
  </si>
  <si>
    <t xml:space="preserve">Laptop,mouse, monitor Xiaomi </t>
  </si>
  <si>
    <t>100000005406</t>
  </si>
  <si>
    <t>C2509N0008343</t>
  </si>
  <si>
    <t>3VN3F-7Q7WH-THHK6-P4463-49CTC</t>
  </si>
  <si>
    <t>Петров Павел Валерьевич</t>
  </si>
  <si>
    <r>
      <rPr>
        <sz val="12"/>
        <color rgb="FF006100"/>
        <rFont val="Times New Roman"/>
        <family val="1"/>
        <charset val="204"/>
      </rPr>
      <t xml:space="preserve">Модернизация не требуется/normal (no need to upgrade) </t>
    </r>
    <r>
      <rPr>
        <sz val="12"/>
        <color rgb="FFFF0000"/>
        <rFont val="Times New Roman"/>
        <family val="1"/>
        <charset val="204"/>
      </rPr>
      <t>отказ от замены</t>
    </r>
  </si>
  <si>
    <t>Petrov Pavel</t>
  </si>
  <si>
    <t>Заместитель главного механика</t>
  </si>
  <si>
    <t>Workstation+monitor lenovo S24e</t>
  </si>
  <si>
    <t>140000193</t>
  </si>
  <si>
    <t>S4HN3480</t>
  </si>
  <si>
    <t>Акт 18.10.2024</t>
  </si>
  <si>
    <t>Долгов Дмитрий Игоревич</t>
  </si>
  <si>
    <t>Dolgov Dmitry</t>
  </si>
  <si>
    <t>100000003604</t>
  </si>
  <si>
    <t>F2715NBP35060820790</t>
  </si>
  <si>
    <t>DBKK4-HCNKB-FXHY4-9T36C-2DKTP</t>
  </si>
  <si>
    <t>Акт 02.12.2024</t>
  </si>
  <si>
    <t>Трофимов Анатолий Васильевич</t>
  </si>
  <si>
    <t>была модернизация/upgraded (SSD 480+ ram)</t>
  </si>
  <si>
    <t>Trofimov Anatoliy</t>
  </si>
  <si>
    <t>14000141/Z000050</t>
  </si>
  <si>
    <t>PF12TV8S</t>
  </si>
  <si>
    <t>Акт 31.07.2023</t>
  </si>
  <si>
    <t>Гуськов Евгений Владимирович</t>
  </si>
  <si>
    <t>Guskov Evgeniy</t>
  </si>
  <si>
    <t>Инженер-механик 2 категории</t>
  </si>
  <si>
    <t>100000004640</t>
  </si>
  <si>
    <t>NXKN3CD00J435010113400</t>
  </si>
  <si>
    <t>Акт 12.08.2025</t>
  </si>
  <si>
    <t>Иванов Алексей</t>
  </si>
  <si>
    <t>Ivanov Alexey</t>
  </si>
  <si>
    <t>00000016133</t>
  </si>
  <si>
    <t>LR0AVC32</t>
  </si>
  <si>
    <t>TBHWK-TNJP2-W2HB2-Y2CG4-DJ3GP</t>
  </si>
  <si>
    <t>Акт 05.06.2025</t>
  </si>
  <si>
    <t>Злобина Елена Викторовна</t>
  </si>
  <si>
    <t>Zlobina Elena</t>
  </si>
  <si>
    <t>14000158/Z000038</t>
  </si>
  <si>
    <t>PF12TWYF</t>
  </si>
  <si>
    <t>Матевосян Армен Анушаванович</t>
  </si>
  <si>
    <t>Matevosyan Armen</t>
  </si>
  <si>
    <t>100000004746</t>
  </si>
  <si>
    <t>NXKN3CD001452029923400</t>
  </si>
  <si>
    <t>DRNCG-6J64M-8MDBM-PM768-XW3W6</t>
  </si>
  <si>
    <t>Акт 31.10.2025</t>
  </si>
  <si>
    <t>Пфайфер Ольга Владимировна</t>
  </si>
  <si>
    <t>Pfeiffer Olga</t>
  </si>
  <si>
    <t>100000006495</t>
  </si>
  <si>
    <t>PW0K0DDM</t>
  </si>
  <si>
    <t>DVH8N-C9RHP-YTKVB-FDRY3-Y4HJ6</t>
  </si>
  <si>
    <t>Акт 25.04.2026</t>
  </si>
  <si>
    <t>Нехамкин Павел Леонидович</t>
  </si>
  <si>
    <t>Nekhamkin Pavel</t>
  </si>
  <si>
    <t>Инженер-метролог 1 категории</t>
  </si>
  <si>
    <t>100000003617</t>
  </si>
  <si>
    <t>F2715NBP35060820164</t>
  </si>
  <si>
    <t>Акт 11.11.2024</t>
  </si>
  <si>
    <t>Таубе Анастасия Юрьевна</t>
  </si>
  <si>
    <t>Taube Anastasiya</t>
  </si>
  <si>
    <t>Младший инженер по внедрению информационных систем 1 категории</t>
  </si>
  <si>
    <t>100000004235</t>
  </si>
  <si>
    <t>F2717NBP4502103193</t>
  </si>
  <si>
    <t>NW7P7-DXHJ3-3PV6D-G2YX8-YP2KC</t>
  </si>
  <si>
    <t>Акт 25.03.2025</t>
  </si>
  <si>
    <t>Жданов Пётр Павлович</t>
  </si>
  <si>
    <t>Zhdanov Petr</t>
  </si>
  <si>
    <t>Инженер по внедрению информационных систем 2 категории</t>
  </si>
  <si>
    <t>100000004749</t>
  </si>
  <si>
    <t>NXKN3CD0014520197C3400</t>
  </si>
  <si>
    <t>Libre office, MS Office</t>
  </si>
  <si>
    <t>Не снял</t>
  </si>
  <si>
    <t>Акт 14.11.2025</t>
  </si>
  <si>
    <t>Летунов Алексей Александрович</t>
  </si>
  <si>
    <t>Letunov Aleksey</t>
  </si>
  <si>
    <t>Ведущий системный администратор</t>
  </si>
  <si>
    <t>100000003340</t>
  </si>
  <si>
    <t>NXEGYER00H320088DD3400</t>
  </si>
  <si>
    <t>Ильченко Владислав Борисович</t>
  </si>
  <si>
    <t>Ilchenko Vladislav</t>
  </si>
  <si>
    <t>Руководитель группы аудиторов</t>
  </si>
  <si>
    <t>100000004651</t>
  </si>
  <si>
    <t>NXKN3CD00J435010333400</t>
  </si>
  <si>
    <t>FCMRN-6K8H9-KJJPF-HVHH9-4JRC2</t>
  </si>
  <si>
    <t>Акт 27.08.2025</t>
  </si>
  <si>
    <t>Пузанова Екатерина</t>
  </si>
  <si>
    <t>была модернизация/upgraded (SSD 480) + 8 ram</t>
  </si>
  <si>
    <t>Puzanova Ekaterina</t>
  </si>
  <si>
    <t>Специалист по дефектам</t>
  </si>
  <si>
    <t>00000011582</t>
  </si>
  <si>
    <t>LR08MD2H</t>
  </si>
  <si>
    <t>FGC4K-9N88J-29Q4K-HKH6P-HH66P</t>
  </si>
  <si>
    <t>Акт 11.02.2026</t>
  </si>
  <si>
    <t>Бакай Юлия Витальевна</t>
  </si>
  <si>
    <t>Bakai Yulia</t>
  </si>
  <si>
    <t>100000006120</t>
  </si>
  <si>
    <t>PW0LW3SH</t>
  </si>
  <si>
    <t>BN2WX-GH4QF-YHJ2F-M362V-BDXCT</t>
  </si>
  <si>
    <t>Акт 03.04.2026 Бакай Ю.</t>
  </si>
  <si>
    <t>Максимова Ирина Викторовна</t>
  </si>
  <si>
    <t>Maksimova Irina</t>
  </si>
  <si>
    <t>100000001684</t>
  </si>
  <si>
    <t>JP4HDF2</t>
  </si>
  <si>
    <t>WVD2N-M8FT2-TQ4JK-FDP8W-J8F72</t>
  </si>
  <si>
    <t>Акт 10.01.2022</t>
  </si>
  <si>
    <t>Ушаков Денис Павлович</t>
  </si>
  <si>
    <t>Ushakov Denis</t>
  </si>
  <si>
    <t>100000003590</t>
  </si>
  <si>
    <t>F2715NBP35060821906</t>
  </si>
  <si>
    <t>Тишунин Сергей Анатольевич(3679)</t>
  </si>
  <si>
    <t>Tishunin Sergey</t>
  </si>
  <si>
    <t>Руководитель группы поддержки бизнес-операций и финансов</t>
  </si>
  <si>
    <t>laptop+Monitor Lenovo</t>
  </si>
  <si>
    <t>100000005198</t>
  </si>
  <si>
    <t>C2507N0003045</t>
  </si>
  <si>
    <t>RV4P9-9RNBG-V923C-F3YMD-XHJXC</t>
  </si>
  <si>
    <t>Бурцева Илона Вячеславовна</t>
  </si>
  <si>
    <t>Burtseva Ilona</t>
  </si>
  <si>
    <t>Ведущий специалист по обучению</t>
  </si>
  <si>
    <t>100000006143</t>
  </si>
  <si>
    <t>PW0LW3RS</t>
  </si>
  <si>
    <t>9YPBN-W4V8V-3PVV8-BWHQC-PGY6G</t>
  </si>
  <si>
    <t>Акт 01.04.2026</t>
  </si>
  <si>
    <t>Козарь Алексей Анатольевич</t>
  </si>
  <si>
    <t>Kozar Alexey</t>
  </si>
  <si>
    <t>00000016122</t>
  </si>
  <si>
    <t>LR0AVC2T</t>
  </si>
  <si>
    <t>Акт  05.08.2026</t>
  </si>
  <si>
    <t>Зацепин Дмитрий Юрьевич</t>
  </si>
  <si>
    <t>Zatsepin Dmitry</t>
  </si>
  <si>
    <t>Laptop HP 15 S</t>
  </si>
  <si>
    <t>5SD1342W30</t>
  </si>
  <si>
    <t>Windows 10 Домашняя для одного языка</t>
  </si>
  <si>
    <t>Акт 02.01.2025</t>
  </si>
  <si>
    <t>Уваров Петр Андреевич</t>
  </si>
  <si>
    <t>Uvarov Petr</t>
  </si>
  <si>
    <t>100000004844</t>
  </si>
  <si>
    <t>F2717NBP4502103015</t>
  </si>
  <si>
    <t>Installed Key:	VK7JG-NPHTM-C97JM-9MPGT-3V66T
OEM Key:	HXQNG-2T947-V9HGQ-R4QPW-9TPKC</t>
  </si>
  <si>
    <t>Акт 27.11.2025</t>
  </si>
  <si>
    <t>Ларионова Светлана Егоровна</t>
  </si>
  <si>
    <t>Larionova Svetlana</t>
  </si>
  <si>
    <t>Архивариус</t>
  </si>
  <si>
    <t>140000065/Z000096</t>
  </si>
  <si>
    <t>YJ009HNZ</t>
  </si>
  <si>
    <t>Акт 25.01.2022</t>
  </si>
  <si>
    <t>Рожков Давид Александрович</t>
  </si>
  <si>
    <t>Rozhkov David</t>
  </si>
  <si>
    <t>100000005127</t>
  </si>
  <si>
    <t>C2507N0003110</t>
  </si>
  <si>
    <t>HTVNR-W2RJP-68JKK-R3K8P-FX86C</t>
  </si>
  <si>
    <t>Красных Алексей Владимирович</t>
  </si>
  <si>
    <t>Krasnykh Alexey</t>
  </si>
  <si>
    <t>00000015286</t>
  </si>
  <si>
    <t>LR0AVC2M</t>
  </si>
  <si>
    <t xml:space="preserve">MN9V7-DFHC4-46972-B4BVD-RJTMT
</t>
  </si>
  <si>
    <t>WBJNF-KFYJX-D9D76-Y2GH3-FM49C</t>
  </si>
  <si>
    <t>Чернавских Михаил Петрович</t>
  </si>
  <si>
    <t>Chernavskikh Mikhail</t>
  </si>
  <si>
    <t>100000005403</t>
  </si>
  <si>
    <t>C2509N0008366</t>
  </si>
  <si>
    <t>4W2N9-PKVFK-XPHKX-X38CJ-BWRJ2</t>
  </si>
  <si>
    <t>Болотин Геннадий Николаевич</t>
  </si>
  <si>
    <t xml:space="preserve">Bolotin Gennady </t>
  </si>
  <si>
    <t>100000001613</t>
  </si>
  <si>
    <t>CND12505TD</t>
  </si>
  <si>
    <t>Акт 30.04.2026</t>
  </si>
  <si>
    <t>Молодцова Алина Вячеславовна</t>
  </si>
  <si>
    <t>Molodtsova Alina</t>
  </si>
  <si>
    <t>100000005543</t>
  </si>
  <si>
    <t>PW0LW3MS</t>
  </si>
  <si>
    <t>4WJ2N-VWR2F-B9M8V-T8PJC-PGY6G</t>
  </si>
  <si>
    <t>Смелык Светлана Александровна</t>
  </si>
  <si>
    <t>Smelyk Svetlana</t>
  </si>
  <si>
    <t xml:space="preserve"> Кладовщик</t>
  </si>
  <si>
    <t>100000001673</t>
  </si>
  <si>
    <t>J2RHDF2</t>
  </si>
  <si>
    <t>7867K-NDRV9-3GGKH-X2FKW-TQ7YP</t>
  </si>
  <si>
    <t>Акт от 09.10.2025</t>
  </si>
  <si>
    <t>Воронина Наталья Владимировна</t>
  </si>
  <si>
    <t>Voronina Natalia</t>
  </si>
  <si>
    <t>100000001682</t>
  </si>
  <si>
    <t>JJ4HDF2</t>
  </si>
  <si>
    <t>88N4K-HCFPD-J77MH-RX4RM-6VJV2</t>
  </si>
  <si>
    <t>Акт 20-1-2026</t>
  </si>
  <si>
    <t>Кудрявцев Дмитрий Викторович</t>
  </si>
  <si>
    <t>Системный администратор</t>
  </si>
  <si>
    <t>100000001676</t>
  </si>
  <si>
    <t>53RHDF2</t>
  </si>
  <si>
    <t xml:space="preserve">FPP3N-JYCWX-QH7BV-VRG2C-P9Y4G
</t>
  </si>
  <si>
    <t>9NBMC-9CXPX-9Y7CR-XWJR2-VFR72</t>
  </si>
  <si>
    <t>Акт 10.03.2026</t>
  </si>
  <si>
    <t>Кондратьев Эдуард Эдуардович</t>
  </si>
  <si>
    <t>Kondratiev Eduard</t>
  </si>
  <si>
    <t>100000004301</t>
  </si>
  <si>
    <t>F2717NBP4502103045</t>
  </si>
  <si>
    <t>MS Office 365 Plus</t>
  </si>
  <si>
    <t>2XY6D-6PN86-M4VWP-23Y9D-PYT6P</t>
  </si>
  <si>
    <t>Акт от 28.01.2026</t>
  </si>
  <si>
    <t>Пекарская Елизавета Сергеевна</t>
  </si>
  <si>
    <t>Pekarskaya Elizavetta</t>
  </si>
  <si>
    <t>Ведущий специалист по управлению платежами</t>
  </si>
  <si>
    <t>140000033/Z000132</t>
  </si>
  <si>
    <t>PF0LKPX8</t>
  </si>
  <si>
    <t>T2VNH-F4CC4-6C794-KQJJ4-844J2</t>
  </si>
  <si>
    <t>Акт 10.02.2022</t>
  </si>
  <si>
    <t>Власов Ярослав Сергеевич</t>
  </si>
  <si>
    <t>была модернизация/upgraded (SSD 240)</t>
  </si>
  <si>
    <t>Vlasov Yaroslav</t>
  </si>
  <si>
    <t>Инженер по электрике автомобиля 1 категории</t>
  </si>
  <si>
    <t>00000016137</t>
  </si>
  <si>
    <t>LR0AVC1Z</t>
  </si>
  <si>
    <t>Акт 24.03.2023</t>
  </si>
  <si>
    <t>Яковлев Никита Михайлович</t>
  </si>
  <si>
    <t>Yakovlev Nikita</t>
  </si>
  <si>
    <t>100000001687</t>
  </si>
  <si>
    <t>23RHDF2</t>
  </si>
  <si>
    <t>4RWJ8-N9MYG-9JW7M-3GMFP-XTPH2</t>
  </si>
  <si>
    <t>Акт 02.10.2024</t>
  </si>
  <si>
    <t>Иванова Анна Викторовна</t>
  </si>
  <si>
    <t>Ivanova Anna</t>
  </si>
  <si>
    <t>Laptop,mouse,bag, Монитор Xiaomi i24 SN:54383/250100058481, keyboard</t>
  </si>
  <si>
    <t>100000005384</t>
  </si>
  <si>
    <t>C2509N0008365</t>
  </si>
  <si>
    <t>9KRT3-N694R-3MJ77-RG9WX-HCFJ2</t>
  </si>
  <si>
    <t>Косьянов Александр Сергеевич</t>
  </si>
  <si>
    <t>Kosyanov Aleksander</t>
  </si>
  <si>
    <t>RDC, ISS</t>
  </si>
  <si>
    <t>100000005176</t>
  </si>
  <si>
    <t>C2507N0002569</t>
  </si>
  <si>
    <t>Карташова (Николаева была) Евгения Владимировна</t>
  </si>
  <si>
    <t>Nikolaeva Evgeniya</t>
  </si>
  <si>
    <t>Ведущий координатор по транспорту</t>
  </si>
  <si>
    <t>100000004311</t>
  </si>
  <si>
    <t>F2715NBP35070822343</t>
  </si>
  <si>
    <t>NB2MV-26PVP-YXJK7-XT9KT-J2QGP</t>
  </si>
  <si>
    <t>Юдина Юлия Геннадьевна</t>
  </si>
  <si>
    <t>New_поставить на учет</t>
  </si>
  <si>
    <t>DQBR8CD00255101D1A6N02</t>
  </si>
  <si>
    <t>KVCP8-N8Q9G-VQWDK-DJBMV-9BVJ6</t>
  </si>
  <si>
    <t>Акт 25.09.2026</t>
  </si>
  <si>
    <t>Ильина Наталия Валериевна</t>
  </si>
  <si>
    <t>Ilyina Natalia</t>
  </si>
  <si>
    <t>100000005399</t>
  </si>
  <si>
    <t>C2507N0002604</t>
  </si>
  <si>
    <t>NKDYP-J94M4-WPMXX-HQQ29-P3782</t>
  </si>
  <si>
    <t>Медведева Любовь Игоревна</t>
  </si>
  <si>
    <t>Medvedeva Lyubov</t>
  </si>
  <si>
    <t>Специалист по качеству</t>
  </si>
  <si>
    <t>10000001788</t>
  </si>
  <si>
    <t>PF1AMD5R</t>
  </si>
  <si>
    <t>Михайлова Елена Алексеевна</t>
  </si>
  <si>
    <t>Mikhailova Elena</t>
  </si>
  <si>
    <t>140000153/Z000070</t>
  </si>
  <si>
    <t>S4FM3337</t>
  </si>
  <si>
    <t>GXWYQ-4NWMP-GMMD4-PMRPC-FX8XC</t>
  </si>
  <si>
    <t>Акт 16.02.2023</t>
  </si>
  <si>
    <t>Безногих Ольга Валентиновна</t>
  </si>
  <si>
    <t>Beznogikh Olga</t>
  </si>
  <si>
    <t>Специалист по персоналу</t>
  </si>
  <si>
    <t>100000003579</t>
  </si>
  <si>
    <t>2408A22H124i5M2165R00484</t>
  </si>
  <si>
    <t>Pro Plus 2019</t>
  </si>
  <si>
    <t>BP9NX-XD6WX-92H4V-P6GVP-2DKTP</t>
  </si>
  <si>
    <t>Акт 23.12.2024</t>
  </si>
  <si>
    <t>Котенко Сергей</t>
  </si>
  <si>
    <t>Kotenko Sergey</t>
  </si>
  <si>
    <t>Инженер по качеству</t>
  </si>
  <si>
    <t>Laptop Lenovo V15 G1</t>
  </si>
  <si>
    <t>100000001647</t>
  </si>
  <si>
    <t>PF2TLN0D</t>
  </si>
  <si>
    <t>Кан С.</t>
  </si>
  <si>
    <t>Брежнев Константин Юрьевич</t>
  </si>
  <si>
    <t>Brezhnev Konstantin</t>
  </si>
  <si>
    <t>HRD, REC, ACE</t>
  </si>
  <si>
    <t>Laptop,bag</t>
  </si>
  <si>
    <t>100000005421</t>
  </si>
  <si>
    <t>C2507N0002693</t>
  </si>
  <si>
    <t>48NYJ-QV6KV-GGQ2T-W3YJY-BBH82</t>
  </si>
  <si>
    <t>Азаров Иван Владимирович</t>
  </si>
  <si>
    <t>Azarov Ivan</t>
  </si>
  <si>
    <t>100000004481</t>
  </si>
  <si>
    <t>C2410N0009103</t>
  </si>
  <si>
    <t>3BGW2-VWNVV-VH2CB-WCX9R-R3KTP</t>
  </si>
  <si>
    <t>Акт 23.06.2025</t>
  </si>
  <si>
    <t>Иовчу Роман Александрович</t>
  </si>
  <si>
    <t>Iovchu  Roman</t>
  </si>
  <si>
    <t>Инженер по проектам</t>
  </si>
  <si>
    <t>NXEGYER00H32008DC83400</t>
  </si>
  <si>
    <t>4N6QT-D82YP-3QTDC-MHJTY-92FC2</t>
  </si>
  <si>
    <t>Ширяев Алексей Викторович</t>
  </si>
  <si>
    <t xml:space="preserve">Shiryaev Alexey </t>
  </si>
  <si>
    <t>100000006149</t>
  </si>
  <si>
    <t>PW0LW3QP</t>
  </si>
  <si>
    <t>KHQ4N-DP93V-6KPPK-F86TF-QGP2T</t>
  </si>
  <si>
    <t>Соловушков Антон Васильевич</t>
  </si>
  <si>
    <t>Solovyskov Anton</t>
  </si>
  <si>
    <t>PMD</t>
  </si>
  <si>
    <t>100000005388</t>
  </si>
  <si>
    <t>C2509N0008331</t>
  </si>
  <si>
    <t>MBBJD-YBNDV-TRC9R-WMJY7-CYVCP</t>
  </si>
  <si>
    <t>Рогова Оксана Александровна</t>
  </si>
  <si>
    <t>была модернизация/upgraded (ssd240 +RAM8)</t>
  </si>
  <si>
    <t>rogova oksana</t>
  </si>
  <si>
    <t>ES PM&amp;LS</t>
  </si>
  <si>
    <t>AiO, mouse, keyboard+Wifi adapt</t>
  </si>
  <si>
    <t>140000150/Z000066</t>
  </si>
  <si>
    <t>S4FM3436</t>
  </si>
  <si>
    <t>Дейнего Руслан Алексеевич</t>
  </si>
  <si>
    <t>Deinego Ruslan</t>
  </si>
  <si>
    <t>Наладчик технологического оборудования 6 категории</t>
  </si>
  <si>
    <t>AiO Lenovo M37Z</t>
  </si>
  <si>
    <t>140000037/Z000129</t>
  </si>
  <si>
    <t>S1H03BRM</t>
  </si>
  <si>
    <t>Y8T4J-NQ6V9-PX9VX-TWH4Y-3GMD2</t>
  </si>
  <si>
    <t>Акт 15.09.2026</t>
  </si>
  <si>
    <t>Макаров Родион Андреевич</t>
  </si>
  <si>
    <t>Makarov Rodion</t>
  </si>
  <si>
    <t>Специалист по складским операциям</t>
  </si>
  <si>
    <t>100000004254</t>
  </si>
  <si>
    <t>DQBKMCD002336013D53000</t>
  </si>
  <si>
    <t>Акт 14,02,2026</t>
  </si>
  <si>
    <t>Шалимова Светлана Андреевна</t>
  </si>
  <si>
    <t xml:space="preserve">Модернизация не требуется/normal (no need to upgrade)
+ssd 256 гб
</t>
  </si>
  <si>
    <t>Shalimova Svetlana</t>
  </si>
  <si>
    <t>00000011067</t>
  </si>
  <si>
    <t>R90QN4VL</t>
  </si>
  <si>
    <t>6RNHJ-3678X-7BD42-JMJFM-G3BP2</t>
  </si>
  <si>
    <t>Акт 27.07.2023</t>
  </si>
  <si>
    <t>Каширина Светлана Александровна</t>
  </si>
  <si>
    <t>Kashirina Svetlana</t>
  </si>
  <si>
    <t>100000003360</t>
  </si>
  <si>
    <t>NXEGYER00H320089293400</t>
  </si>
  <si>
    <t>Акт 19.02.2029</t>
  </si>
  <si>
    <t>Морозов Денис Владимирович</t>
  </si>
  <si>
    <t>Morozov Denis</t>
  </si>
  <si>
    <t>laptop,mouse,bag+monitor Lenovo T24D-20</t>
  </si>
  <si>
    <t>100000005119</t>
  </si>
  <si>
    <t>C2507N0002877</t>
  </si>
  <si>
    <t>2XC9N-7M6KG-KMGHG-6XRHV-FJRC2</t>
  </si>
  <si>
    <t>Аль-Халлаф Вадах Аббас Мезбан</t>
  </si>
  <si>
    <t>Wadah Alkhallaf</t>
  </si>
  <si>
    <t>PLD DL</t>
  </si>
  <si>
    <t>100000006114</t>
  </si>
  <si>
    <t>PW0LW3P0</t>
  </si>
  <si>
    <t>94DNP-6CF74-D8RMK-KGX88-WB6PT</t>
  </si>
  <si>
    <t>Акт 09.04.2026</t>
  </si>
  <si>
    <t>Шаталов Илья Владимирович</t>
  </si>
  <si>
    <t>Shatalov Ilya</t>
  </si>
  <si>
    <t>Инженер линии 2 категории</t>
  </si>
  <si>
    <t>100000004641</t>
  </si>
  <si>
    <t>NXKN3CD00J43500F093400</t>
  </si>
  <si>
    <t>BRW7Q-NFHY4-6T6PR-FRHJ6-WXCKC</t>
  </si>
  <si>
    <t>Белехов Николай Олегович</t>
  </si>
  <si>
    <t>00000019366(3)</t>
  </si>
  <si>
    <t>R90T947L</t>
  </si>
  <si>
    <t>Акт 24.01.2025</t>
  </si>
  <si>
    <t xml:space="preserve">Арбацкая Татьяна Феликсовна </t>
  </si>
  <si>
    <t>Arbatskaya Tatiana</t>
  </si>
  <si>
    <t>Ведущий специалист по подбору персонала</t>
  </si>
  <si>
    <t>Laptop,mouse, Монитор Xiaomi  24' SN:54383/250100059870</t>
  </si>
  <si>
    <t>100000006425</t>
  </si>
  <si>
    <t>PW0K0DA5</t>
  </si>
  <si>
    <t>2NKK3-4YQXW-G9BR2-CYCTX-FRHJ6</t>
  </si>
  <si>
    <t>Гладких Анна Владимировна</t>
  </si>
  <si>
    <t xml:space="preserve">Gladkikh Anna </t>
  </si>
  <si>
    <t>10000001795</t>
  </si>
  <si>
    <t>PF1SKTLM</t>
  </si>
  <si>
    <t>Акт 06.06.2026</t>
  </si>
  <si>
    <t>Ульянова Ангелина Дмитриевна</t>
  </si>
  <si>
    <t>Ulyanova Angelina</t>
  </si>
  <si>
    <t>00000019366(16)</t>
  </si>
  <si>
    <t>R90SRSGR</t>
  </si>
  <si>
    <t>JNTQY-V8V9C-DTBKY-K4K3X-C7JXC</t>
  </si>
  <si>
    <t xml:space="preserve">Дунич Надежда Ивановна </t>
  </si>
  <si>
    <t>Dunich Nadezhda</t>
  </si>
  <si>
    <t>100000004863</t>
  </si>
  <si>
    <t>UN31ZSI04F533024B10700</t>
  </si>
  <si>
    <t>Михалева Елена Владимировна</t>
  </si>
  <si>
    <t>Mikhaleva Elena</t>
  </si>
  <si>
    <t>Специалист по затратам 2 категории</t>
  </si>
  <si>
    <t>100000004300</t>
  </si>
  <si>
    <t>F2717NBP4502103177</t>
  </si>
  <si>
    <t>MS Office Home &amp; Business 2019</t>
  </si>
  <si>
    <t>X868N-JCM72-9PGYT-Q3JQW-4VV22</t>
  </si>
  <si>
    <t>Акт 17.04.2025</t>
  </si>
  <si>
    <t>Казюкевич Лидия Владимировна</t>
  </si>
  <si>
    <t>Kazyukevich Lidiya</t>
  </si>
  <si>
    <t>100000006130</t>
  </si>
  <si>
    <t>PW0LW3VD</t>
  </si>
  <si>
    <t>2GGFM-NC4TY-DQ86K-K4RWX-WTY6G</t>
  </si>
  <si>
    <t>Тонких Татьяна Михайловна (Гордиенко)</t>
  </si>
  <si>
    <t>Tonkih Tatiana</t>
  </si>
  <si>
    <t>Специалист по управлению технологиями</t>
  </si>
  <si>
    <t>140000025/Z000023</t>
  </si>
  <si>
    <t>PF0IP639</t>
  </si>
  <si>
    <t>VNYV8-GWY99-BV3T4-RW6DX-WTYW2</t>
  </si>
  <si>
    <t>Акт 19.05.2023</t>
  </si>
  <si>
    <t>Литвинова Анастасия Геннадьевна</t>
  </si>
  <si>
    <t>Litvinova Anastasia</t>
  </si>
  <si>
    <t>100000006723</t>
  </si>
  <si>
    <t>DQBRRCD00255101A7A6N02</t>
  </si>
  <si>
    <t>RPJF2-MNM7C-WBR2G-9KW99-HCFTG</t>
  </si>
  <si>
    <t>Акт 30.06.2026</t>
  </si>
  <si>
    <t>Радионов Егор Андреевич</t>
  </si>
  <si>
    <t>Radionov Egor</t>
  </si>
  <si>
    <t>100000005544</t>
  </si>
  <si>
    <t>PW0LW3RW</t>
  </si>
  <si>
    <t>CNW4V-639B8-G3YPC-DR9B8-PKC2T</t>
  </si>
  <si>
    <t>Опарина Екатерина</t>
  </si>
  <si>
    <t>Oparina Ekaterina</t>
  </si>
  <si>
    <t>14000156/Z000048</t>
  </si>
  <si>
    <t>PF12TV9V</t>
  </si>
  <si>
    <t>Акт 12.02.2026</t>
  </si>
  <si>
    <t>Казыкин Денис Николаевич</t>
  </si>
  <si>
    <t>Модернизация не требуется ОЗУ 16гб SSD 512 гб./ No upgrade required RAM 16GB SSD 512GB</t>
  </si>
  <si>
    <t>Kazykin Denis</t>
  </si>
  <si>
    <t>Workstation Lenovo ThinkCentre M73,Монитор Lenovo ThinkVision S24e</t>
  </si>
  <si>
    <t>140000016/Z000024</t>
  </si>
  <si>
    <t>S4N64184</t>
  </si>
  <si>
    <t>Шустова Полина Сергеевна</t>
  </si>
  <si>
    <t>Shustova Polina</t>
  </si>
  <si>
    <t>Инженер по промышленной безопасности</t>
  </si>
  <si>
    <t>100000004850</t>
  </si>
  <si>
    <t>UN31ZSI04F5330233E0700</t>
  </si>
  <si>
    <t>J3KFP-Y3NG2-7MM4H-MTPD3-3PFTG</t>
  </si>
  <si>
    <t>Акт 20.11.2025</t>
  </si>
  <si>
    <t>Комиссарова Анастасия Юрьевна</t>
  </si>
  <si>
    <t>Komissarova Anastasia</t>
  </si>
  <si>
    <t>Ведущий специалист по вводу данных</t>
  </si>
  <si>
    <t>100000001618</t>
  </si>
  <si>
    <t>CND12506FJ</t>
  </si>
  <si>
    <t>Акт 22.03.2023</t>
  </si>
  <si>
    <t>Муркина Полина Александровна</t>
  </si>
  <si>
    <t>Polina Murkina</t>
  </si>
  <si>
    <t>100000004642</t>
  </si>
  <si>
    <t>NXKN3CD00J43500FCC3400</t>
  </si>
  <si>
    <t>NK9GF-JVJHQ-JJJVT-2YWM6-P7JXC</t>
  </si>
  <si>
    <t>Гаращенко Илья Алексеевич</t>
  </si>
  <si>
    <t>Garashchenko Ilya</t>
  </si>
  <si>
    <t>Ведущий инженер по геометрии</t>
  </si>
  <si>
    <t>140000245</t>
  </si>
  <si>
    <t>PC10AS92</t>
  </si>
  <si>
    <t>NPP7H-4DQ2Y-VFM7Y-6V27B-7MH22</t>
  </si>
  <si>
    <t>Акт 02.11.2024</t>
  </si>
  <si>
    <t>Малашкина Мария Алексеевна</t>
  </si>
  <si>
    <t>Malashkina Mariya</t>
  </si>
  <si>
    <t>100000002701</t>
  </si>
  <si>
    <t>RAN0CV11N49543G</t>
  </si>
  <si>
    <t>Акт 22.01.2024</t>
  </si>
  <si>
    <t xml:space="preserve">
Пак Надежда Евгеньевна</t>
  </si>
  <si>
    <t>Pak Nadezhda</t>
  </si>
  <si>
    <t>Техник по электрике автомобиля 1 категории</t>
  </si>
  <si>
    <t>140000063/Z000100</t>
  </si>
  <si>
    <t>S4FM3423</t>
  </si>
  <si>
    <t>Акт 03.08.2022
Акт 31.01.2025</t>
  </si>
  <si>
    <t>Соломенцева Людмила Николаевна</t>
  </si>
  <si>
    <t>Solomentseva Liudmila</t>
  </si>
  <si>
    <t>100000003341</t>
  </si>
  <si>
    <t>NXEGYER00H32008E343400</t>
  </si>
  <si>
    <t>Акт 13.03.2026</t>
  </si>
  <si>
    <t>Tyutina Maya</t>
  </si>
  <si>
    <t>Ведущий специалист по закупкам 1 категории</t>
  </si>
  <si>
    <t>10000001765</t>
  </si>
  <si>
    <t>MP1Z7VWG</t>
  </si>
  <si>
    <t>JGMGK-NFXVP-82D6G-C4YFT-4M7PT</t>
  </si>
  <si>
    <t>QWHN4-V647B-KFDW9-98BRJ-29XTT</t>
  </si>
  <si>
    <t>Акт 16.10.2025</t>
  </si>
  <si>
    <t>Тюнин Михаил Александрович</t>
  </si>
  <si>
    <t>Tyunin Mikhail</t>
  </si>
  <si>
    <t>Руководитель группы железнодорожного направления</t>
  </si>
  <si>
    <t>10000001784</t>
  </si>
  <si>
    <t>PF1SLEX5</t>
  </si>
  <si>
    <t>Акт 02.02.2026</t>
  </si>
  <si>
    <t>Кочетова Ольга Олеговна</t>
  </si>
  <si>
    <t xml:space="preserve">Kochetova Olga </t>
  </si>
  <si>
    <t>Координатор по обучению / Specialists in teaching methods</t>
  </si>
  <si>
    <t>140000043/Z000018</t>
  </si>
  <si>
    <t>PF0LC1PS</t>
  </si>
  <si>
    <t>82HN7-PYDRT-7FKJR-WYKK9-66PTC</t>
  </si>
  <si>
    <t>Акт 15.03.2022</t>
  </si>
  <si>
    <t>Барсукова Наталья Сергеевна</t>
  </si>
  <si>
    <t xml:space="preserve">Barsukova Natalia </t>
  </si>
  <si>
    <t>CH Q&amp;T, CH GA</t>
  </si>
  <si>
    <t>100000006737</t>
  </si>
  <si>
    <t>DQBRRCD00255101AAB6N02</t>
  </si>
  <si>
    <t>WJNCX-9XR4F-WT397-FRDKV-WK9CT</t>
  </si>
  <si>
    <t>Акт 26.06.2026</t>
  </si>
  <si>
    <t>Никитин Максим Сергеевич 5532</t>
  </si>
  <si>
    <t>Nikitin Maxim</t>
  </si>
  <si>
    <t>100000006131</t>
  </si>
  <si>
    <t>PW0LW3NL</t>
  </si>
  <si>
    <t>X8MMW-6NKRG-B3RV6-XVM74-GXX86</t>
  </si>
  <si>
    <t>Акт 19.06.2026</t>
  </si>
  <si>
    <t>Артамонов Сергей Михайлович 5533</t>
  </si>
  <si>
    <t>Artamonov Sergey</t>
  </si>
  <si>
    <t>100000006490</t>
  </si>
  <si>
    <t>PW0K0DYB</t>
  </si>
  <si>
    <t>QBQ4B-KJN9M-X3HW2-HWJVW-2GY6G</t>
  </si>
  <si>
    <t>Акт 14.08.2026</t>
  </si>
  <si>
    <t>Виноградов Денис Витальевич</t>
  </si>
  <si>
    <t>Vinogradov Denis</t>
  </si>
  <si>
    <t>100000006715</t>
  </si>
  <si>
    <t>PW0K0DBN</t>
  </si>
  <si>
    <t>HDQQM-NCFYY-MR2GY-FCKWX-2YVJ6</t>
  </si>
  <si>
    <t>Худякова Людмила Евгеньевна</t>
  </si>
  <si>
    <t xml:space="preserve">Модернизация не требуется/normal (no need to upgrade) (Заменил жесткий диск на ADATA) </t>
  </si>
  <si>
    <t>Khudyakova Lyudmila</t>
  </si>
  <si>
    <t xml:space="preserve">
Техник по металлическим деталям 1 категории</t>
  </si>
  <si>
    <t>00000010778</t>
  </si>
  <si>
    <t>R90QFQ0F</t>
  </si>
  <si>
    <t>KND3B-Q9BQJ-8YFYP-4MFV8-DGPKC</t>
  </si>
  <si>
    <t>Акт 22.05.2026</t>
  </si>
  <si>
    <t>Дуденков Денис Александрович</t>
  </si>
  <si>
    <t>Dudenkov Denis</t>
  </si>
  <si>
    <t>00000016135</t>
  </si>
  <si>
    <t>LR0AVC2G</t>
  </si>
  <si>
    <t>F9NWR-9QFTD-QVHMJ-9XFPT-683GP</t>
  </si>
  <si>
    <t>Акт 02.03.2026</t>
  </si>
  <si>
    <t>Амелин Максим Геннадьевич</t>
  </si>
  <si>
    <t>Amelin Maksim</t>
  </si>
  <si>
    <t>100000005422</t>
  </si>
  <si>
    <t>C2507N0002625</t>
  </si>
  <si>
    <t>NCV4X-PRBDC-WHQBV-8TRPM-8FJJ6</t>
  </si>
  <si>
    <t>HX6P3-DNVPJ-RRG3G-C9M6T-3V7CP</t>
  </si>
  <si>
    <t>Акт от 13.03.2026</t>
  </si>
  <si>
    <t>Ячменева Инна Романовна</t>
  </si>
  <si>
    <t>Yachmeneva Inna</t>
  </si>
  <si>
    <t>Ведущий бухгалтер по расчету заработной платы</t>
  </si>
  <si>
    <t>100000007079</t>
  </si>
  <si>
    <t>DQBRRCD00255101A466N02</t>
  </si>
  <si>
    <t>QGWNY-7K7W4-2D2R2-BKY3W-J8GPT</t>
  </si>
  <si>
    <t>Акт 22,07,2026</t>
  </si>
  <si>
    <t>Петрова Наталья Вячеславовна</t>
  </si>
  <si>
    <t>Petrova Natalia</t>
  </si>
  <si>
    <t>100000001620</t>
  </si>
  <si>
    <t>CND12505HR</t>
  </si>
  <si>
    <t>Пожидаева Марина Александровна</t>
  </si>
  <si>
    <t>Pozhidaeva Marina</t>
  </si>
  <si>
    <t>Laptop,mouse, monitor Xiaomi a24i SN: 54383/25010006012, клавиатура</t>
  </si>
  <si>
    <t>100000005380</t>
  </si>
  <si>
    <t>C2507N0002718</t>
  </si>
  <si>
    <t>YMG6N-3R9TD-2VQ8B-X7PBP-27J6C</t>
  </si>
  <si>
    <t>Шуйцева Александра Станиславовна</t>
  </si>
  <si>
    <t>Shuitseva Aleksandra</t>
  </si>
  <si>
    <t>Laptop,mouse,bag+Monitor Lenovo D24-20</t>
  </si>
  <si>
    <t>100000001662</t>
  </si>
  <si>
    <t>8C51JK3</t>
  </si>
  <si>
    <t>Акт 12.12.2023</t>
  </si>
  <si>
    <t>Сапрыкина Елена Николаевна</t>
  </si>
  <si>
    <t>Sapryikina Elena</t>
  </si>
  <si>
    <t>AiO, mouse, keyboard, WI-FI adapter</t>
  </si>
  <si>
    <t>140000166/Z000083</t>
  </si>
  <si>
    <t>S4FM3422</t>
  </si>
  <si>
    <t>Акт 11.12.2024</t>
  </si>
  <si>
    <t>Дякина Яна Николаевна</t>
  </si>
  <si>
    <t>была модернизация 10.10.2025 / upgraded (SSD 500)  8 ram</t>
  </si>
  <si>
    <t>Dyakina Yana</t>
  </si>
  <si>
    <t>140000142/Z000086</t>
  </si>
  <si>
    <t>S4FM3324</t>
  </si>
  <si>
    <t>K67GK-VVNCX-H32KW-742GX-P3722</t>
  </si>
  <si>
    <t>Сливкина Майя Михайловна</t>
  </si>
  <si>
    <t>Slivkina Maya</t>
  </si>
  <si>
    <t>100000005413</t>
  </si>
  <si>
    <t>C2507N0003134</t>
  </si>
  <si>
    <t>Microsoft Office профессиональный плюс 2019 + Access</t>
  </si>
  <si>
    <t>3KTWB-DNMH3-9GTYY-KFYRM-92GTG</t>
  </si>
  <si>
    <t>WJ9NT-RPCTY-7798W-4WC4M-K77CP</t>
  </si>
  <si>
    <t>Акт от 26.03.2026</t>
  </si>
  <si>
    <t>Захаров Владислав Александрович</t>
  </si>
  <si>
    <t>Zakharov Vladislav</t>
  </si>
  <si>
    <t>100000001629</t>
  </si>
  <si>
    <t>PF2VTSPL</t>
  </si>
  <si>
    <t>Акт 27.12.2021</t>
  </si>
  <si>
    <t>Просалова Ольга Георгиевна</t>
  </si>
  <si>
    <t>Была модернизация 11.10.2024 ОЗУ 8гб ССД 256</t>
  </si>
  <si>
    <t>Prosalova Olga</t>
  </si>
  <si>
    <t>Специалист по работе с рекламациями</t>
  </si>
  <si>
    <t>00000010769</t>
  </si>
  <si>
    <t>R90QFPZF</t>
  </si>
  <si>
    <t>FTNT4-F94K6-X2GXG-GH4CX-H6DGP</t>
  </si>
  <si>
    <t>Акт 28.07.2023</t>
  </si>
  <si>
    <t>Погодина Лия Руслановна</t>
  </si>
  <si>
    <t>была модернизация 17.04.2025/upgraded (+8ram total 12ram</t>
  </si>
  <si>
    <t>Pogodina Liya</t>
  </si>
  <si>
    <t>00000019367(1)</t>
  </si>
  <si>
    <t>R90T948H</t>
  </si>
  <si>
    <t>Акт 19.02.2026</t>
  </si>
  <si>
    <t>Калашникова Олеся Александровна 6183</t>
  </si>
  <si>
    <t>Kalashnikova Olesya</t>
  </si>
  <si>
    <t>100000003624</t>
  </si>
  <si>
    <t>F2715NBP35060821504</t>
  </si>
  <si>
    <t>Михайлов Александр Вадимович</t>
  </si>
  <si>
    <t>Mikhailov Alexander</t>
  </si>
  <si>
    <t>Главный механик</t>
  </si>
  <si>
    <t>100000005385</t>
  </si>
  <si>
    <t>C2509N0008338</t>
  </si>
  <si>
    <t>BXD3V-4N32Q-QPPXD-3F7Y6-FVV82</t>
  </si>
  <si>
    <t>Шароглазов Павел Вячеславович</t>
  </si>
  <si>
    <t>Sharoglazov Pavel</t>
  </si>
  <si>
    <t>Руководитель группы закупок</t>
  </si>
  <si>
    <t>100000003353</t>
  </si>
  <si>
    <t>NXEGYER00H320088DA3400</t>
  </si>
  <si>
    <t>H3896-MNJHB-R2H6F-4VVFC-7CGTG</t>
  </si>
  <si>
    <t>Акт 02.07.2026</t>
  </si>
  <si>
    <t>Комбарова Юлия Николаевна</t>
  </si>
  <si>
    <t>Kombarova Yuilia</t>
  </si>
  <si>
    <t>Офис-ассистент аутстафф</t>
  </si>
  <si>
    <t>150000007/Z000011</t>
  </si>
  <si>
    <t>PF0LC1R1</t>
  </si>
  <si>
    <t>YFGNM-FC7KX-BM7HK-CQMWY-FGDPP</t>
  </si>
  <si>
    <t>Шаталова Мария Сергеевна 6315</t>
  </si>
  <si>
    <t>Shatalova Maria</t>
  </si>
  <si>
    <t>100000006504</t>
  </si>
  <si>
    <t>PW0K0DQ4</t>
  </si>
  <si>
    <t>JX3ND-FCVWT-TKJ62-K87YY-RC22T</t>
  </si>
  <si>
    <t>Акт 17.07.2026</t>
  </si>
  <si>
    <t>Глебова Юлия Александровна 6318</t>
  </si>
  <si>
    <t>glebova julia</t>
  </si>
  <si>
    <t>100000002680</t>
  </si>
  <si>
    <t>NXEGYER00H320084F93400</t>
  </si>
  <si>
    <t>WN6FR-HRB92-G6C7F-V6Q9K-P38GG</t>
  </si>
  <si>
    <t>Акт 09.06.2026</t>
  </si>
  <si>
    <t>Власова (была Панкова) Анастасия Сергеевна</t>
  </si>
  <si>
    <t>Модернизация не требуется/normal (no need to upgrade) 8gb ОЗУ ssd Micron MTFDDAK256TDL</t>
  </si>
  <si>
    <t>Pankova Anastasia</t>
  </si>
  <si>
    <t>Ведущий специалист по административной работе</t>
  </si>
  <si>
    <t>ES, ES GA</t>
  </si>
  <si>
    <t>10000001798</t>
  </si>
  <si>
    <t>PF1AMKHB</t>
  </si>
  <si>
    <t>Акт 15.07.2024</t>
  </si>
  <si>
    <t>Векшина Анастасия Алексеевна</t>
  </si>
  <si>
    <t>Vekshina Anastasia</t>
  </si>
  <si>
    <t>NOBO, NOBO PP</t>
  </si>
  <si>
    <t>PW0K0D9Z</t>
  </si>
  <si>
    <t>DGN88-FQVMJ-GQB76-R29JP-VFTPT</t>
  </si>
  <si>
    <t>Бабкин Евгений Сергеевич</t>
  </si>
  <si>
    <t>Babkin Evgeny</t>
  </si>
  <si>
    <t>100000004864</t>
  </si>
  <si>
    <t>UN31ZSI04F533023110700</t>
  </si>
  <si>
    <t>Летунов А./ Климанов А.</t>
  </si>
  <si>
    <t>Акт 19.12.2025/ 26.02.2026</t>
  </si>
  <si>
    <t>Пишикина Алина Андреевна</t>
  </si>
  <si>
    <t>Pishikina Alina</t>
  </si>
  <si>
    <t>10000001764</t>
  </si>
  <si>
    <t>MP1Z7VX4</t>
  </si>
  <si>
    <t>VMKC4-TPNB7-JBXQX-2JBYB-X4VPT</t>
  </si>
  <si>
    <t>Акт 20.11.2024</t>
  </si>
  <si>
    <t>Кочеткова Мария Валерьевна</t>
  </si>
  <si>
    <t>Maria Kochetkova</t>
  </si>
  <si>
    <t>00000022303(10)</t>
  </si>
  <si>
    <t>PF144RWX</t>
  </si>
  <si>
    <t>Одинцов Илья Алексеевич 6504</t>
  </si>
  <si>
    <t>Odintsov Ilya</t>
  </si>
  <si>
    <t>Техник по качеству 4 категории</t>
  </si>
  <si>
    <t>100000006413</t>
  </si>
  <si>
    <t>PW0K0DV6</t>
  </si>
  <si>
    <t>HRPF9-NW9YQ-KVY97-9Y42Q-3PFTG</t>
  </si>
  <si>
    <t>Акт  26.05.2026</t>
  </si>
  <si>
    <t>Некрасов Артём Сергеевич 6514</t>
  </si>
  <si>
    <t>Nekrasov Artem</t>
  </si>
  <si>
    <t>Специлист по технологической оценке тех процессов</t>
  </si>
  <si>
    <t>14000140/Z000049</t>
  </si>
  <si>
    <t>PF11AA1G</t>
  </si>
  <si>
    <t>Акт 21.09.2026</t>
  </si>
  <si>
    <t>Данилкин Дмитрий Олегович</t>
  </si>
  <si>
    <t>Danilkin Dmitry</t>
  </si>
  <si>
    <t>00000019366(17)</t>
  </si>
  <si>
    <t>R90T947X</t>
  </si>
  <si>
    <t>FMPR2-PQNCQ-GWJXT-WRQHW-2GV4C</t>
  </si>
  <si>
    <t>Акт 02.04.2025</t>
  </si>
  <si>
    <t>Данилкина (Толстикова) Татьяна Николаевна</t>
  </si>
  <si>
    <t>Tolstikova Tatiana</t>
  </si>
  <si>
    <t>Младший аудитор кузова автомобиля</t>
  </si>
  <si>
    <t>100000003377</t>
  </si>
  <si>
    <t>F2715NBP35080821426</t>
  </si>
  <si>
    <t>FCTX6-GNBDV-TGFG4-X7W9C-DDBP2</t>
  </si>
  <si>
    <t>Соловьев Денис Юрьевич</t>
  </si>
  <si>
    <t>Solovyov Denis</t>
  </si>
  <si>
    <t>Специалист по качеству / Quality specialist</t>
  </si>
  <si>
    <t>100000003638</t>
  </si>
  <si>
    <t>F2715NBP35060820719</t>
  </si>
  <si>
    <t>TFJPT-XNPQC-7RKQR-8JPKY-R6YP2</t>
  </si>
  <si>
    <t>Акт 23.11.2024 Соловьев Д.</t>
  </si>
  <si>
    <t>Городничева Евгения Александровна</t>
  </si>
  <si>
    <t>Gorodnicheva Evgenia</t>
  </si>
  <si>
    <t>100000006729</t>
  </si>
  <si>
    <t>DQBRRCD00255101A5A6N02</t>
  </si>
  <si>
    <t>NKD7R-K7RF6-XPQJV-4HHCP-KW3W6</t>
  </si>
  <si>
    <t xml:space="preserve">Беленко Наталия Ивановна </t>
  </si>
  <si>
    <t>Belenko Natalia</t>
  </si>
  <si>
    <t>100000001661</t>
  </si>
  <si>
    <t>FF50JK3</t>
  </si>
  <si>
    <t>SoftMaker FreeOffice 2021/2019 for home and business</t>
  </si>
  <si>
    <t>БЕЗ НДС 81250,00
с НДС 97500</t>
  </si>
  <si>
    <t>Пономаренко Мария Владимировна</t>
  </si>
  <si>
    <t>Ponomarenko Mariya</t>
  </si>
  <si>
    <t>00000010780</t>
  </si>
  <si>
    <t>R90QFPY9</t>
  </si>
  <si>
    <t>Акт 26.12.2025</t>
  </si>
  <si>
    <t>Томилина Нина Ивановна</t>
  </si>
  <si>
    <t>Tomilina Nina</t>
  </si>
  <si>
    <t>14000152/Z000044</t>
  </si>
  <si>
    <t>PF12TW4F</t>
  </si>
  <si>
    <t>Целковская Олеся Олеговна</t>
  </si>
  <si>
    <t>Tselkovskaya Olesya</t>
  </si>
  <si>
    <t>Специалист бюро пропусков</t>
  </si>
  <si>
    <t>100000004357</t>
  </si>
  <si>
    <t>2408A22H124i5M2165R00489</t>
  </si>
  <si>
    <t>NRDV9-XP6PM-68DJ9-QCRQ9-M98XC</t>
  </si>
  <si>
    <t>Зиновьев Павел Александрович</t>
  </si>
  <si>
    <t>Zinoviev Pavel</t>
  </si>
  <si>
    <t>100000005191</t>
  </si>
  <si>
    <t>C2507N0003097</t>
  </si>
  <si>
    <t>NHKMY-3F92F-DRT68-29YWV-7QWXC</t>
  </si>
  <si>
    <t>Акт 20.12.2025</t>
  </si>
  <si>
    <t>Баукин Иван Валерьевич</t>
  </si>
  <si>
    <t>Baukin Ivan</t>
  </si>
  <si>
    <t>100000006499</t>
  </si>
  <si>
    <t>PW0K0DXR</t>
  </si>
  <si>
    <t>F896V-CPNJT-MQXYY-JQF8W-J8GPT</t>
  </si>
  <si>
    <t>Акт 13.05.2026</t>
  </si>
  <si>
    <t>Мельникова Ирина Евгеньевна</t>
  </si>
  <si>
    <r>
      <rPr>
        <sz val="12"/>
        <color rgb="FF006100"/>
        <rFont val="Times New Roman"/>
        <family val="1"/>
        <charset val="204"/>
      </rPr>
      <t>Модернизация не требуется/normal (no need to upgrade)(</t>
    </r>
    <r>
      <rPr>
        <sz val="12"/>
        <color rgb="FFFF0000"/>
        <rFont val="Times New Roman"/>
        <family val="1"/>
        <charset val="204"/>
      </rPr>
      <t>Отказ от замены из за офиса</t>
    </r>
    <r>
      <rPr>
        <sz val="12"/>
        <color rgb="FF006100"/>
        <rFont val="Times New Roman"/>
        <family val="1"/>
        <charset val="204"/>
      </rPr>
      <t>)</t>
    </r>
  </si>
  <si>
    <t>Cпециалист SAP</t>
  </si>
  <si>
    <t>10000001792</t>
  </si>
  <si>
    <t>PF1SKTQD</t>
  </si>
  <si>
    <t>Акт 28.06.2024</t>
  </si>
  <si>
    <t>Кузина Марина Валерьевна</t>
  </si>
  <si>
    <t>Kuzina Marina</t>
  </si>
  <si>
    <t>100000005402</t>
  </si>
  <si>
    <t>C2507N0002619</t>
  </si>
  <si>
    <t>Professional Plus 2020</t>
  </si>
  <si>
    <t>Линяева Полина Дмитриевна</t>
  </si>
  <si>
    <t>Linyaeva Polina</t>
  </si>
  <si>
    <t>Диспетчер производства</t>
  </si>
  <si>
    <t>100000007009</t>
  </si>
  <si>
    <t>DQBRRCD00255101A706N02</t>
  </si>
  <si>
    <t>CGNM9-7B2TY-B6244-YFDJT-Y99CT</t>
  </si>
  <si>
    <t>Соляникова Анна Сергеевна</t>
  </si>
  <si>
    <t>Solyanikova Anna</t>
  </si>
  <si>
    <t>100000006414</t>
  </si>
  <si>
    <t>PW0K0DT1</t>
  </si>
  <si>
    <t>X7PFH-NK8MY-M48QW-CR7DH-2R4TG</t>
  </si>
  <si>
    <t xml:space="preserve">Зюзгина Виктория Алексеевна </t>
  </si>
  <si>
    <t>Zyuzgina Victoria</t>
  </si>
  <si>
    <t>CH, CH PLD, CH PO</t>
  </si>
  <si>
    <t>100000006152</t>
  </si>
  <si>
    <t>PW0LW3V6</t>
  </si>
  <si>
    <t>N3QGM-GGHTR-83CMG-DYQF3-RJRTG</t>
  </si>
  <si>
    <t>Голубятников Сергей Валерьевич</t>
  </si>
  <si>
    <t>Golubyatnikov Sergey</t>
  </si>
  <si>
    <t>Ведущий специалист по технологической оценке производственных процессов</t>
  </si>
  <si>
    <t>100000006713</t>
  </si>
  <si>
    <t>PW0K0D8C</t>
  </si>
  <si>
    <t>K6QXN-H3DXH-7GYGQ-FQCPX-XKX86</t>
  </si>
  <si>
    <t>Акт 17.06.2026</t>
  </si>
  <si>
    <t>Вахрушина Кристина Сергеевна</t>
  </si>
  <si>
    <t>Vakhrushina Kristina</t>
  </si>
  <si>
    <t>100000003625</t>
  </si>
  <si>
    <t>F2715NBP35060821892</t>
  </si>
  <si>
    <t>акт 12.11.2024</t>
  </si>
  <si>
    <t>Матвейкина Инна Николаевна</t>
  </si>
  <si>
    <t>Matveykina Inna</t>
  </si>
  <si>
    <t>150000012/Z000009</t>
  </si>
  <si>
    <t>P901FSR6</t>
  </si>
  <si>
    <t>RNWPD-WT26V-WGKQM-VK44V-94TGC</t>
  </si>
  <si>
    <t>Акт 23.01.2025</t>
  </si>
  <si>
    <t>Пацина Диана Геннадьевна</t>
  </si>
  <si>
    <t>Patsyna Diana</t>
  </si>
  <si>
    <t>100000002706</t>
  </si>
  <si>
    <t>PF4EP7BQ</t>
  </si>
  <si>
    <t>Акт 15.01.2024</t>
  </si>
  <si>
    <t>Ильина Анна Игоревна</t>
  </si>
  <si>
    <t>Ilina Anna</t>
  </si>
  <si>
    <t>100000004359</t>
  </si>
  <si>
    <t>2408A22H124i5M2165R00478</t>
  </si>
  <si>
    <t>2019 for home and business/ Активирован massgravel/
Microsoft-Activation-Scripts</t>
  </si>
  <si>
    <t>GXQNH-QK8JW-WGWJF-YT6PD-2WF9C</t>
  </si>
  <si>
    <t>Акт 10.07.2025</t>
  </si>
  <si>
    <t>Воркунов Андрей Александрович</t>
  </si>
  <si>
    <t>Vorkunov Andrey</t>
  </si>
  <si>
    <t>00000022303(8)</t>
  </si>
  <si>
    <t>PF14SUQE</t>
  </si>
  <si>
    <t>NF6JK-H9R6P-GGM2Y-DB6BP-27JXC</t>
  </si>
  <si>
    <t xml:space="preserve">Кудрявцев Д. </t>
  </si>
  <si>
    <t>Акт 23.09.2025</t>
  </si>
  <si>
    <t>Асофьев Алексей Сергеевич</t>
  </si>
  <si>
    <t>Asofiev Alexey</t>
  </si>
  <si>
    <t>140000143/Z000089</t>
  </si>
  <si>
    <t>PC0QUZC3</t>
  </si>
  <si>
    <t>Акт 21.05.2026</t>
  </si>
  <si>
    <t>Дорохин Алексей Николаевич</t>
  </si>
  <si>
    <t>Dorokhin Aleksey</t>
  </si>
  <si>
    <t>100000003626</t>
  </si>
  <si>
    <t>F2715NBP35060820746</t>
  </si>
  <si>
    <t>Only office</t>
  </si>
  <si>
    <t>Акт 06.02.2026</t>
  </si>
  <si>
    <t>Цыплакова Евгения Алексеевна</t>
  </si>
  <si>
    <t>Tsyplakova Evgenya</t>
  </si>
  <si>
    <t>Специалист по бережливому производству и затратам</t>
  </si>
  <si>
    <t>OMD, OM</t>
  </si>
  <si>
    <t>00000019366(6)</t>
  </si>
  <si>
    <t>R90T947E</t>
  </si>
  <si>
    <t>CNR78-2WMB8-HT4T2-W72Y4-3DBP2</t>
  </si>
  <si>
    <t>Акт 29.03.2024</t>
  </si>
  <si>
    <t>Филиппова Анастасия Сергеевна</t>
  </si>
  <si>
    <t>Filippova Anastasia</t>
  </si>
  <si>
    <t>100000006537</t>
  </si>
  <si>
    <t>PW0K0DS4</t>
  </si>
  <si>
    <t>B4N4G-JBWKB-X8XJ8-J2W3Y-TXX86</t>
  </si>
  <si>
    <t>Басовская (была Степурко) Вероника Дмитриевна</t>
  </si>
  <si>
    <t>Basovskaya (Stepyrko) Veronika</t>
  </si>
  <si>
    <t>100000001692</t>
  </si>
  <si>
    <t>3K4HDF2</t>
  </si>
  <si>
    <t>JPRNC-HT7Q8-YCT7J-Y6BP8-MTDFC</t>
  </si>
  <si>
    <t>Акт 30.11.2023</t>
  </si>
  <si>
    <t>Никулина Татьяна Александровна</t>
  </si>
  <si>
    <t>Nikulina Tatiana</t>
  </si>
  <si>
    <t>Ведущий экономист</t>
  </si>
  <si>
    <t>100000005180</t>
  </si>
  <si>
    <t>C2507N0002552</t>
  </si>
  <si>
    <t>GY7TQ-NBJ3V-3JFHR-WQ294-PPQPP</t>
  </si>
  <si>
    <t>Без НДС 59 160р
с НДС 70 992,00 ₽</t>
  </si>
  <si>
    <t>Подъемов Сергей Юрьевич</t>
  </si>
  <si>
    <t>Podyomov Sergey</t>
  </si>
  <si>
    <t>Руководитель группы теплогазоснабжения и вентиляции, технологическихкоммуникаций и кондиционирования</t>
  </si>
  <si>
    <t>100000004740</t>
  </si>
  <si>
    <t>NXKN3CD001452029283400</t>
  </si>
  <si>
    <t>HBTYH-N3GRQ-D4X32-MJ96G-C9X86</t>
  </si>
  <si>
    <t>Акт 30.10.2025</t>
  </si>
  <si>
    <t>Алёшина Наталия Игоревна</t>
  </si>
  <si>
    <t>Aleshina Natalia</t>
  </si>
  <si>
    <t>100000004258</t>
  </si>
  <si>
    <t>2408A22H124i5M2165R00108</t>
  </si>
  <si>
    <t>GJBBF-7QNJ3-X83M3-Q7Y8M-7MKGG</t>
  </si>
  <si>
    <t>P48YP-77NR9-3FHTG-4Y9BC-KW3GP</t>
  </si>
  <si>
    <t>Акт 27.03.2025</t>
  </si>
  <si>
    <t>Ражев Владимир Владимирович</t>
  </si>
  <si>
    <t>Razhev Vladimir</t>
  </si>
  <si>
    <t>100000004247</t>
  </si>
  <si>
    <t>F2715NBP35060820779</t>
  </si>
  <si>
    <t>Акт 09.01.2025</t>
  </si>
  <si>
    <t>Качановская Инна Анатольевна</t>
  </si>
  <si>
    <t>kachanovskaya inna</t>
  </si>
  <si>
    <t>100000001680</t>
  </si>
  <si>
    <t>G3RHDF2</t>
  </si>
  <si>
    <t>N93P3-6T42P-9KXHG-F4Q76-722H2</t>
  </si>
  <si>
    <t>Акт 21.01.2026</t>
  </si>
  <si>
    <t>Швырева Анжелика Юрьевна</t>
  </si>
  <si>
    <t>Shvyreva Anzhelika</t>
  </si>
  <si>
    <t>AIO Acer Aspire C24-1800</t>
  </si>
  <si>
    <t>100000003393</t>
  </si>
  <si>
    <t>DQBKMCD002336012D53000</t>
  </si>
  <si>
    <t>Акт 23.08.2024</t>
  </si>
  <si>
    <t>Несмеянова Виктория Руслановна</t>
  </si>
  <si>
    <t>Nemeyanova Victoria</t>
  </si>
  <si>
    <t>100000003392</t>
  </si>
  <si>
    <t>DQBKMCD002336012D83000</t>
  </si>
  <si>
    <t>MS Office 2019 plus</t>
  </si>
  <si>
    <t>Тырин Сергей Валентинович</t>
  </si>
  <si>
    <t>Tyrin Sergey</t>
  </si>
  <si>
    <t>Laptop,mouse,bag+monitor Xiaomi A24i (54383/250100058485)</t>
  </si>
  <si>
    <t>100000005193</t>
  </si>
  <si>
    <t>C2507N0003088</t>
  </si>
  <si>
    <t>7NVBX-JWXP9-7HRV7-YPKXK-BKMW2</t>
  </si>
  <si>
    <t>Савельев Михаил Викторович</t>
  </si>
  <si>
    <t>Savelyev Mikhail</t>
  </si>
  <si>
    <t>Ведущий юрист</t>
  </si>
  <si>
    <t>100000006125</t>
  </si>
  <si>
    <t>PW0LW3T3</t>
  </si>
  <si>
    <t>NP9XR-J3P6D-GHWJC-K8MQ3-TCQW6</t>
  </si>
  <si>
    <t>Тихонова Анастасия Викторовна</t>
  </si>
  <si>
    <t>Laptop,mouse + monitor Xiaomi (54383/250100025451)</t>
  </si>
  <si>
    <t>100000005420</t>
  </si>
  <si>
    <t>C2507N0002754</t>
  </si>
  <si>
    <t>Без НДС 59 160р
с НДС 70 992,00 ₽ + Монитор 23.8" Xiaomi A24i (1920x1080 (16:9), 6 мс, 100  Гц, 250 кд/м2) чёрный (6 470,00)</t>
  </si>
  <si>
    <t>Стадник Андрей Вячеславович</t>
  </si>
  <si>
    <t>Stadnik Andrey</t>
  </si>
  <si>
    <t>100000006137</t>
  </si>
  <si>
    <t>PW0LW3VH</t>
  </si>
  <si>
    <t>WQVN2-GPQPK-T343T-3FCDH-94TPT</t>
  </si>
  <si>
    <t>Осипов Николай Игоревич</t>
  </si>
  <si>
    <t>Osipov Nikolay</t>
  </si>
  <si>
    <t>Инженер-технолог 2 категории</t>
  </si>
  <si>
    <t>00000011581</t>
  </si>
  <si>
    <t>LR08MD5W</t>
  </si>
  <si>
    <t>832RN-J8QTG-KJHX3-PWVF7-R9CKC</t>
  </si>
  <si>
    <t>Акт 24.10.2025</t>
  </si>
  <si>
    <t>Сумцова Маргарита Павловна</t>
  </si>
  <si>
    <t>Sumtsova Margarita</t>
  </si>
  <si>
    <t>Ведущий инженер по пожарной безопасности и гражданской обороне</t>
  </si>
  <si>
    <t>140000149/Z000065</t>
  </si>
  <si>
    <t>S4FM3442</t>
  </si>
  <si>
    <t>N4K73-2KCHF-M897C-YCYR2-P9XTP</t>
  </si>
  <si>
    <t>Акт 16.01.2024</t>
  </si>
  <si>
    <t>Алексеев Григорий Сергеевич</t>
  </si>
  <si>
    <t>Alekseev Grigoriy</t>
  </si>
  <si>
    <t>00000022303(4)</t>
  </si>
  <si>
    <t>PF14T173</t>
  </si>
  <si>
    <t>3GJNF-C6BMY-HX923-DTRWR-8B472</t>
  </si>
  <si>
    <t>Акт 27.02.2024</t>
  </si>
  <si>
    <t>Харин Роман Сергеевич</t>
  </si>
  <si>
    <t>Harin Roman</t>
  </si>
  <si>
    <t>NXEGYER00H32008A053400</t>
  </si>
  <si>
    <t>QFV4G-HQHJ6-RTJMH-2T7DG-VCFTG</t>
  </si>
  <si>
    <t>Терехов Данила Константинович</t>
  </si>
  <si>
    <t>Terekhov Danil</t>
  </si>
  <si>
    <t>100000001614</t>
  </si>
  <si>
    <t>CND12506DT</t>
  </si>
  <si>
    <t>3T8NX-TRVJ9-4P9HP-D99BF-BY7PT</t>
  </si>
  <si>
    <t>Акт 09.04.2024</t>
  </si>
  <si>
    <t>Книжник Александр Александрович</t>
  </si>
  <si>
    <t>Knizhnik Aleksandr</t>
  </si>
  <si>
    <t>Инженер-механик 4 категории</t>
  </si>
  <si>
    <t>100000003349</t>
  </si>
  <si>
    <t>NXEGYER00H3200875A3400</t>
  </si>
  <si>
    <t>Акт 17.04.2024</t>
  </si>
  <si>
    <t>Гритчин Роман Дмитриевич</t>
  </si>
  <si>
    <t>Gritchin Roman</t>
  </si>
  <si>
    <t>100000003350</t>
  </si>
  <si>
    <t>NXEGYER00H3200880B3400</t>
  </si>
  <si>
    <t>Admin??</t>
  </si>
  <si>
    <t>Акт 13.04.2024</t>
  </si>
  <si>
    <t>Петрищев Василий Викторович</t>
  </si>
  <si>
    <t>Petrishchev Vasily</t>
  </si>
  <si>
    <t>Инженер-технолог 1 категории / Мастер 1 категории</t>
  </si>
  <si>
    <t>100000003351</t>
  </si>
  <si>
    <t>NXEGYER00H32008ABE3400</t>
  </si>
  <si>
    <t>BJM3P-4YN89-Q43D8-7DPJF-MWRTG</t>
  </si>
  <si>
    <t>Акт 31.05.2024</t>
  </si>
  <si>
    <t>Абалмасова София Васильевна</t>
  </si>
  <si>
    <t>Модернизация не требуется/normal (no need to upgrade)
Пришёл взамен сломанному по гарантии!</t>
  </si>
  <si>
    <t>Abalmasova Sofia</t>
  </si>
  <si>
    <t>?</t>
  </si>
  <si>
    <t>F2715NBP3508_G20840902</t>
  </si>
  <si>
    <t>NTR9V-VFB27-GHXKR-C3MYV-B7V22</t>
  </si>
  <si>
    <t>Акт 03.12.2024</t>
  </si>
  <si>
    <t>Габедава Звиад Фридонович</t>
  </si>
  <si>
    <t>Gabedava Zviad</t>
  </si>
  <si>
    <t>Специалист по видеонаблюдению</t>
  </si>
  <si>
    <t>WorkStation, Monitor Xiaomi Mi 1C 23,8" (S/N: 50162/113D00044415), mouse, keyboard</t>
  </si>
  <si>
    <t>системник регард (80000003363)</t>
  </si>
  <si>
    <t>10000003809</t>
  </si>
  <si>
    <t>806023CF</t>
  </si>
  <si>
    <t>WMMW4-NVHP8-KW6MB-TPFP8-29XTP</t>
  </si>
  <si>
    <t>Перетертова Александра Руслановна</t>
  </si>
  <si>
    <t>Модернизация не требуется/normal (no need to upgrade) устстановлен SSD 512gb</t>
  </si>
  <si>
    <t>Peretertova Aleksandra</t>
  </si>
  <si>
    <t>140000165/Z000082</t>
  </si>
  <si>
    <t>S4FM3409</t>
  </si>
  <si>
    <t>Акт 29.05.2025</t>
  </si>
  <si>
    <t>Антипов Александр Сергеевич</t>
  </si>
  <si>
    <t>Antipov Aleksandr</t>
  </si>
  <si>
    <t>Инженер-электрик</t>
  </si>
  <si>
    <t>100000003354</t>
  </si>
  <si>
    <t>NXEGYER00H32008D983400</t>
  </si>
  <si>
    <t>Акт 27.04.2024</t>
  </si>
  <si>
    <t>Маслов Денис Владимирович</t>
  </si>
  <si>
    <t>Maslov Denis</t>
  </si>
  <si>
    <t>100000006524</t>
  </si>
  <si>
    <t>PW0K0DJ9</t>
  </si>
  <si>
    <t>MWNJR-WQH38-M43FK-XFDK8-4VWGG</t>
  </si>
  <si>
    <t>Акт 16.04.2026</t>
  </si>
  <si>
    <t>Маркова Виктория Александровна</t>
  </si>
  <si>
    <t>Markova Victoria</t>
  </si>
  <si>
    <t>Ведущий специалист по закупкам 2 категории</t>
  </si>
  <si>
    <t>100000003369</t>
  </si>
  <si>
    <t>NXEGYER00H32008D323400</t>
  </si>
  <si>
    <t>6HR2P-NR9K3-69WT8-7BKPW-9TQ2T</t>
  </si>
  <si>
    <t>PHGDF-BNXJW-JDYYJ-HWVK3-RJRTG</t>
  </si>
  <si>
    <t>Акт 25.06.2024</t>
  </si>
  <si>
    <t>Волкова Анастасия Александровна</t>
  </si>
  <si>
    <t>Volkova Anastasia</t>
  </si>
  <si>
    <t>Сметчик</t>
  </si>
  <si>
    <t>100000003355</t>
  </si>
  <si>
    <t>NXEGYER00H32008D583400</t>
  </si>
  <si>
    <t>Тарасова Наталья Геннадьевна</t>
  </si>
  <si>
    <t>Tarasova Natalia</t>
  </si>
  <si>
    <t>Ведущий специалист по работе с аутстафф компаниями</t>
  </si>
  <si>
    <t>10000001766</t>
  </si>
  <si>
    <t>MP1Z7SQ3</t>
  </si>
  <si>
    <t>Николаенко Анна Владимировна</t>
  </si>
  <si>
    <t>Nikolaenko Anna</t>
  </si>
  <si>
    <t>Специалист по тендерам</t>
  </si>
  <si>
    <t>GD, TG</t>
  </si>
  <si>
    <t>100000002709</t>
  </si>
  <si>
    <t>PF4EN2AM</t>
  </si>
  <si>
    <t>Акт 07.03.2024</t>
  </si>
  <si>
    <t>Радов Владимир Сергеевич</t>
  </si>
  <si>
    <t>Radov Vladimir</t>
  </si>
  <si>
    <t>Ведущий Серверный системный инженер</t>
  </si>
  <si>
    <t>100000003386</t>
  </si>
  <si>
    <t>MP2HBY4T</t>
  </si>
  <si>
    <t>Акт 22.04.2024</t>
  </si>
  <si>
    <t>БЕЗ НДС  87764,50</t>
  </si>
  <si>
    <t>Титов Роман Олегович</t>
  </si>
  <si>
    <t>Titov Roman</t>
  </si>
  <si>
    <t>Техник по ходовой части автомобиля 4 категории</t>
  </si>
  <si>
    <t>100000003376</t>
  </si>
  <si>
    <t>F2715NBP35080821460</t>
  </si>
  <si>
    <t>HGGYN-B998B-D6BQX-GJ3HD-WQKTP</t>
  </si>
  <si>
    <t>Киселева Елизавета Михайловна</t>
  </si>
  <si>
    <t>kiselyova elizaveta</t>
  </si>
  <si>
    <t>100000002681</t>
  </si>
  <si>
    <t>NXEGYER00H32008DB63400</t>
  </si>
  <si>
    <t>Корнилов Иван Владимирович</t>
  </si>
  <si>
    <t>Kornilov Ivan</t>
  </si>
  <si>
    <t>100000003358</t>
  </si>
  <si>
    <t>NXEGYER00H320086653400</t>
  </si>
  <si>
    <t>Акт 12.04.2024</t>
  </si>
  <si>
    <t>Клочков Дмитрий Евгеньевич</t>
  </si>
  <si>
    <t>Klochkov Dmitry</t>
  </si>
  <si>
    <t>Инженер-электроник 3 категории</t>
  </si>
  <si>
    <t>100000003361</t>
  </si>
  <si>
    <t>NXEGYER00H32008ABB3400</t>
  </si>
  <si>
    <t>Акт 11.04.2024</t>
  </si>
  <si>
    <t>Качанова Анна Александровна</t>
  </si>
  <si>
    <t>Kachanova Anna</t>
  </si>
  <si>
    <t>Бизнес-ассистент</t>
  </si>
  <si>
    <t>GD</t>
  </si>
  <si>
    <t>100000006417</t>
  </si>
  <si>
    <t>PW0K0DAN</t>
  </si>
  <si>
    <t>MVY8N-HK8MB-88VJQ-DW33P-YKM6G</t>
  </si>
  <si>
    <t>Комогорцева Ирина</t>
  </si>
  <si>
    <t>Komogortseva Irina</t>
  </si>
  <si>
    <t>Ведущий специалист по электронному обучению</t>
  </si>
  <si>
    <t>HRD, CCTD, CCG</t>
  </si>
  <si>
    <t>Laptop,mouse+ Monitor MSI 27</t>
  </si>
  <si>
    <t>100000003363</t>
  </si>
  <si>
    <t>NXEGYER00H320086283400</t>
  </si>
  <si>
    <t>Акт 10.04.2024</t>
  </si>
  <si>
    <t>Блок Владислав Александрович</t>
  </si>
  <si>
    <t>Blok Vladislav</t>
  </si>
  <si>
    <t>100000001611</t>
  </si>
  <si>
    <t>CND125065M</t>
  </si>
  <si>
    <t>Кораблин Павел</t>
  </si>
  <si>
    <t>Korablin Pavel</t>
  </si>
  <si>
    <t>100000001655</t>
  </si>
  <si>
    <t>B2JZHK3</t>
  </si>
  <si>
    <t>Акт 16.04.2024</t>
  </si>
  <si>
    <t>Баканов Михаил Васильевич</t>
  </si>
  <si>
    <t>Bakanov Mikhail</t>
  </si>
  <si>
    <t>100000003582</t>
  </si>
  <si>
    <t>F2715NBP35060821135</t>
  </si>
  <si>
    <t>V4B6N-FYJ6K-RWVTC-P2JMD-TCQGP</t>
  </si>
  <si>
    <t>Акт 09.11.2024</t>
  </si>
  <si>
    <t>Толибова Махлиё Ойбек Кизи</t>
  </si>
  <si>
    <t>Tolibova Makhliyo</t>
  </si>
  <si>
    <t>100000003348</t>
  </si>
  <si>
    <t>NXEGYER00H320088F43400</t>
  </si>
  <si>
    <t>Севостьянова (Бражникова) Виктория</t>
  </si>
  <si>
    <t>Brazhnikova Victoria</t>
  </si>
  <si>
    <t xml:space="preserve">Ведущий специалист по таможенному оформлению </t>
  </si>
  <si>
    <t>100000003387</t>
  </si>
  <si>
    <t>MP2HBY7C</t>
  </si>
  <si>
    <t>Акт 28.04.2024</t>
  </si>
  <si>
    <t>Ходырев Максим</t>
  </si>
  <si>
    <t>Khodyrev Maxim</t>
  </si>
  <si>
    <t>100000003389</t>
  </si>
  <si>
    <t>MP2HBVX5</t>
  </si>
  <si>
    <t>Акт 14.05.2024</t>
  </si>
  <si>
    <t>Климанов Александр</t>
  </si>
  <si>
    <t>Klimanov Alexander</t>
  </si>
  <si>
    <t>100000003379</t>
  </si>
  <si>
    <t>F2715NBP35080821459</t>
  </si>
  <si>
    <t>Замятин Антон Игоревич</t>
  </si>
  <si>
    <t>Zamyatin Anton</t>
  </si>
  <si>
    <t>Инженер инфраструктуры</t>
  </si>
  <si>
    <t>Laptop,mouse+ monitor</t>
  </si>
  <si>
    <t>100000003390</t>
  </si>
  <si>
    <t>MP2HBY5A</t>
  </si>
  <si>
    <t>Акт 13.12.2024</t>
  </si>
  <si>
    <t>Амр Алим Мохамед Абдель</t>
  </si>
  <si>
    <t>Модернизация не требуется/normal (no need to upgrade) 24.04.2026 заменена ОЗУ с 8 на 16гб.</t>
  </si>
  <si>
    <t>Alim Amr</t>
  </si>
  <si>
    <t>1GS51B3</t>
  </si>
  <si>
    <t>Акт 24.04.2026</t>
  </si>
  <si>
    <t>Галыгин Александр Александрович</t>
  </si>
  <si>
    <t>Galygin Alexander</t>
  </si>
  <si>
    <t>CH ,CH DCPT</t>
  </si>
  <si>
    <t>100000004744</t>
  </si>
  <si>
    <t>NXKN3CD00145202A3A3400</t>
  </si>
  <si>
    <t>NDVF4-6XHB6-BWQR8-TVBQ7-8HWGG</t>
  </si>
  <si>
    <t>Титкова Тамара Сергеевна</t>
  </si>
  <si>
    <t>Titkova Tamara</t>
  </si>
  <si>
    <t>Специалист по управлению инструментами</t>
  </si>
  <si>
    <t>00000022303(6)</t>
  </si>
  <si>
    <t>PF144TXB</t>
  </si>
  <si>
    <t>Гранкин Роман Анатольевич 8162</t>
  </si>
  <si>
    <t>Модернизация не требуется/normal (no need to upgrade)
ОЗУ х2 KM-SD4-2666-8GS; SSD KC300</t>
  </si>
  <si>
    <t>Grankin Roman</t>
  </si>
  <si>
    <t>Руководитель группы качества</t>
  </si>
  <si>
    <t>100000001610</t>
  </si>
  <si>
    <t>CND12505J9</t>
  </si>
  <si>
    <t>Акт 26.09.2026</t>
  </si>
  <si>
    <t xml:space="preserve"> Сиротина Анна Сергеевна</t>
  </si>
  <si>
    <t>Sirotina Anna</t>
  </si>
  <si>
    <t>Диспетчер оффлайн</t>
  </si>
  <si>
    <t>00000022303(3)</t>
  </si>
  <si>
    <t>PF14T1JV</t>
  </si>
  <si>
    <t>Кабланова Наталья</t>
  </si>
  <si>
    <t>Kablanova Natalia</t>
  </si>
  <si>
    <t>Специалист по оценке технологического процесса</t>
  </si>
  <si>
    <t>100000003587</t>
  </si>
  <si>
    <t>F2715NBP35060820296</t>
  </si>
  <si>
    <t>Акт 08.09.2025</t>
  </si>
  <si>
    <t>БЫЛ РЕМОНТ ПО ГАРАНТИИ В РЕГАРД 27_06_2025
Вернулся 11_07_2025</t>
  </si>
  <si>
    <t>Акт 24.06.2026</t>
  </si>
  <si>
    <t>Попков Дмитрий Александрович</t>
  </si>
  <si>
    <t>Popkov Dmitry</t>
  </si>
  <si>
    <t>100000003366</t>
  </si>
  <si>
    <t>NXEGYER00H32008B0E3400</t>
  </si>
  <si>
    <t>Лазарев Владислав Юрьевич</t>
  </si>
  <si>
    <t>Lazarev Vladislav</t>
  </si>
  <si>
    <t>100000003371</t>
  </si>
  <si>
    <t>NXEGYER00H32008D9E3400</t>
  </si>
  <si>
    <t xml:space="preserve">Соколовская Юлия Александровна </t>
  </si>
  <si>
    <t>Sokolovskaya Yuliya</t>
  </si>
  <si>
    <t>6J4HDF2</t>
  </si>
  <si>
    <t>MQN9F-G76X7-7P4GF-WR76R-CR4BP</t>
  </si>
  <si>
    <t>Акт 04.06.2024</t>
  </si>
  <si>
    <t>Ивлиева Александра Евгеньевна</t>
  </si>
  <si>
    <t>Модернизация не требуется/normal (no need to upgrade)
Можно поменять на моноблок</t>
  </si>
  <si>
    <t>Ivlieva Alexandra</t>
  </si>
  <si>
    <t>Специалист по учету ТМЦ</t>
  </si>
  <si>
    <t>10000001799</t>
  </si>
  <si>
    <t>PF1SKE38</t>
  </si>
  <si>
    <t>Акт 07.06.2024</t>
  </si>
  <si>
    <t>без НДС  44575      
с НДС 53490</t>
  </si>
  <si>
    <t>Сазонова Анна</t>
  </si>
  <si>
    <t>Sazonova Anna</t>
  </si>
  <si>
    <t>100000002678</t>
  </si>
  <si>
    <t>NXEGYER00H32008BA23400</t>
  </si>
  <si>
    <t>Акт 03.06.2024</t>
  </si>
  <si>
    <t>Бухгалтер 1 категории</t>
  </si>
  <si>
    <t>Дворянкина Инна</t>
  </si>
  <si>
    <t>Dvoryankina Inna</t>
  </si>
  <si>
    <t>100000002682</t>
  </si>
  <si>
    <t>NXEGYER00H32008B163400</t>
  </si>
  <si>
    <t>Сырцева Жанна Олеговна</t>
  </si>
  <si>
    <t>Syrtseva Zhanna</t>
  </si>
  <si>
    <t>Руководитель по подбору персонала</t>
  </si>
  <si>
    <t xml:space="preserve">Laptop,mouse+monitor Xiaomi </t>
  </si>
  <si>
    <t>100000003370</t>
  </si>
  <si>
    <t>NXEGYER00H320088D93400</t>
  </si>
  <si>
    <t>9NMQV-MW782-PRTVJ-BT9H4-CR6TG</t>
  </si>
  <si>
    <t>Чернечкова Наталья Валериевна</t>
  </si>
  <si>
    <t>Chernechkova Natalia</t>
  </si>
  <si>
    <t>NXEGYER00H32008BB23400</t>
  </si>
  <si>
    <t>Акт 13.06.2024</t>
  </si>
  <si>
    <t>Фомичева Елизавета Юрьевна</t>
  </si>
  <si>
    <t>Fomicheva Elizaveta</t>
  </si>
  <si>
    <t>00000018550</t>
  </si>
  <si>
    <t>YJ00MYWK</t>
  </si>
  <si>
    <t>XB2NH-MRCWY-9KMCC-YV7VY-QJ3GP</t>
  </si>
  <si>
    <t>12.03.2018</t>
  </si>
  <si>
    <t>Караулов Владимир Николаевич</t>
  </si>
  <si>
    <t>Модернизация не требуется/normal (no need to upgrade) 16 ОЗУ 1Tb HHD 512Gb SSD</t>
  </si>
  <si>
    <t>Karaulov Vladimir</t>
  </si>
  <si>
    <t>Руководитель группы обслуживания логистической техники</t>
  </si>
  <si>
    <t>WorkStation,mouse,keyboard, monitor Lenovo 2424d ?</t>
  </si>
  <si>
    <t>140000257</t>
  </si>
  <si>
    <t>PC10AS96</t>
  </si>
  <si>
    <t>FY3X7-KNGVG-4XRDK-TTFH7-462YT</t>
  </si>
  <si>
    <t>Installed Key: MV2BX-RNKM8-G83QW-M44WY-FGDGP
 OEM Key: MV2BX-RNKM8-G83QW-M44WY-FGDGP</t>
  </si>
  <si>
    <t>Акт 28.11.2024</t>
  </si>
  <si>
    <t>Фахрутдинов Алексей Викторович</t>
  </si>
  <si>
    <t>Fakhrutdinov Aleksey</t>
  </si>
  <si>
    <t>100000006151</t>
  </si>
  <si>
    <t>PW0KMMAT</t>
  </si>
  <si>
    <t>4RFN7-KHXC2-9Q7C2-744J3-XHKCT</t>
  </si>
  <si>
    <t>Канунникова Юлия Олеговна</t>
  </si>
  <si>
    <t>Kanunnikova Yulia</t>
  </si>
  <si>
    <t>100000001679</t>
  </si>
  <si>
    <t>CKRHDF2</t>
  </si>
  <si>
    <t>7VH9Q-9NX9V-8V6GD-MPD37-4C2H2</t>
  </si>
  <si>
    <t>Акт 03.01.2025</t>
  </si>
  <si>
    <t>Тихонов Евгений Сергеевич</t>
  </si>
  <si>
    <t>Модернизация не требуется/normal (no need to upgrade) Нужна замена клавиатурного модуля</t>
  </si>
  <si>
    <t>Tikhonov Evgeniy</t>
  </si>
  <si>
    <t>Координатор по железнодорожным перевозкам</t>
  </si>
  <si>
    <t>100000005194</t>
  </si>
  <si>
    <t>C2507N0002818</t>
  </si>
  <si>
    <t>MBWB9-N68FW-8MRP9-MCYK9-66PTC</t>
  </si>
  <si>
    <t>Акт 05.02.2026</t>
  </si>
  <si>
    <t>Мартынов Денис Алексеевич</t>
  </si>
  <si>
    <t>Martynov Denis</t>
  </si>
  <si>
    <t>Laptop,mouse+Lan-USB+monitor</t>
  </si>
  <si>
    <t>Laptop Lenovo V15 G1+Lan-USB+ монитор Xiaomi (5162/113d00014845)</t>
  </si>
  <si>
    <t>100000001645</t>
  </si>
  <si>
    <t>PF2TYFY5</t>
  </si>
  <si>
    <t>Акт 30.09.2024</t>
  </si>
  <si>
    <t>Серякова Елена Викторовна</t>
  </si>
  <si>
    <t>Seryakova Elena</t>
  </si>
  <si>
    <t>Кайдзен и риск специалист</t>
  </si>
  <si>
    <t>OMD, LA</t>
  </si>
  <si>
    <t>100000002692</t>
  </si>
  <si>
    <t>NXEGYER00H32008DB13400</t>
  </si>
  <si>
    <t>Акт 11.07.2024</t>
  </si>
  <si>
    <t>Бывшев Дмитрий Николаевич</t>
  </si>
  <si>
    <t>Byvshev Dmitry</t>
  </si>
  <si>
    <t>100000002683</t>
  </si>
  <si>
    <t>NXEGYER00H320087203400</t>
  </si>
  <si>
    <t>Акт 29.07.2024</t>
  </si>
  <si>
    <t>Владимирова Анастасия Романовна</t>
  </si>
  <si>
    <t>Vladimirova Anastasia</t>
  </si>
  <si>
    <t>10000001781</t>
  </si>
  <si>
    <t>PF1AMD5A</t>
  </si>
  <si>
    <t>Гладких Екатерина Александровна</t>
  </si>
  <si>
    <t>Gladkih Ekaterina</t>
  </si>
  <si>
    <t>100000002684</t>
  </si>
  <si>
    <t>NXEGYER00H320084CC3400</t>
  </si>
  <si>
    <t>Акт 31.07.2024</t>
  </si>
  <si>
    <t>Корнеева Наталия Степановна</t>
  </si>
  <si>
    <t>Korneeva Natalia</t>
  </si>
  <si>
    <t>100000003394</t>
  </si>
  <si>
    <t>DQBKMCD002336012E43000</t>
  </si>
  <si>
    <t xml:space="preserve">Зуборев Дмитрий Алексеевич </t>
  </si>
  <si>
    <t>НЕ ЗАРЯЖАЕТСЯ
ремонт по гарантии  13-02-2026
Привезён с ремонта 06_03_2026</t>
  </si>
  <si>
    <t>Zuborev Dmitry</t>
  </si>
  <si>
    <t>Laptop,mouse, bag</t>
  </si>
  <si>
    <t>100000003599</t>
  </si>
  <si>
    <t>F2715NBP35060820573</t>
  </si>
  <si>
    <t>N46PX-998GJ-F6HMG-GB7YV-46YP2</t>
  </si>
  <si>
    <t>Батова Карина Сергеевна</t>
  </si>
  <si>
    <t>Модернизация не требуется/normal (no need to upgrade) 23.04.2026 заменён вздутый аккумулятор</t>
  </si>
  <si>
    <t>Batova Karina</t>
  </si>
  <si>
    <t>100000003581</t>
  </si>
  <si>
    <t>F2715NBP35060821335</t>
  </si>
  <si>
    <t>QGFXW-N6CY6-XRKFY-XMWF2-4RG6P</t>
  </si>
  <si>
    <t>Ищенко Ирина Валериевна</t>
  </si>
  <si>
    <t>Ishchenko Irina</t>
  </si>
  <si>
    <t>Специалист по работе с аутстафф компаниями</t>
  </si>
  <si>
    <t>150000019/Z000005</t>
  </si>
  <si>
    <t>P901FSR8</t>
  </si>
  <si>
    <t>BNYKW-J9YT4-JWHCK-H42J2-9QC6G</t>
  </si>
  <si>
    <t>J3F73-N9X6R-VF384-TRTF8-QDBW2</t>
  </si>
  <si>
    <t>Акт 14.08.2024</t>
  </si>
  <si>
    <t>Герасимов Денис Андреевич 8992</t>
  </si>
  <si>
    <t>Gerasimov Denis</t>
  </si>
  <si>
    <t>100000001616</t>
  </si>
  <si>
    <t>CND12505WV</t>
  </si>
  <si>
    <t>NYQR8-YBVQ8-FB2KJ-CYKJD-VXPYT</t>
  </si>
  <si>
    <t>Акт 22.08.2026</t>
  </si>
  <si>
    <t>Тонконогова Майя</t>
  </si>
  <si>
    <t>Tonkonogova Maya</t>
  </si>
  <si>
    <t>100000003643</t>
  </si>
  <si>
    <t>F2715NBP35060820729</t>
  </si>
  <si>
    <t>Ермолаева Майя Андреевна</t>
  </si>
  <si>
    <t>Ermolaeva Maya</t>
  </si>
  <si>
    <t>специалист</t>
  </si>
  <si>
    <t>Workstation HP EliteDesk 805 G6+ monitor 24d-20V(V5CGA565)</t>
  </si>
  <si>
    <t>100000001670</t>
  </si>
  <si>
    <t>CZC14481GG</t>
  </si>
  <si>
    <t>NWRQ2-737R9-DQMKB-Y4G4X-Y7V22</t>
  </si>
  <si>
    <t>Гладышев Игорь Альбертович</t>
  </si>
  <si>
    <t>Gladyshev Igor</t>
  </si>
  <si>
    <t>Laptop ASUS F515JA+Lan-USB</t>
  </si>
  <si>
    <t>M9N0CX12K726373</t>
  </si>
  <si>
    <t>WDYNR-2876R-4X34R-GP6PV-FJRBP</t>
  </si>
  <si>
    <t>Каверин Илья Юрьевич</t>
  </si>
  <si>
    <t>требуется модернизация/ need to modernisation ssd</t>
  </si>
  <si>
    <t xml:space="preserve">Kaverin Ilya </t>
  </si>
  <si>
    <t>140000053/Z000109</t>
  </si>
  <si>
    <t>PC0KNC8N</t>
  </si>
  <si>
    <t>7NCDH-3BT6G-VRXKG-T927P-CKCKC</t>
  </si>
  <si>
    <t>Медянцев Владислав Игоревич</t>
  </si>
  <si>
    <t>Medyancev Vladislav</t>
  </si>
  <si>
    <t>100000004303</t>
  </si>
  <si>
    <t>F2717NBP4502103093</t>
  </si>
  <si>
    <t>Installed Key:	VK7JG-NPHTM-C97JM-9MPGT-3V66T
OEM Key:	C4NYD-F3KGR-RVHW2-VM28J-JFG6P</t>
  </si>
  <si>
    <t>Акт 01.09.2025</t>
  </si>
  <si>
    <t>Обухова Ирина Андреевна</t>
  </si>
  <si>
    <t>Obukhova Irina</t>
  </si>
  <si>
    <t>Младший специалист по внешнеэкономической деятельности</t>
  </si>
  <si>
    <t>100000002693</t>
  </si>
  <si>
    <t>NXEGYER00H320087AB3400</t>
  </si>
  <si>
    <t>Акт 21.01.2025</t>
  </si>
  <si>
    <t>Кот Ирина Евгеньевна</t>
  </si>
  <si>
    <t>Kot Irina</t>
  </si>
  <si>
    <t>100000003591</t>
  </si>
  <si>
    <t>F2715NBP35060821134</t>
  </si>
  <si>
    <t>Кулакова Кристина Константиновна</t>
  </si>
  <si>
    <t>проблемы с клавиатурой</t>
  </si>
  <si>
    <t>Kulakova Kristina</t>
  </si>
  <si>
    <t>100000003584</t>
  </si>
  <si>
    <t>F2715NBP35060820118</t>
  </si>
  <si>
    <t>HN4WK-TPQ9P-62Y9P-BVQMT-3V8J6</t>
  </si>
  <si>
    <t>CC8KN-GVYV9-V76F6-MDCRG-722KC</t>
  </si>
  <si>
    <t>Акт 15.10.2025</t>
  </si>
  <si>
    <t>Антонова Олеся Игоревна</t>
  </si>
  <si>
    <t>Antonova Olesya</t>
  </si>
  <si>
    <t>100000006129</t>
  </si>
  <si>
    <t>PW0LW3R8</t>
  </si>
  <si>
    <t>TNJ8Q-HTHD3-VXHJ2-PHDMJ-CPQW6</t>
  </si>
  <si>
    <t>Пестрикова Светлана Владимировна 9173</t>
  </si>
  <si>
    <t>Svetlana Pestrikova</t>
  </si>
  <si>
    <t>Специалист по вводу и обработке данных</t>
  </si>
  <si>
    <t>TM, TM PM</t>
  </si>
  <si>
    <t>100000006444</t>
  </si>
  <si>
    <t>DQBRRCD00255101A6F6N02</t>
  </si>
  <si>
    <t>KN97H-4K448-GHCVR-7M4TC-GQ8GG</t>
  </si>
  <si>
    <t>Михайлова Валерия Алексеевна</t>
  </si>
  <si>
    <t>Mikhailova Valeria</t>
  </si>
  <si>
    <t>Статистик</t>
  </si>
  <si>
    <t>100000003395</t>
  </si>
  <si>
    <t>DQBKMCD002336012D73000</t>
  </si>
  <si>
    <t>Акт 21.08.2024</t>
  </si>
  <si>
    <t>Харлова Валерия Владимировна</t>
  </si>
  <si>
    <t>Kharlova Valeria</t>
  </si>
  <si>
    <t>Специалист по статистике</t>
  </si>
  <si>
    <t>100000003653</t>
  </si>
  <si>
    <t>F2715NBP35060820026</t>
  </si>
  <si>
    <t>Акт 13.01.2025</t>
  </si>
  <si>
    <t>Бурдина Татьяна Андреевна</t>
  </si>
  <si>
    <t>Burdina Tatyana</t>
  </si>
  <si>
    <t>Специалист по таможенному оформлению</t>
  </si>
  <si>
    <t>100000002679</t>
  </si>
  <si>
    <t>NXEGYER00H320089573400</t>
  </si>
  <si>
    <t>libre office</t>
  </si>
  <si>
    <t>Y2Y9M-NCH29-BGDW7-MKVWP-8XC2T</t>
  </si>
  <si>
    <t>Акт 27.08.2024</t>
  </si>
  <si>
    <t>Тинькова Анастасия Андреевна</t>
  </si>
  <si>
    <t>Tinkova Anastasia</t>
  </si>
  <si>
    <t>TM, TM QM</t>
  </si>
  <si>
    <t>100000005546</t>
  </si>
  <si>
    <t>PW0LW3GK</t>
  </si>
  <si>
    <t>CJGYF-YNHYD-MHCTV-P4TDM-XBVJ6</t>
  </si>
  <si>
    <t>Потапов Вадим Валериевич</t>
  </si>
  <si>
    <t>Potapov Vadim</t>
  </si>
  <si>
    <t>Специалист по управлению уязвимостями и администрированию систем ИБ</t>
  </si>
  <si>
    <t>RDC, ISG</t>
  </si>
  <si>
    <t>Lenovo Thinkbook 15 G4 IAP, Monitor MSI 27 S/N PB4H694709077</t>
  </si>
  <si>
    <t>100000002697</t>
  </si>
  <si>
    <t>MP2HBVXX</t>
  </si>
  <si>
    <t>Райкова Л.</t>
  </si>
  <si>
    <t>Акт 02.09.2024
Акт 30.01.2025 за монитор</t>
  </si>
  <si>
    <t>Гибадулина Рима Габдухамидовна</t>
  </si>
  <si>
    <t>Gibadulina Rima</t>
  </si>
  <si>
    <t>100000002685</t>
  </si>
  <si>
    <t>NXEGYER00H32008BBA3400</t>
  </si>
  <si>
    <t>Акт 23.10.2025</t>
  </si>
  <si>
    <t>Кривенко Дмитрий Сергеевич</t>
  </si>
  <si>
    <t>Krivenko Dmitry</t>
  </si>
  <si>
    <t>Руководитель группы по метрологии</t>
  </si>
  <si>
    <t>100000001604</t>
  </si>
  <si>
    <t>CND12506DR</t>
  </si>
  <si>
    <t>Косьянова Елизавета Андреевна</t>
  </si>
  <si>
    <t>Kasyanova Elizaveta</t>
  </si>
  <si>
    <t>Специалист по внешним связям</t>
  </si>
  <si>
    <t>100000003343</t>
  </si>
  <si>
    <t>NXEGYER00H32008B133400</t>
  </si>
  <si>
    <t>4NXQQ-3TMWM-TCHFK-WHKVC-VFTPT</t>
  </si>
  <si>
    <t>Акт 17.09.2026</t>
  </si>
  <si>
    <t>Бабкина Екатерина Алексеевна 9506</t>
  </si>
  <si>
    <t>Babkina Ekaterina</t>
  </si>
  <si>
    <t>140000057/Z000121</t>
  </si>
  <si>
    <t>PF1012XD</t>
  </si>
  <si>
    <t>VKBP6-CNQFX-6WRYQ-T26YP-RVV22</t>
  </si>
  <si>
    <t>Зубов Дмитрий Алексеевич</t>
  </si>
  <si>
    <t>Zubov Dmitry</t>
  </si>
  <si>
    <t>Laptop,mouse,bag  +Monitor MSI 27 S/N PB4H694807380</t>
  </si>
  <si>
    <t>100000005419</t>
  </si>
  <si>
    <t>C2509N0008353</t>
  </si>
  <si>
    <t>GMDBT-NH9FH-QKPGD-HKBY3-9D9GG</t>
  </si>
  <si>
    <t>64DMN-7WW46-4CQ8X-4XTQT-QYH82</t>
  </si>
  <si>
    <t>Акт 25.03.2026
Акт 30.01.2025 За монитор</t>
  </si>
  <si>
    <t xml:space="preserve">Колетвинова Елена Александровна </t>
  </si>
  <si>
    <t>Koletvinova Elena</t>
  </si>
  <si>
    <t>00000015292</t>
  </si>
  <si>
    <t>LR0AVC0N</t>
  </si>
  <si>
    <t xml:space="preserve">P3HMD-YDN8F-M6VRH-C7MHK-2YWFG </t>
  </si>
  <si>
    <t>XKWBN-4HX4V-83739-C4V9D-FM49C</t>
  </si>
  <si>
    <t xml:space="preserve">Фазилова ( Шмакова ) Алина Сергеевна </t>
  </si>
  <si>
    <t>Fazilova Alina</t>
  </si>
  <si>
    <t>140000242</t>
  </si>
  <si>
    <t>PC10AS99</t>
  </si>
  <si>
    <t>BGHB6-RNWV4-D6B4F-KR3VP-2DKTP</t>
  </si>
  <si>
    <t>Аныгина Елизавета Павловна</t>
  </si>
  <si>
    <t xml:space="preserve">Anygina Elizaveta
</t>
  </si>
  <si>
    <t>Ведущий специалист по новым проектам</t>
  </si>
  <si>
    <t>100000006485</t>
  </si>
  <si>
    <t>PW0K0E0F</t>
  </si>
  <si>
    <t>62VNB-QQGBB-8CDCD-9XKBP-27KCT</t>
  </si>
  <si>
    <t>Николаева Светлана Анатольевна</t>
  </si>
  <si>
    <t>rus</t>
  </si>
  <si>
    <t>Nikolaeva Svetlana</t>
  </si>
  <si>
    <t>Специалист по административной работе</t>
  </si>
  <si>
    <t>00000011589</t>
  </si>
  <si>
    <t>LR08MD58</t>
  </si>
  <si>
    <t>YRH6K-B6NWW-K9XPR-99384-YTFW6</t>
  </si>
  <si>
    <t>Аверикев Дмитрий Александрович</t>
  </si>
  <si>
    <t>Averkiev Dmitry</t>
  </si>
  <si>
    <t>100000004656</t>
  </si>
  <si>
    <t>F2717NBP4502103006</t>
  </si>
  <si>
    <t>Мухановская Екатерина Сергеевна</t>
  </si>
  <si>
    <t>Mukhanovskaya Ekaterina</t>
  </si>
  <si>
    <t>00000011587</t>
  </si>
  <si>
    <t>LR08MD7C</t>
  </si>
  <si>
    <t>Акт 17.10.2025</t>
  </si>
  <si>
    <t>Ананьев Сергей Максимович</t>
  </si>
  <si>
    <t>Ananyev Sergey</t>
  </si>
  <si>
    <t>Специалист технической поддержки 2 категории</t>
  </si>
  <si>
    <t>100000001615</t>
  </si>
  <si>
    <t>CND12506BD</t>
  </si>
  <si>
    <t>NP894-7FQQQ-FYXBD-Y7FMQ-T6QV6</t>
  </si>
  <si>
    <t>Браславская Элеонора Борисовна</t>
  </si>
  <si>
    <t>Braslavskaya Eleonora</t>
  </si>
  <si>
    <t>ES, ES MD, ES MS</t>
  </si>
  <si>
    <t>100000001606</t>
  </si>
  <si>
    <t>CND12505JS</t>
  </si>
  <si>
    <t>MMMC4-BM96X-XB4VB-R4MM9-V22KG</t>
  </si>
  <si>
    <t>Акт 13.11.2025</t>
  </si>
  <si>
    <t>Бокарева Юлиана Андреевна</t>
  </si>
  <si>
    <t>была модернизация/upgraded (SSD 240+ ram 4)</t>
  </si>
  <si>
    <t>Bokareva Yuliana</t>
  </si>
  <si>
    <t>Специалист по обучению</t>
  </si>
  <si>
    <t>100000004736</t>
  </si>
  <si>
    <t>NXKN3CD001451104EC3400</t>
  </si>
  <si>
    <t>Акт 14.01.2026</t>
  </si>
  <si>
    <t>Павлов Егор Евгениевич</t>
  </si>
  <si>
    <t>140000046/Z000125</t>
  </si>
  <si>
    <t>P901FSPJ</t>
  </si>
  <si>
    <t>VG78R-8NXYG-MCPMR-96VPB-3GPTC</t>
  </si>
  <si>
    <t>Зелинская Анастасия Александровна</t>
  </si>
  <si>
    <t>Zelinskaya Anastasia.</t>
  </si>
  <si>
    <t>100000004360</t>
  </si>
  <si>
    <t>2408A22H124i5M2165R00121</t>
  </si>
  <si>
    <t>QVXYJ-N367K-D37Y2-6PM7W-6MWJ</t>
  </si>
  <si>
    <t>G7NQB-GV7PW-3FRTG-M2XDJ-78RC2</t>
  </si>
  <si>
    <t xml:space="preserve"> Ермолаева Валерия Егоровна</t>
  </si>
  <si>
    <t>Ermolaeva Valeria</t>
  </si>
  <si>
    <t>100000001603</t>
  </si>
  <si>
    <t>CND12505SS</t>
  </si>
  <si>
    <t>BHRXN-VQBVG-BJFKX-TR3JX-HCFC6</t>
  </si>
  <si>
    <t>Капков Николай Александрович</t>
  </si>
  <si>
    <t>Kapkov Nikolay</t>
  </si>
  <si>
    <t>Ведущий специалист TPS</t>
  </si>
  <si>
    <t>100000003594</t>
  </si>
  <si>
    <t>F2715NBP35060820399</t>
  </si>
  <si>
    <t>J9VRN-73KDY-9G6Q8-B3YWD-QRR9C</t>
  </si>
  <si>
    <t>Айкин Данил</t>
  </si>
  <si>
    <t>Aikin Danil</t>
  </si>
  <si>
    <t>Laptop,mouse+Monitor MSI 27 S/N PB4H694709123</t>
  </si>
  <si>
    <t>100000002698</t>
  </si>
  <si>
    <t>MP2HBY83</t>
  </si>
  <si>
    <t>6VXVN-7RQCX-TRYJR-JHHP4-CR4TG</t>
  </si>
  <si>
    <t>Акт 20.12.2024
Акт 30.01.2025 за монитор</t>
  </si>
  <si>
    <t>Вишняков Игорь</t>
  </si>
  <si>
    <t>Vishnyakov Igor</t>
  </si>
  <si>
    <t>Аудитор кузова автомобиля</t>
  </si>
  <si>
    <t>100000004649</t>
  </si>
  <si>
    <t>NXKN3CD00J43500DBF3400</t>
  </si>
  <si>
    <t>8BRRP-NH82V-DX8H4-VMB8R-PPQGP</t>
  </si>
  <si>
    <t>Семенова Наталья Петровна</t>
  </si>
  <si>
    <t>Semenova Natalia</t>
  </si>
  <si>
    <t>Наладчик технологического оборудования 2 категории</t>
  </si>
  <si>
    <t>140000145/Z000091</t>
  </si>
  <si>
    <t>S4FM3339</t>
  </si>
  <si>
    <t>YGVBB-NJRXR-2BTB8-8D7R6-QYH22</t>
  </si>
  <si>
    <t>Перелыгин Виталий Васильевич</t>
  </si>
  <si>
    <t>Perelygin Vitaly</t>
  </si>
  <si>
    <t>Старший инженер логистики</t>
  </si>
  <si>
    <t>100000003596</t>
  </si>
  <si>
    <t>F2715NBP35060821486</t>
  </si>
  <si>
    <t>VJCPN-Q3R9V-FXDTJ-WX4BH-8HV22</t>
  </si>
  <si>
    <t>Елисеев Андрей Алексеевич</t>
  </si>
  <si>
    <t>Eliseev Andrey</t>
  </si>
  <si>
    <t>Техник по металлическим деталям 4 категории</t>
  </si>
  <si>
    <t>100000004240</t>
  </si>
  <si>
    <t>F2715NBP35060820821</t>
  </si>
  <si>
    <t>RMMNQ-B6TFK-H2QPC-YW328-W44C2</t>
  </si>
  <si>
    <t>Акт 24.12.2024</t>
  </si>
  <si>
    <t>Радюкина Диана Николаевна 9845</t>
  </si>
  <si>
    <t>Radyukina Diana</t>
  </si>
  <si>
    <t>100000006997</t>
  </si>
  <si>
    <t>DQBR8CD00255101CE46N02</t>
  </si>
  <si>
    <t>JNB79-XCQ4D-2CW3X-TV33Q-2WGPT</t>
  </si>
  <si>
    <t>Акт 13.08.2026</t>
  </si>
  <si>
    <t>Меркулов Дмитрий Валериевич</t>
  </si>
  <si>
    <t>Merkulov Dmitry</t>
  </si>
  <si>
    <t>Руководитель группы по управлению качеством</t>
  </si>
  <si>
    <t>100000003651</t>
  </si>
  <si>
    <t>F2715NBP35060820471</t>
  </si>
  <si>
    <t>Акт 18.12.2024</t>
  </si>
  <si>
    <t>Захаров Николай Константинович 9889</t>
  </si>
  <si>
    <t>Zakharov Nikolay</t>
  </si>
  <si>
    <t>100000004743</t>
  </si>
  <si>
    <t>NXKN3CD001452018C43400</t>
  </si>
  <si>
    <t>NPQCX-9YGPM-7P7Y3-WG6B6-4M49C</t>
  </si>
  <si>
    <t>Акт 23.09.2026</t>
  </si>
  <si>
    <t>Сидорцов Максим Эдуардович</t>
  </si>
  <si>
    <t>Sidortsov  Maxim</t>
  </si>
  <si>
    <t>100000006119</t>
  </si>
  <si>
    <t>PW0LW3S0</t>
  </si>
  <si>
    <t>YBBQ6-HFNB6-FKTG2-VV43H-RGDW6</t>
  </si>
  <si>
    <t>Чуфистова Ольга Владимировна</t>
  </si>
  <si>
    <t>Chufistova Olga</t>
  </si>
  <si>
    <t>100000002711</t>
  </si>
  <si>
    <t>DQBKMCD002336012DA3000</t>
  </si>
  <si>
    <t>Акт 17.10.2024</t>
  </si>
  <si>
    <t>Шмидт Анастасия Сергеевна 10050</t>
  </si>
  <si>
    <t>Schmidt Anastasia</t>
  </si>
  <si>
    <t>100000004645</t>
  </si>
  <si>
    <t>NXKN3CD00J43500DDD3400</t>
  </si>
  <si>
    <t>KGKFG-RTNF7-7DDTH-MVP29-4JRC2</t>
  </si>
  <si>
    <t>Яровая Екатерина Николаевна</t>
  </si>
  <si>
    <t>Модернизация не требуется/normal (no need to upgrade) SSD 500GB ОЗУ 16GB</t>
  </si>
  <si>
    <t>Yarovaya Ekaterina</t>
  </si>
  <si>
    <t>Оператор</t>
  </si>
  <si>
    <t>140000050/Z000112</t>
  </si>
  <si>
    <t>PC0KL0MA</t>
  </si>
  <si>
    <t>44DNT-94KRT-33CWT-PDKXT-VCFC2</t>
  </si>
  <si>
    <t>Акт 29.07.2026</t>
  </si>
  <si>
    <t>Серякова Анастасия</t>
  </si>
  <si>
    <t>Seryakova Anastasia</t>
  </si>
  <si>
    <t>100000004241</t>
  </si>
  <si>
    <t>F2715NBP35060820816</t>
  </si>
  <si>
    <t>4NRK8-X3R7C-XMMDQ-C36JK-CDKTP</t>
  </si>
  <si>
    <t>Акт 10.11.2024</t>
  </si>
  <si>
    <t>Рейвах Александр Юрьевич</t>
  </si>
  <si>
    <t>Reyvakh Alexander</t>
  </si>
  <si>
    <t>100000004257</t>
  </si>
  <si>
    <t>2408A22H124I5M2165R00099</t>
  </si>
  <si>
    <t>VNTQB-GQ9YM-V6827-8MH4M-WHV22</t>
  </si>
  <si>
    <t>Гордеева Юлия Сергеевна</t>
  </si>
  <si>
    <t>Gordeeva Julia</t>
  </si>
  <si>
    <t>100000004242</t>
  </si>
  <si>
    <t>F2715NBP35060821833</t>
  </si>
  <si>
    <t>V23NQ-RV7WY-XXHKJ-TP9YF-YTDGP</t>
  </si>
  <si>
    <t>Кардонова Наталья Владимировна</t>
  </si>
  <si>
    <t>Kardonova Natalya</t>
  </si>
  <si>
    <t>Судебный юрист</t>
  </si>
  <si>
    <t>100000006124</t>
  </si>
  <si>
    <t>PW0LW3Q6</t>
  </si>
  <si>
    <t>4Q2YG-FNVW4-TMHBP-6HCY9-6CQW6</t>
  </si>
  <si>
    <t>Зеленева Дарья Васильевна</t>
  </si>
  <si>
    <t>Zeleneva Daria</t>
  </si>
  <si>
    <t>Ведущий специалист по управлению стратегией</t>
  </si>
  <si>
    <t>100000001632</t>
  </si>
  <si>
    <t>PF2VTP0F</t>
  </si>
  <si>
    <t>Акт 14.11.2024</t>
  </si>
  <si>
    <t>Белан Валерия Дмитриевна</t>
  </si>
  <si>
    <t>Belan Valeria</t>
  </si>
  <si>
    <t>Техник по деталям интерьера и экстерьера 4 категории</t>
  </si>
  <si>
    <t>100000003632</t>
  </si>
  <si>
    <t>F2715NBP35060820315</t>
  </si>
  <si>
    <t>2CN96-FHKK3-RQHKT-W2BR4-8B49C</t>
  </si>
  <si>
    <t>Акт 21.11.2024</t>
  </si>
  <si>
    <t>Степанов Артем Евгеньевич</t>
  </si>
  <si>
    <t>Stepanov Artem</t>
  </si>
  <si>
    <t>Ведущий инженер по информационной системе</t>
  </si>
  <si>
    <t>100000003612</t>
  </si>
  <si>
    <t>F2715NBP35060820579</t>
  </si>
  <si>
    <t>Акт 20.12.2024</t>
  </si>
  <si>
    <t>Горина Инна Витальевна</t>
  </si>
  <si>
    <t>Gorina Inna</t>
  </si>
  <si>
    <t>Workstation Lenovo V530s+ отдельно монитор Lenovo T2224dA (s/n: V5AR2267)</t>
  </si>
  <si>
    <t>YL00STZ0</t>
  </si>
  <si>
    <t>JX4QC-2N6TR-WD392-C9GYG-C9XTP</t>
  </si>
  <si>
    <t>Щеглова Екатерина Алексеевна</t>
  </si>
  <si>
    <t>Scheglova Ekaterina</t>
  </si>
  <si>
    <t>100000003631</t>
  </si>
  <si>
    <t>F2715NBP35060820054</t>
  </si>
  <si>
    <t>3NMD2-2G438-T42VM-G92TH-BDWXC</t>
  </si>
  <si>
    <t>Жарикова Кристина Анатольевна</t>
  </si>
  <si>
    <t>Zharikova Kristina</t>
  </si>
  <si>
    <t>100000003644</t>
  </si>
  <si>
    <t>F2715NBP35060821884</t>
  </si>
  <si>
    <t>Малых Андрей Владимирович</t>
  </si>
  <si>
    <t>Malykh Andrey</t>
  </si>
  <si>
    <t>100000001663</t>
  </si>
  <si>
    <t>7L50JK3</t>
  </si>
  <si>
    <t>Мертехина Ольга Константиновна</t>
  </si>
  <si>
    <t>Mertekhina Olga</t>
  </si>
  <si>
    <t>100000006529</t>
  </si>
  <si>
    <t>DQBR8CD00255101D1C6N02</t>
  </si>
  <si>
    <t>WWN7J-8DHQ2-7G9RF-JH9YV-B7WGG</t>
  </si>
  <si>
    <t>Филиппова Татьяна Денисовна</t>
  </si>
  <si>
    <t>Filippova Tatyana</t>
  </si>
  <si>
    <t>140000172/Z000052</t>
  </si>
  <si>
    <t>S4FM3331</t>
  </si>
  <si>
    <t>MS Office</t>
  </si>
  <si>
    <t>R38X3-J4NJR-CRXGD-KB992-J44C2</t>
  </si>
  <si>
    <t>Белова Алина Михайловна</t>
  </si>
  <si>
    <t>Belova Alina</t>
  </si>
  <si>
    <t>Младший инженер логистики</t>
  </si>
  <si>
    <t>WorkStation,monitor(S24e),mouse,keyboard</t>
  </si>
  <si>
    <t>140000247</t>
  </si>
  <si>
    <t>PC10AS8W</t>
  </si>
  <si>
    <t>TYYNJ-38CQ8-9W969-F2FPM-JMBCT</t>
  </si>
  <si>
    <t>T4NH8-9Y37R-VCKYW-T28KP-3YH22</t>
  </si>
  <si>
    <t>Акт 14.10.2025</t>
  </si>
  <si>
    <t>Норм+</t>
  </si>
  <si>
    <t>Данилова Ирина Александровна</t>
  </si>
  <si>
    <t>Danilova Irina</t>
  </si>
  <si>
    <t>Ведущий специалист по складским операциям</t>
  </si>
  <si>
    <t>100000003357</t>
  </si>
  <si>
    <t>NXEGYER00H3200868B3400</t>
  </si>
  <si>
    <t>OnlyOffice</t>
  </si>
  <si>
    <t>Шацких Татьяна Владимировна</t>
  </si>
  <si>
    <t>Shatskikh Tatyana</t>
  </si>
  <si>
    <t>100000003642</t>
  </si>
  <si>
    <t>F2715NBP35060820575</t>
  </si>
  <si>
    <t>FYHQV-NRFFH-8QD44-BVQ7P-Q3WXC</t>
  </si>
  <si>
    <t>Акт 05.12.2024</t>
  </si>
  <si>
    <t>Бухарова Ирина</t>
  </si>
  <si>
    <t>Bukharova Irina</t>
  </si>
  <si>
    <t>Специалист по технике безопасности</t>
  </si>
  <si>
    <t>00000019367(6)</t>
  </si>
  <si>
    <t>R90T9487</t>
  </si>
  <si>
    <t>66NPQ-XTJ6P-KGY47-D3C4J-HMH22</t>
  </si>
  <si>
    <t>Денисова Екатерина Олеговна</t>
  </si>
  <si>
    <t>Denisova Ekaterina</t>
  </si>
  <si>
    <t>100000004248</t>
  </si>
  <si>
    <t>F2715NBP35060821939</t>
  </si>
  <si>
    <t>QKNCM-GJ8BX-FXX8G-K9BP7-QPFC2</t>
  </si>
  <si>
    <t>Акт 14.01.2025</t>
  </si>
  <si>
    <t>Праслова Светлана Андреевна</t>
  </si>
  <si>
    <t>Praslova Svetlana</t>
  </si>
  <si>
    <t>100000002703</t>
  </si>
  <si>
    <t>RAN0CV09X263425</t>
  </si>
  <si>
    <t>Головин Егор Олегович</t>
  </si>
  <si>
    <t>Golovin Egor</t>
  </si>
  <si>
    <t>Специалист по управлению проектами 2 категории</t>
  </si>
  <si>
    <t>100000004243</t>
  </si>
  <si>
    <t>F2715NBP35060820627</t>
  </si>
  <si>
    <t>JFWDM-GQNVT-PXFF4-X7FBG-C9XTP</t>
  </si>
  <si>
    <t>Акт 16.12.2024</t>
  </si>
  <si>
    <t>Плюснин Станислав Игоревич</t>
  </si>
  <si>
    <t>Plyusnin Stanislav</t>
  </si>
  <si>
    <t>100000006486</t>
  </si>
  <si>
    <t>PW0K0D5M</t>
  </si>
  <si>
    <t>MVNBP-XBQJW-3T29F-XRFXP-PGY6G</t>
  </si>
  <si>
    <t>Акт 14.05.2026</t>
  </si>
  <si>
    <t>Мещеряков Андрей Валерьевич</t>
  </si>
  <si>
    <t>Meshcheryakov Andrey</t>
  </si>
  <si>
    <t>100000004244</t>
  </si>
  <si>
    <t>F2715NBP35060820196</t>
  </si>
  <si>
    <t>4NQTP-HWXQD-WJDFR-7X4DW-VH66P</t>
  </si>
  <si>
    <t>Жуков Александр Владимирович</t>
  </si>
  <si>
    <t>Zhukov Alexander</t>
  </si>
  <si>
    <t>Инженер по информационной системе</t>
  </si>
  <si>
    <t>100000003611</t>
  </si>
  <si>
    <t>F2715NBP35060820625</t>
  </si>
  <si>
    <t>NKWXK-FT37J-VW7R4-KBH3P-BTDGP</t>
  </si>
  <si>
    <t>Пронина Надежда Сергеевна</t>
  </si>
  <si>
    <t>Pronina Nadezhda</t>
  </si>
  <si>
    <t xml:space="preserve">Специалист </t>
  </si>
  <si>
    <t>100000003580</t>
  </si>
  <si>
    <t>F2715NBP35060820236</t>
  </si>
  <si>
    <t>Microsoft Office профессиональный плюс 2019 по информации от Фоменкова TEST</t>
  </si>
  <si>
    <t>Акт 14.12.2024</t>
  </si>
  <si>
    <t>Кикоть Юрий Владимирович</t>
  </si>
  <si>
    <t>Kikot Yuri</t>
  </si>
  <si>
    <t>100000003629</t>
  </si>
  <si>
    <t>F2715NBP35060821549</t>
  </si>
  <si>
    <t xml:space="preserve">Буцев Игорь Александрович </t>
  </si>
  <si>
    <t>Butsev Igor</t>
  </si>
  <si>
    <t>100000006436</t>
  </si>
  <si>
    <t>PW0K0DHH</t>
  </si>
  <si>
    <t>BK466-NH67T-BGC4X-PH72C-P9X86</t>
  </si>
  <si>
    <t>Петруша Милена Витальевна</t>
  </si>
  <si>
    <t>Petrusha Milena</t>
  </si>
  <si>
    <t>Lenovo ThinkBook 15 G4 IAP</t>
  </si>
  <si>
    <t>MP2KDZYH</t>
  </si>
  <si>
    <t>MS Office 365 для прееееприятий</t>
  </si>
  <si>
    <t>PNQ7C-68W86-Y9FM2-8432C-YKM6G</t>
  </si>
  <si>
    <t>Володин Виктор Викторович</t>
  </si>
  <si>
    <t>Volodin Victor</t>
  </si>
  <si>
    <t>100000004245</t>
  </si>
  <si>
    <t>F2715NBP35060821366</t>
  </si>
  <si>
    <t>Акт 28.12.2024</t>
  </si>
  <si>
    <t>Кузнецов Сергей Михайлович</t>
  </si>
  <si>
    <t>Kuznetsov Sergey</t>
  </si>
  <si>
    <t>140000198</t>
  </si>
  <si>
    <t>PF15EMLY</t>
  </si>
  <si>
    <t>H7NQJ-787V2-GD89M-97VCK-2YT6P</t>
  </si>
  <si>
    <t>Акт 09.07.2025</t>
  </si>
  <si>
    <t>Горин Александр Александрович</t>
  </si>
  <si>
    <t>Gorin Alexander</t>
  </si>
  <si>
    <t>100000004312</t>
  </si>
  <si>
    <t>F2715NBP35070822051</t>
  </si>
  <si>
    <t>JMTNF-9JY3T-36YBR-YG2BQ-T6PKC</t>
  </si>
  <si>
    <t>Акт 31.03.2025</t>
  </si>
  <si>
    <t>Маркаров Григорий Аванесович</t>
  </si>
  <si>
    <t>Markarov Grigory</t>
  </si>
  <si>
    <t>100000001646</t>
  </si>
  <si>
    <t>PF2VSVTT</t>
  </si>
  <si>
    <t>Акт 25.07.2025</t>
  </si>
  <si>
    <t>Макарова Ирина Игорьевна</t>
  </si>
  <si>
    <t>Модернизация SSD 240 ГБ, +1 планка 8ГБ ОЗУ</t>
  </si>
  <si>
    <t>Irina Makarova</t>
  </si>
  <si>
    <t>00000022357</t>
  </si>
  <si>
    <t>R90TY3EF</t>
  </si>
  <si>
    <t>Акт 23.04.2026</t>
  </si>
  <si>
    <t>Руднева Анастасия Вячеславовна</t>
  </si>
  <si>
    <t>Rudneva Anastasia</t>
  </si>
  <si>
    <t>Специалист по миграционному учету</t>
  </si>
  <si>
    <t>100000004483</t>
  </si>
  <si>
    <t>2408A22H124I5M2165R00123</t>
  </si>
  <si>
    <t>6K8NP-V3VYJ-CF638-CT4DJ-PKCKC</t>
  </si>
  <si>
    <t>Бариков Владимир Павлович</t>
  </si>
  <si>
    <t>Barikov Vladimir</t>
  </si>
  <si>
    <t>Laptop,mouse, Monitor Xiaomi A24i SN:54383/250100059564</t>
  </si>
  <si>
    <t>100000005401</t>
  </si>
  <si>
    <t>C2507N0002866</t>
  </si>
  <si>
    <t>Сбродова Анна Витальевна</t>
  </si>
  <si>
    <t>Sbrodova Anna</t>
  </si>
  <si>
    <t>100000007002</t>
  </si>
  <si>
    <t>PW0K0DYW</t>
  </si>
  <si>
    <t>3MCN6-V72W4-H9WBV-XJRM4-7H7J6</t>
  </si>
  <si>
    <t>Акт 02.09.2026</t>
  </si>
  <si>
    <t>Печенкин Иван Владимирович</t>
  </si>
  <si>
    <t>Pechenkin Ivan</t>
  </si>
  <si>
    <t xml:space="preserve">Laptop,mouse,bag+ monitor Xiaomi </t>
  </si>
  <si>
    <t>100000005389</t>
  </si>
  <si>
    <t>C2509N0008354</t>
  </si>
  <si>
    <t>YNY9D-WC66R-4G883-6PCFF-Q9MW2</t>
  </si>
  <si>
    <t>Красюк Елена Викторовна</t>
  </si>
  <si>
    <t xml:space="preserve">Krasyuk Elena </t>
  </si>
  <si>
    <t>Бухгалтер 1 категории / Accountant of the 1st category</t>
  </si>
  <si>
    <t>100000007076</t>
  </si>
  <si>
    <t>DQBRRCD00255101A656N02</t>
  </si>
  <si>
    <t>6NHM3-3YK4V-R8TCV-HCP7V-JQK86</t>
  </si>
  <si>
    <t>Акт 19.08.2026</t>
  </si>
  <si>
    <t>Костикова Ирина Александровна</t>
  </si>
  <si>
    <t>Kostikova Irina</t>
  </si>
  <si>
    <t>10000001780</t>
  </si>
  <si>
    <t>PF1SL81M</t>
  </si>
  <si>
    <t>Иглин Сергей Леонидович</t>
  </si>
  <si>
    <t>Iglin Sergey</t>
  </si>
  <si>
    <t>100000004320</t>
  </si>
  <si>
    <t>F2715NBP35070822052</t>
  </si>
  <si>
    <t>F3NTQ-YTQ6G-YWF6J-TBBKC-HH66P</t>
  </si>
  <si>
    <t>Чуфистов Александр Александрович</t>
  </si>
  <si>
    <t>Chufistov Alexander</t>
  </si>
  <si>
    <t>100000004322</t>
  </si>
  <si>
    <t>F2715NBP35070820339</t>
  </si>
  <si>
    <t>P6N4F-FTMHG-GWPP3-PGGJQ-63BP2</t>
  </si>
  <si>
    <t>Акт 20.03.2025</t>
  </si>
  <si>
    <t>Исламова Виктория Владимировна</t>
  </si>
  <si>
    <t>Islamova Victoria</t>
  </si>
  <si>
    <t>100000002695</t>
  </si>
  <si>
    <t>NXEGYER00H320089503400</t>
  </si>
  <si>
    <t>C38GN-RVBFG-R8DGY-3JW4T-VCFTG</t>
  </si>
  <si>
    <t>Акт 20.01.2025</t>
  </si>
  <si>
    <t>Прибылов Кирилл Олегович</t>
  </si>
  <si>
    <t>Pribylov Kirill</t>
  </si>
  <si>
    <t>Техник по ходовой части автомобиля 1 категории</t>
  </si>
  <si>
    <t>100000004638</t>
  </si>
  <si>
    <t>NXKN3CD00J435010293400</t>
  </si>
  <si>
    <t>MN66J-2W69B-88R83-TPFDG-YG9TP</t>
  </si>
  <si>
    <t>Костикова Полина Алексеевна</t>
  </si>
  <si>
    <t>Kostikova Polina</t>
  </si>
  <si>
    <t>100000003640</t>
  </si>
  <si>
    <t>F2715NBP35060821136</t>
  </si>
  <si>
    <t>Q7DRY-NXCTY-F69Y6-BDRTB-BBH22</t>
  </si>
  <si>
    <t>Голиков Евгений Петровичa</t>
  </si>
  <si>
    <t>Golikov Evgeniy</t>
  </si>
  <si>
    <t>Техник по ходовой части автомобиля 2 категории</t>
  </si>
  <si>
    <t>100000004644</t>
  </si>
  <si>
    <t>NXKN3CD00J4350109D3400</t>
  </si>
  <si>
    <t>W83NJ-Y9CDG-PVRM8-496Q8-2GYP2</t>
  </si>
  <si>
    <t>Фатин Сергей Александрович</t>
  </si>
  <si>
    <t>Fatin Sergey</t>
  </si>
  <si>
    <t xml:space="preserve"> WorkStation,mouse,keyboard+Wifi adp+Монитор 23.8" Lenovo ThinkVision S24e-10</t>
  </si>
  <si>
    <t>140000246</t>
  </si>
  <si>
    <t>PC10AS95</t>
  </si>
  <si>
    <t>BTNG6-Q7HFD-CVWM4-WPFG6-BP2KC</t>
  </si>
  <si>
    <t>Акт 12.03.2026</t>
  </si>
  <si>
    <t>Радишевич Юрий Викторович 11463</t>
  </si>
  <si>
    <t>100000005416</t>
  </si>
  <si>
    <t>C2509N0008342</t>
  </si>
  <si>
    <t>3D7NJ-KDQKW-6M24D-MX3C7-QPFJ2</t>
  </si>
  <si>
    <t>Акт 12.09.2026</t>
  </si>
  <si>
    <t xml:space="preserve">Козлова Анастасия Сергеевна </t>
  </si>
  <si>
    <t>Anastasia Kozlova</t>
  </si>
  <si>
    <t>Q&amp;T, QA</t>
  </si>
  <si>
    <t>100000001612</t>
  </si>
  <si>
    <t>CND12505KX</t>
  </si>
  <si>
    <t>Панкова Валентина Николаевна</t>
  </si>
  <si>
    <t>Pankova Valentina</t>
  </si>
  <si>
    <t>140000173/Z000053</t>
  </si>
  <si>
    <t>S4FM3366</t>
  </si>
  <si>
    <t>Ветчинкина Лариса Владимировна</t>
  </si>
  <si>
    <t>Vetchinkina Larisa</t>
  </si>
  <si>
    <t>FD (INVEST)</t>
  </si>
  <si>
    <t>100000005418</t>
  </si>
  <si>
    <t>C2509N0008385</t>
  </si>
  <si>
    <t>PN24H-9B7RR-8CTX4-JDWXJ-7FVPT</t>
  </si>
  <si>
    <t>P6YRN-BYBQW-C6JTX-4PFVQ-3PFJ2</t>
  </si>
  <si>
    <t>Седова Яна Игоревна</t>
  </si>
  <si>
    <t>Модернизация прошла ссд 240 + 4гб оперы</t>
  </si>
  <si>
    <t>Sedova Yana</t>
  </si>
  <si>
    <t>TM , TM GA</t>
  </si>
  <si>
    <t>140000013/Z000138</t>
  </si>
  <si>
    <t>7RNPG22</t>
  </si>
  <si>
    <t>4BNW8-6V6FH-CTH93-39R7V-8HXGG</t>
  </si>
  <si>
    <t>H97N2-RY66V-4HK4M-83T8H-6XWMC</t>
  </si>
  <si>
    <t>Давыдов Владимир Валерьевич</t>
  </si>
  <si>
    <t>Davydov Vladimir</t>
  </si>
  <si>
    <t>100000004314</t>
  </si>
  <si>
    <t>F2715NBP35070821850</t>
  </si>
  <si>
    <t>KJ67R-NWF88-Q46GH-4JWD9-7XMP2</t>
  </si>
  <si>
    <t>Гришина Светлана Игоревна</t>
  </si>
  <si>
    <t>Grishina Svetlana</t>
  </si>
  <si>
    <t>10000001771</t>
  </si>
  <si>
    <t>MP1Z7SLC</t>
  </si>
  <si>
    <t>Акт 14.02.2025</t>
  </si>
  <si>
    <t>Слепцов Сергей Анатольевич</t>
  </si>
  <si>
    <t>Sleptsov Sergey</t>
  </si>
  <si>
    <t>ES,MTC MU</t>
  </si>
  <si>
    <t>100000004317</t>
  </si>
  <si>
    <t>F2715NBP35070821672</t>
  </si>
  <si>
    <t>VDK8P-NTQ73-QKQXF-K32YG-WXCKC</t>
  </si>
  <si>
    <t>Лупашко Константин Дмитриевич</t>
  </si>
  <si>
    <t>Lupashko Konstantin</t>
  </si>
  <si>
    <t>HP ProBook 455 sn CND4434S26/240000001</t>
  </si>
  <si>
    <t>0000000162</t>
  </si>
  <si>
    <t>CND4434S26</t>
  </si>
  <si>
    <t>KBK7F-4YN8Q-4F9WT-VRQT2-D68MC</t>
  </si>
  <si>
    <t>Акт 14.03.2025</t>
  </si>
  <si>
    <t>Шарафутдинова Алсу Ринатовна</t>
  </si>
  <si>
    <t>Sharafutdinova Alsu</t>
  </si>
  <si>
    <t>100000004851</t>
  </si>
  <si>
    <t>UN31ZSI04F533023980700</t>
  </si>
  <si>
    <t>4N77Y-XB23J-VT4QV-K2Q26-TJHPT</t>
  </si>
  <si>
    <t>VMKND-MVC2X-7W66G-9RTM6-VCFTG</t>
  </si>
  <si>
    <t>Дементьев Андрей Николаевич</t>
  </si>
  <si>
    <t>Dementiev Andrey</t>
  </si>
  <si>
    <t>WorkStation,  Monitor Lenovo C24-20 (S/N: V5CGA555), mouse, keyboard</t>
  </si>
  <si>
    <t>10000003810</t>
  </si>
  <si>
    <t>806023DS</t>
  </si>
  <si>
    <t>29N47-YM4B9-QMR6C-2DYHM-PR4C2</t>
  </si>
  <si>
    <t>Макаренко Валерия Игоревна</t>
  </si>
  <si>
    <t>Makarenko Valeria</t>
  </si>
  <si>
    <t>100000004748</t>
  </si>
  <si>
    <t>NXKN3CD00145201B813400</t>
  </si>
  <si>
    <t>Акт 11.11.2025</t>
  </si>
  <si>
    <t>Антропов Иван Викторович</t>
  </si>
  <si>
    <t>Antropov Ivan</t>
  </si>
  <si>
    <t>100000005407</t>
  </si>
  <si>
    <t>C2507N0002841</t>
  </si>
  <si>
    <t>NYY9V-BTGXX-2Q8G8-T78XY-7MKGG</t>
  </si>
  <si>
    <t>PGB7B-VNDD2-VF446-72QXC-27J6C</t>
  </si>
  <si>
    <t>Махмадиев Идибек Рахимджонович</t>
  </si>
  <si>
    <t>Makhmadiev Idibek</t>
  </si>
  <si>
    <t>100000002699</t>
  </si>
  <si>
    <t>MP2HC1M0</t>
  </si>
  <si>
    <t>7KY69-DN94T-76VWC-7W6HH-XD8GG</t>
  </si>
  <si>
    <t>Акт 04.04.2025</t>
  </si>
  <si>
    <t>Третьяк Алексей Сергеевич</t>
  </si>
  <si>
    <t>Tretyak Alexey</t>
  </si>
  <si>
    <t>Инженер по измерениям</t>
  </si>
  <si>
    <t>100000005189</t>
  </si>
  <si>
    <t>C2507N0003007</t>
  </si>
  <si>
    <t>6WNTR-4C924-WTCBM-3V7JQ-WQK2P</t>
  </si>
  <si>
    <t>Новикова (Муляр) Анастасия Анатольевна</t>
  </si>
  <si>
    <t>Novikova Anastasia</t>
  </si>
  <si>
    <t>00000011059</t>
  </si>
  <si>
    <t>R90QN4VN</t>
  </si>
  <si>
    <t>26GJN-KWPMF-W32P8-TKY99-66PKC</t>
  </si>
  <si>
    <t>Акт 03.04.2025</t>
  </si>
  <si>
    <t>Артемьев Сергей Анатольевич</t>
  </si>
  <si>
    <t>Artemyev Sergey</t>
  </si>
  <si>
    <t>Заместитель директора по взаимодействию с органами государственной власти</t>
  </si>
  <si>
    <t>100000005423</t>
  </si>
  <si>
    <t>C2509N0008349</t>
  </si>
  <si>
    <t>FYNV7-BX2DY-D2HRY-74XJ7-4C2TC</t>
  </si>
  <si>
    <t>Акт 25.05.2026</t>
  </si>
  <si>
    <t>Исаева Елизавета Евгеньевна</t>
  </si>
  <si>
    <t>Isayeva Yelizaveta</t>
  </si>
  <si>
    <t>100000004255</t>
  </si>
  <si>
    <t>DQBKMCD002336013DE3000</t>
  </si>
  <si>
    <t>RM4NW-KQ47Q-RT8RY-DW49P-D7B86</t>
  </si>
  <si>
    <t>Акт 25.04.2025 на Дорошенко Алевтину</t>
  </si>
  <si>
    <t>Анашкин Павел Владимирович</t>
  </si>
  <si>
    <t>Anashkin Pavel</t>
  </si>
  <si>
    <t>Инженер-технолог</t>
  </si>
  <si>
    <t>140000248</t>
  </si>
  <si>
    <t>PC10AS97</t>
  </si>
  <si>
    <t>6R2G7-6N83Q-2DBTB-DPFDB-6VJXC</t>
  </si>
  <si>
    <t xml:space="preserve">Фролова Виктория Олеговна </t>
  </si>
  <si>
    <t>была модернизация 17.04.2025/upgraded (+4ram total 8ram</t>
  </si>
  <si>
    <t>Frolova Victoria</t>
  </si>
  <si>
    <t>00000010791</t>
  </si>
  <si>
    <t>R90QFPYX</t>
  </si>
  <si>
    <t>PJNW4-GFFC6-D38XP-XTBXC-HH66P</t>
  </si>
  <si>
    <t>Козлова Валерия Николаевна</t>
  </si>
  <si>
    <t>Kozlova Valeria</t>
  </si>
  <si>
    <t>100000004323</t>
  </si>
  <si>
    <t>F2715NBP35070820450</t>
  </si>
  <si>
    <t>Libre office, Onlyoffice</t>
  </si>
  <si>
    <t>BV9BG-MNPB6-M6BB4-4CRH3-PYT6P</t>
  </si>
  <si>
    <t>Акт 07.05.2025</t>
  </si>
  <si>
    <t>Чибисова Ангелина Александровна</t>
  </si>
  <si>
    <t>Chibisova Angelina</t>
  </si>
  <si>
    <t>100000003362</t>
  </si>
  <si>
    <t>NXEGYER00H32008B203400</t>
  </si>
  <si>
    <t>9MQQM-NTPV8-X9WH7-8M6PV-BDYCT</t>
  </si>
  <si>
    <t>Акт 24.06.2025</t>
  </si>
  <si>
    <t>Соломатин Олег Владимирович</t>
  </si>
  <si>
    <t>Solomatin Oleg</t>
  </si>
  <si>
    <t>100000004354</t>
  </si>
  <si>
    <t>2408A22H124i5M2165R00115</t>
  </si>
  <si>
    <t>YPWJN-BHK26-DTR72-839JT-2BBCT</t>
  </si>
  <si>
    <t>Медведева Татьяна Викторовна</t>
  </si>
  <si>
    <t>модернизация прошла оперативная память добавить 16 гб</t>
  </si>
  <si>
    <t>Medvedeva Tatyana</t>
  </si>
  <si>
    <t>AIO HP 200 G3</t>
  </si>
  <si>
    <t>00000021020(1)</t>
  </si>
  <si>
    <t>8CC9164N8V</t>
  </si>
  <si>
    <t>DCGN7-X4HQY-RVDBX-6JFYW-RX8XC</t>
  </si>
  <si>
    <t>Акт  04.06.2025</t>
  </si>
  <si>
    <t>Кострикина Софья Андреевна</t>
  </si>
  <si>
    <t>Kostrikina Sofia</t>
  </si>
  <si>
    <t>Специалист по платежам 2 категории</t>
  </si>
  <si>
    <t>100000003636</t>
  </si>
  <si>
    <t>2408A22H124i5M2165R00479</t>
  </si>
  <si>
    <t>4FRNG-XX2KF-QTJPG-K3RXP-D69TP</t>
  </si>
  <si>
    <t>Дроздова Марина Николаевна</t>
  </si>
  <si>
    <t>Drozdova Marina</t>
  </si>
  <si>
    <t>140000061/Z000102</t>
  </si>
  <si>
    <t>S4FM3308</t>
  </si>
  <si>
    <t>Акт 25.08.2025</t>
  </si>
  <si>
    <t>Гончаров Сергей Олегович</t>
  </si>
  <si>
    <t>Goncharov Sergey</t>
  </si>
  <si>
    <t>100000006498</t>
  </si>
  <si>
    <t>PW0K0DZ6</t>
  </si>
  <si>
    <t>6JGNC-X2C3C-H87F9-WTVT6-BP22T</t>
  </si>
  <si>
    <t>Моисеев Глеб Валерьевич</t>
  </si>
  <si>
    <t>Moiseev Gleb</t>
  </si>
  <si>
    <t>100000004646</t>
  </si>
  <si>
    <t>NXKN3CD00J4350107F3400</t>
  </si>
  <si>
    <t>NGF6Q-23F3Y-36RJH-XXMMW-MTDGP</t>
  </si>
  <si>
    <t>Клочков Кирилл Романович</t>
  </si>
  <si>
    <t>Klochkov Kirill</t>
  </si>
  <si>
    <t>100000004647</t>
  </si>
  <si>
    <t>NXKN3CD00J43500F533400</t>
  </si>
  <si>
    <t>XT2T4-BNBG8-TWHBF-MMJCP-V8RC2</t>
  </si>
  <si>
    <t>Русинович Никита Владимирович</t>
  </si>
  <si>
    <t>Rusinovich Nikita</t>
  </si>
  <si>
    <t>100000004479</t>
  </si>
  <si>
    <t>F2717NBP4502103143</t>
  </si>
  <si>
    <t>CNRYG-66RVY-GHQ86-VM4DJ-TQ722</t>
  </si>
  <si>
    <t>Гусев Дмитрий Геннадьевич</t>
  </si>
  <si>
    <t>Gusev Dmitry</t>
  </si>
  <si>
    <t>Инженер по оснастке</t>
  </si>
  <si>
    <t>WorkStation,monitor(S24),mouse,keyboard</t>
  </si>
  <si>
    <t>140000195</t>
  </si>
  <si>
    <t>S4HN3474</t>
  </si>
  <si>
    <t>Акт 31.07.2025</t>
  </si>
  <si>
    <t>Деркачева Анастасия Михайловна</t>
  </si>
  <si>
    <t>Derkacheva Anastasia</t>
  </si>
  <si>
    <t>100000004745</t>
  </si>
  <si>
    <t>NXKN3CD001452029833400</t>
  </si>
  <si>
    <t>P4NJQ-BX2JM-DT329-D99K7-M4HJ6</t>
  </si>
  <si>
    <t>Фролкин Владислав Игоревич</t>
  </si>
  <si>
    <t>Frolkin Vladislav</t>
  </si>
  <si>
    <t>Ведущий инженер линии</t>
  </si>
  <si>
    <t>100000004648</t>
  </si>
  <si>
    <t>NXKN3CD00J43500E5A3400</t>
  </si>
  <si>
    <t>HWKMN-W8W2V-WWBDP-DMKWQ-RJRC2</t>
  </si>
  <si>
    <t>Сырцев Дмитрий Владимирович</t>
  </si>
  <si>
    <t>Syrtsev Dmitriy</t>
  </si>
  <si>
    <t>100000001636</t>
  </si>
  <si>
    <t>PF2TM25B</t>
  </si>
  <si>
    <t xml:space="preserve">7GPBJ-NFT49-W6H8Y-7JX6M-88HH6 </t>
  </si>
  <si>
    <t>Ващенко Софья Андреевна</t>
  </si>
  <si>
    <t>Vaschenko Sofia</t>
  </si>
  <si>
    <t>100000003635</t>
  </si>
  <si>
    <t>2408A22H124i5M2165R00421</t>
  </si>
  <si>
    <t>KQX6V-3XNT7-HBF26-GHY9T-J2RW6</t>
  </si>
  <si>
    <t>Акт 02.07.2025</t>
  </si>
  <si>
    <t>Колбенев Роман Владимирович</t>
  </si>
  <si>
    <t>Kolbenev Roman</t>
  </si>
  <si>
    <t>100000004650</t>
  </si>
  <si>
    <t>NXKN3CD00J43500F793400</t>
  </si>
  <si>
    <t>2HJX7-YN9D6-43J2T-HMPQ4-YTDGP</t>
  </si>
  <si>
    <t>Трушина Ольга</t>
  </si>
  <si>
    <t>Trushina Olga</t>
  </si>
  <si>
    <t>Специалист SAP</t>
  </si>
  <si>
    <t>100000001694</t>
  </si>
  <si>
    <t>MP24R9MD</t>
  </si>
  <si>
    <t>Козырев Илья Сергеевич 12475</t>
  </si>
  <si>
    <t>Залита клавиатура, требуется полная её замена.</t>
  </si>
  <si>
    <t>Kozyrev Ilya</t>
  </si>
  <si>
    <t>laptop,mouse, keyboard</t>
  </si>
  <si>
    <t>00000011071</t>
  </si>
  <si>
    <t>R90QN4VR</t>
  </si>
  <si>
    <t>QHQDT-NTJDG-4HV2F-2GRV4-CR4C2</t>
  </si>
  <si>
    <t>Пахомов Павел Александрович</t>
  </si>
  <si>
    <t>Pakhomov Pavel</t>
  </si>
  <si>
    <t>100000003652</t>
  </si>
  <si>
    <t>F2715NBP35060821489</t>
  </si>
  <si>
    <t>TN7KG-TDGF6-993XR-TR2V2-HH66P</t>
  </si>
  <si>
    <t>Акт 08.08.2025</t>
  </si>
  <si>
    <t>Титов Максим Олегович</t>
  </si>
  <si>
    <t>Titov Maxim</t>
  </si>
  <si>
    <t>100000004737</t>
  </si>
  <si>
    <t>NXKN3CD001452029E13400</t>
  </si>
  <si>
    <t>GBNBC-YHFYC-7VG84-WRFTF-QGPKC</t>
  </si>
  <si>
    <t>Денисов Иван Витальевич</t>
  </si>
  <si>
    <t>Denisov Ivan Vitalievich</t>
  </si>
  <si>
    <t>100000001631</t>
  </si>
  <si>
    <t>PF2TYFX6</t>
  </si>
  <si>
    <t>Акт 22.10.2025</t>
  </si>
  <si>
    <t>Гаврюшин Денис Александрович</t>
  </si>
  <si>
    <t>Gavryushin Denis</t>
  </si>
  <si>
    <t>100000004742</t>
  </si>
  <si>
    <t>NXKN3CD001452019143400</t>
  </si>
  <si>
    <t>N9P67-C9PWH-DX8H4-WR4QP-7VG84</t>
  </si>
  <si>
    <t>Сляднева Екатерина Александровна</t>
  </si>
  <si>
    <t>Модернизация не требуется/normal (no need to upgrade)  30.04.2026 заменён вздутый аккумулятор</t>
  </si>
  <si>
    <t>Slyadneva Ekaterina</t>
  </si>
  <si>
    <t>100000003575</t>
  </si>
  <si>
    <t>F2715NBP35060821141</t>
  </si>
  <si>
    <t>Акт 18.07.2025</t>
  </si>
  <si>
    <t xml:space="preserve">Чобанян Эрна Тиграновна </t>
  </si>
  <si>
    <t>Chobanyan Erna</t>
  </si>
  <si>
    <t>Ассистент</t>
  </si>
  <si>
    <t>Laptop,mouse+ Lan-USB,bag</t>
  </si>
  <si>
    <t>100000001642</t>
  </si>
  <si>
    <t>PF2TLXDS</t>
  </si>
  <si>
    <t>Григорьев Юрий Федорович</t>
  </si>
  <si>
    <t>Grigoriev Yuri</t>
  </si>
  <si>
    <t>Заместитель руководителя склада</t>
  </si>
  <si>
    <t>100000005394</t>
  </si>
  <si>
    <t>C2509N0008328</t>
  </si>
  <si>
    <t>Давидов Денис Дмитриевич</t>
  </si>
  <si>
    <t>Davidov Denis</t>
  </si>
  <si>
    <t>100000003356</t>
  </si>
  <si>
    <t>NXEGYER00H32008A293400</t>
  </si>
  <si>
    <t>K3VPB-26HGG-J7JFD-TH96J-9TP2T</t>
  </si>
  <si>
    <t>Акт 06.08.2025</t>
  </si>
  <si>
    <t>Алексеев Кирилл Данилович</t>
  </si>
  <si>
    <t>Alekseev Kirill</t>
  </si>
  <si>
    <t>Менеджер по надзору и аудиту</t>
  </si>
  <si>
    <t>GD, SA</t>
  </si>
  <si>
    <t>100000001619</t>
  </si>
  <si>
    <t>CND12505SY</t>
  </si>
  <si>
    <t>Акт 05.08.2025</t>
  </si>
  <si>
    <t>Захарова Кристина Александровна</t>
  </si>
  <si>
    <t>Zakharova Kristina</t>
  </si>
  <si>
    <t>100000006133</t>
  </si>
  <si>
    <t>PW0LW3SP</t>
  </si>
  <si>
    <t>N686M-4P8XV-CB2F4-VG96W-DGP2T</t>
  </si>
  <si>
    <t>Харитонова Валерия Андреевна</t>
  </si>
  <si>
    <t>Kharitonova Valeria</t>
  </si>
  <si>
    <t>10000001786</t>
  </si>
  <si>
    <t>PF1SLKD5</t>
  </si>
  <si>
    <t>C98FG-N2TDJ-64XHQ-XRGFQ-9D9GG</t>
  </si>
  <si>
    <t>Соколова Алина Сергеевна</t>
  </si>
  <si>
    <t>100000003608</t>
  </si>
  <si>
    <t>F2715NBP35060821810</t>
  </si>
  <si>
    <t>W3TTD-N4F4F-R7DB4-Y76JP-J46TG</t>
  </si>
  <si>
    <t>7N3KH-VP9RX-BBPT7-WYX64-R3KTP</t>
  </si>
  <si>
    <t>Безвин Владислав Дмитриевич</t>
  </si>
  <si>
    <t xml:space="preserve">Модернизация не требуется/normal (no need to upgrade)
</t>
  </si>
  <si>
    <t>Bezvin Vladislav</t>
  </si>
  <si>
    <t>100000004315</t>
  </si>
  <si>
    <t>F2715NBP35070820560</t>
  </si>
  <si>
    <t>4HBVP-CNJJ8-KPPDB-T88W2-6JF9C</t>
  </si>
  <si>
    <t>Тараскин Артем Германович</t>
  </si>
  <si>
    <t>Модернизация не требуется/normal (no need to upgrade)
Звук починили по гарантии</t>
  </si>
  <si>
    <t>Taraskin Artem</t>
  </si>
  <si>
    <t>100000004633</t>
  </si>
  <si>
    <t>2408A22H124i5M2165R00124</t>
  </si>
  <si>
    <t>TXPNF-XW84H-WCXRH-GGDD7-8HV22</t>
  </si>
  <si>
    <t>Акт 19.08.2025</t>
  </si>
  <si>
    <t>Евсиков Константин Александрович</t>
  </si>
  <si>
    <t>Evsikov Konstantin</t>
  </si>
  <si>
    <t>RDC, ISSS, SDG</t>
  </si>
  <si>
    <t>Laptop,mouse +Lan-USB, acer display 24"</t>
  </si>
  <si>
    <t>100000001660</t>
  </si>
  <si>
    <t>1NB0JK3</t>
  </si>
  <si>
    <t>Microsoft 365 по подписке для предприятий</t>
  </si>
  <si>
    <t>Кулишов Николай Юрьевич</t>
  </si>
  <si>
    <t>Модернизация не требуется/normal (no need to upgrade) 04.08.2026 Заменён Wi-Fi модуль</t>
  </si>
  <si>
    <t>Kulishov Nikolay</t>
  </si>
  <si>
    <t>100000003380</t>
  </si>
  <si>
    <t>F2715NBP35080821769</t>
  </si>
  <si>
    <t>Акт 28.08.2025</t>
  </si>
  <si>
    <t>Алексеева Елизавета Александровна</t>
  </si>
  <si>
    <t>Alekseeva Elizaveta</t>
  </si>
  <si>
    <t>Специалист по управлению проектами</t>
  </si>
  <si>
    <t>100000006712</t>
  </si>
  <si>
    <t>PW0K0DJV</t>
  </si>
  <si>
    <t>KDX67-N6VYV-FGP68-C6WGC-6JHPT</t>
  </si>
  <si>
    <t>HT93K-2NJT4-HDCPW-TYVK3-G83W6</t>
  </si>
  <si>
    <t>Акт 01.06.2026</t>
  </si>
  <si>
    <t>Нарышкина Виктория Геннадьевна</t>
  </si>
  <si>
    <t>Naryshkina Victoria</t>
  </si>
  <si>
    <t>Наладчик технологического оборудования 1 категории</t>
  </si>
  <si>
    <t>100000004324</t>
  </si>
  <si>
    <t>F2715NBP35060821112</t>
  </si>
  <si>
    <t>NJ8CM-MYDX6-PCGQ4-HTTVX-XKY4G</t>
  </si>
  <si>
    <t>NPTTY-THRKT-VJCQK-X487M-FGDGP</t>
  </si>
  <si>
    <t>Байкова Юлия Сергеевна</t>
  </si>
  <si>
    <t>Baykova Julia</t>
  </si>
  <si>
    <t>Специалист по оценке</t>
  </si>
  <si>
    <t>100000003574</t>
  </si>
  <si>
    <t>F2715NBP35060821484</t>
  </si>
  <si>
    <t>Акт 04.09.2025</t>
  </si>
  <si>
    <t xml:space="preserve">Гончарова Алиса Сергеевна </t>
  </si>
  <si>
    <t>Goncharova Alisa</t>
  </si>
  <si>
    <t>100000001685</t>
  </si>
  <si>
    <t>6M4HDF2</t>
  </si>
  <si>
    <t>9HC3Y-MNHRV-7396G-9TV63-B98V2</t>
  </si>
  <si>
    <t>Акт 11.09.2025</t>
  </si>
  <si>
    <t>Баулина Анна Сергеевна</t>
  </si>
  <si>
    <r>
      <rPr>
        <sz val="12"/>
        <color rgb="FFFF0000"/>
        <rFont val="Times New Roman"/>
        <family val="1"/>
        <charset val="204"/>
      </rPr>
      <t xml:space="preserve">Отказ от замены, игнорирование ит отдела </t>
    </r>
    <r>
      <rPr>
        <sz val="12"/>
        <color rgb="FF006100"/>
        <rFont val="Times New Roman"/>
        <family val="1"/>
        <charset val="204"/>
      </rPr>
      <t>пк модернизация пришла оперативная память добавить 4 гб</t>
    </r>
  </si>
  <si>
    <t>Baulina Anna</t>
  </si>
  <si>
    <t>140000137/Z000069</t>
  </si>
  <si>
    <t>S4FM3407</t>
  </si>
  <si>
    <t>BDNDG-WH62W-4BY63-QFFHW-GVJXC</t>
  </si>
  <si>
    <t>Акт 12.09.2024</t>
  </si>
  <si>
    <t>Атабекян Гоар Вардановна</t>
  </si>
  <si>
    <t>Модернизация не требуется/normal (no need to upgrade)
НЕ РАБОТАЕТ WIFI АППАРАТНО</t>
  </si>
  <si>
    <t>Atabekyan Goar</t>
  </si>
  <si>
    <t>100000001649</t>
  </si>
  <si>
    <t>PF2TYCQG</t>
  </si>
  <si>
    <t>G2CK8-4MNHK-PWCCX-J7THY-F9CMK</t>
  </si>
  <si>
    <t>Акт 16.09.2025</t>
  </si>
  <si>
    <t>Татаринов Александр Максимович</t>
  </si>
  <si>
    <t>Tatarinov Alexander</t>
  </si>
  <si>
    <t>100000004852</t>
  </si>
  <si>
    <t>UN31ZSI04F5330237A0700</t>
  </si>
  <si>
    <t>NC4HJ-XYHH7-9FV4X-VDKY3-VXP6G</t>
  </si>
  <si>
    <t>X8623-MNPFC-XXGFY-GYV7T-WXC2T</t>
  </si>
  <si>
    <t xml:space="preserve"> Самощенков Александр Владимирович </t>
  </si>
  <si>
    <t>Samoshchenkov Alexander</t>
  </si>
  <si>
    <t>100000004739</t>
  </si>
  <si>
    <t>NXKN3CD001452026B73400</t>
  </si>
  <si>
    <t>36297-NCMP8-3QTK8-TQMX9-2YVJ6</t>
  </si>
  <si>
    <t>Новикова Марина Сергеевна</t>
  </si>
  <si>
    <t>Novikova Marina</t>
  </si>
  <si>
    <t>Специалист по закупкам 1 категории</t>
  </si>
  <si>
    <t>100000004356</t>
  </si>
  <si>
    <t>2408A22H124i5M2165R00116</t>
  </si>
  <si>
    <t>NGG87-Q3K33-FDVP4-VHWB6-P7MCT</t>
  </si>
  <si>
    <t>QBNYW-BFWCR-XVWWY-BM8BV-GCQGP</t>
  </si>
  <si>
    <t>Гришечкина Ксения Дмитриевна</t>
  </si>
  <si>
    <t>Grishechkina Kseniya</t>
  </si>
  <si>
    <t>Специалист по локальной оценке</t>
  </si>
  <si>
    <t>100000003619</t>
  </si>
  <si>
    <t>F2715NBP35060821382</t>
  </si>
  <si>
    <t>NF6HC-QH89W-F8WYV-WWXV4-WFG6P</t>
  </si>
  <si>
    <t xml:space="preserve">Семенов Евгений Викторович </t>
  </si>
  <si>
    <t>Semenov Evgeniy</t>
  </si>
  <si>
    <t>100000003601</t>
  </si>
  <si>
    <t>F2715NBP35060820238</t>
  </si>
  <si>
    <t>MS Office Home &amp; Business 2019 MASSGRAVE</t>
  </si>
  <si>
    <t>XNWVF-XQ3GC-GM66K-942R3-G83GP</t>
  </si>
  <si>
    <t>Баценкова Нина Владимировна</t>
  </si>
  <si>
    <t>Batsenkova Nina</t>
  </si>
  <si>
    <t>100000004484</t>
  </si>
  <si>
    <t>2408A22H124L5M2165R00480</t>
  </si>
  <si>
    <t>WRP27-GNF82-R3CHY-TBHC7-46YP2</t>
  </si>
  <si>
    <t>Черкасов Сергей Николаевич</t>
  </si>
  <si>
    <t>Cherkasov Sergey</t>
  </si>
  <si>
    <t>100000004734</t>
  </si>
  <si>
    <t>F2717NBP4502103195</t>
  </si>
  <si>
    <t>NCKR9-HJRJT-G7VJ3-VJJY6-BP2KC</t>
  </si>
  <si>
    <t>Проскоков Алексей Олегович</t>
  </si>
  <si>
    <t>Proskokov Alexey</t>
  </si>
  <si>
    <t>Аудитор антикоррозионных процессов</t>
  </si>
  <si>
    <t>100000004305</t>
  </si>
  <si>
    <t>F2715NBP35060821900</t>
  </si>
  <si>
    <t>YRHNP-C4JKG-THM8X-HTKKD-JTYP2</t>
  </si>
  <si>
    <t>Панюков Павел Иванович 12821</t>
  </si>
  <si>
    <t>Panyukov Pavel</t>
  </si>
  <si>
    <t>100000006981</t>
  </si>
  <si>
    <t>DQBR8CD00255101CF56N02</t>
  </si>
  <si>
    <t>4P4NW-VKKCX-MGXG7-XTKCX-H6DW6</t>
  </si>
  <si>
    <t>Акт 05.09.2026</t>
  </si>
  <si>
    <t>Замалаев Александр Сергеевич</t>
  </si>
  <si>
    <t xml:space="preserve">Zamalaev Alexander </t>
  </si>
  <si>
    <t>00000015290</t>
  </si>
  <si>
    <t>LR0AVC0Z</t>
  </si>
  <si>
    <t>100000003396</t>
  </si>
  <si>
    <t>DQBKMCD002336012DC3000</t>
  </si>
  <si>
    <t>акт 13.04.2026</t>
  </si>
  <si>
    <t>Харабаджи Анатолий Юрьевич</t>
  </si>
  <si>
    <r>
      <rPr>
        <sz val="12"/>
        <color theme="1"/>
        <rFont val="Times New Roman"/>
        <family val="1"/>
        <charset val="204"/>
      </rPr>
      <t>Kharabadzhi</t>
    </r>
    <r>
      <rPr>
        <b/>
        <sz val="12"/>
        <color theme="1"/>
        <rFont val="Times New Roman"/>
        <family val="1"/>
        <charset val="204"/>
      </rPr>
      <t xml:space="preserve"> </t>
    </r>
    <r>
      <rPr>
        <sz val="12"/>
        <color theme="1"/>
        <rFont val="Times New Roman"/>
        <family val="1"/>
        <charset val="204"/>
      </rPr>
      <t>Anatoly</t>
    </r>
  </si>
  <si>
    <t>100000004318</t>
  </si>
  <si>
    <t>F2715NBP35070820182</t>
  </si>
  <si>
    <t>MRR8M-VJNKY-7PW6T-Y7FR8-BWRC2</t>
  </si>
  <si>
    <t>Акт 23.01.2026</t>
  </si>
  <si>
    <t>Живова Елизавета Сергеевна</t>
  </si>
  <si>
    <t>Zhivova Elizaveta</t>
  </si>
  <si>
    <t>10000001727</t>
  </si>
  <si>
    <t>M3N0CV15E195112</t>
  </si>
  <si>
    <t>Акт 26.09.2024</t>
  </si>
  <si>
    <t>Митяева Полина Сергеевна</t>
  </si>
  <si>
    <t>Mityayeva Polina</t>
  </si>
  <si>
    <t>100000004738</t>
  </si>
  <si>
    <t>NXKN3CD001452029543400</t>
  </si>
  <si>
    <t>6CRT3-N2RWK-JTFW8-82QM9-Y7XGG</t>
  </si>
  <si>
    <t xml:space="preserve">BDXVN-JDXR7-TP9MG-46HVG-V6DW6
</t>
  </si>
  <si>
    <t xml:space="preserve">Митряев Николай Владимирович
</t>
  </si>
  <si>
    <t>Модернизация не требуется/normal (no need to upgrade),  Отправили на ремонт по гарантии (Регард)
вернулся 28-11-2025</t>
  </si>
  <si>
    <t xml:space="preserve">Mitryayev Nikolay
</t>
  </si>
  <si>
    <t>100000003616</t>
  </si>
  <si>
    <t>F2715NBP35060821910</t>
  </si>
  <si>
    <t>DQXVW-NHKF8-8T39X-XCGRF-9W3GP</t>
  </si>
  <si>
    <t>"БЕЗ НДС 33806,78, С НДС 39892"</t>
  </si>
  <si>
    <t>Голодкова Елизавета Константиновна</t>
  </si>
  <si>
    <t>Была модернизация/upgraded SSD 512 NVME</t>
  </si>
  <si>
    <t>Golodkova Elizaveta</t>
  </si>
  <si>
    <t>10000001782</t>
  </si>
  <si>
    <t>PF1SLCP5</t>
  </si>
  <si>
    <t>Рыбакова Наталья Николаевна</t>
  </si>
  <si>
    <t>Rybakova Natalia</t>
  </si>
  <si>
    <t>100000001686</t>
  </si>
  <si>
    <t>93RHDF2</t>
  </si>
  <si>
    <t>Шандыбин Лев Иванович</t>
  </si>
  <si>
    <t>Shandybin Lev</t>
  </si>
  <si>
    <t>Специалист 1 категории</t>
  </si>
  <si>
    <t>100000003615</t>
  </si>
  <si>
    <t>F2715NBP35060821362</t>
  </si>
  <si>
    <t>JWBN9-XJ93B-H4H7V-R8782-V8RC2</t>
  </si>
  <si>
    <t>Гульцев Илья Олегович</t>
  </si>
  <si>
    <t>Gultsev Ilya</t>
  </si>
  <si>
    <t>00000011063</t>
  </si>
  <si>
    <t>R90QN4VT</t>
  </si>
  <si>
    <t>ND3JP-CK4PM-2THM9-399YT-XQBP2</t>
  </si>
  <si>
    <t>Акт 14.04.2026</t>
  </si>
  <si>
    <t>Плотников Руслан Вячеславович</t>
  </si>
  <si>
    <t>Plotnikov Ruslan</t>
  </si>
  <si>
    <t>100000005128</t>
  </si>
  <si>
    <t>C2507N0003138</t>
  </si>
  <si>
    <t>NMJVQ-M37VB-9HY7F-KXJKF-CR4J2</t>
  </si>
  <si>
    <t>Куликова Лидия Юрьевна( MSI+o)</t>
  </si>
  <si>
    <t>Отправлялся на ремонт 19.09.2025
Вернулся 17.10.2025</t>
  </si>
  <si>
    <t>Kulikova Lidiya</t>
  </si>
  <si>
    <t>Laptop,mouse, Клавиатура, Monitor Xiaomi A24i  SN 54383/250100058880</t>
  </si>
  <si>
    <t>F2717NBP4502103121</t>
  </si>
  <si>
    <t>NHW72-GKQD6-33V2D-VKH7R-VMH22</t>
  </si>
  <si>
    <t>Акт 20.10.2025
Акт 29.08.2026 на монитор</t>
  </si>
  <si>
    <t>Пацин Александр Михайлович</t>
  </si>
  <si>
    <t xml:space="preserve">Patsin Aleksandr </t>
  </si>
  <si>
    <t>Специалист по информационной безопасности</t>
  </si>
  <si>
    <t>Laptop,+monitor MSI 27 (mouse сдал использует свою)</t>
  </si>
  <si>
    <t>100000004657</t>
  </si>
  <si>
    <t>F2717NBP4502103159</t>
  </si>
  <si>
    <t>Зеленько Марина  Андреевна</t>
  </si>
  <si>
    <t>Zelenko Marina</t>
  </si>
  <si>
    <t>Cпециалист по управлению KPI</t>
  </si>
  <si>
    <t>100000004636</t>
  </si>
  <si>
    <t>2408A22H124i5M2165R00101</t>
  </si>
  <si>
    <t>Горбовский Александр Александрович</t>
  </si>
  <si>
    <t>Gorbovsky Alexander</t>
  </si>
  <si>
    <t>Специалист по аудиту и мониторингу</t>
  </si>
  <si>
    <t>00000022303(11)</t>
  </si>
  <si>
    <t>PF14T186</t>
  </si>
  <si>
    <t>Меркулова Алёна Олеговна</t>
  </si>
  <si>
    <t>Merkulova Alena</t>
  </si>
  <si>
    <t>100000003647</t>
  </si>
  <si>
    <t>F2715NBP35060820975</t>
  </si>
  <si>
    <t>KJ8NH-PQ4RY-3X287-C877W-Q69TP</t>
  </si>
  <si>
    <t>Акт 29.10.2025</t>
  </si>
  <si>
    <t>Чабан Михаил Сергеевич</t>
  </si>
  <si>
    <t>Chaban Mikhail</t>
  </si>
  <si>
    <t>100000004639</t>
  </si>
  <si>
    <t>NXKN3CD00J43500F153400</t>
  </si>
  <si>
    <t>3RNDW-MMKK2-P3TRT-GJK7X-XKXTP</t>
  </si>
  <si>
    <t>Арляпова Татьяна Алексеевна</t>
  </si>
  <si>
    <t>Arlyapova Tatyana</t>
  </si>
  <si>
    <t>Workstation Lenovo V530s+ отдельно монитор Dell</t>
  </si>
  <si>
    <t>YL002URJ</t>
  </si>
  <si>
    <t>Файзуллин Марат Касимович</t>
  </si>
  <si>
    <t>Faizullin Marat</t>
  </si>
  <si>
    <t>100000005412</t>
  </si>
  <si>
    <t>C2507N0003099</t>
  </si>
  <si>
    <t>87N4P-WBTMG-PHPD9-9WDHK-C7MCT</t>
  </si>
  <si>
    <t>W4BNX-J4QQW-YHGXW-BP2X4-JHV82</t>
  </si>
  <si>
    <t>Каптейн Альфред Сергеевич</t>
  </si>
  <si>
    <t>Kapteyn Alfred</t>
  </si>
  <si>
    <t>100000004750</t>
  </si>
  <si>
    <t>NXKN3CD00145202A1F3400</t>
  </si>
  <si>
    <t>DCKWN-PWD4X-YD296-GPBFB-88GPT</t>
  </si>
  <si>
    <t>Бормина Алёна Сергеевна</t>
  </si>
  <si>
    <t>Bormina Alena</t>
  </si>
  <si>
    <t>Специалист по улучшениям</t>
  </si>
  <si>
    <t>00000011586</t>
  </si>
  <si>
    <t>LR08MDC5</t>
  </si>
  <si>
    <t>9WNW6-TFHB6-TVFYJ-GRFHY-88F9C</t>
  </si>
  <si>
    <t>Гуськов Дмитрий Викторович</t>
  </si>
  <si>
    <t>Guskov Dmitry</t>
  </si>
  <si>
    <t>100000006497</t>
  </si>
  <si>
    <t>PW0K0E0D</t>
  </si>
  <si>
    <t>H9NMG-BHC9D-8KBXW-V4H9X-6CQW6</t>
  </si>
  <si>
    <t>Лацков Андрей Александрович 13289</t>
  </si>
  <si>
    <t>Latskov Andrey</t>
  </si>
  <si>
    <t>ES, ES Q&amp;T, ES QM</t>
  </si>
  <si>
    <t>100000006968</t>
  </si>
  <si>
    <t>PW0K0DXJ</t>
  </si>
  <si>
    <t>K4YHD-WNVG3-X3Q3T-K27FK-BKM6G</t>
  </si>
  <si>
    <t>Соловьев Илья Александрович</t>
  </si>
  <si>
    <t xml:space="preserve">Soloviev Ilya </t>
  </si>
  <si>
    <t>100000005188</t>
  </si>
  <si>
    <t>C2507N0002858</t>
  </si>
  <si>
    <t>XFX9J-BN8YJ-6X7MJ-VH783-TCQGP</t>
  </si>
  <si>
    <t>Ковтуненко Дмитрий Владимирович</t>
  </si>
  <si>
    <t>Kovtunenko Dmitry</t>
  </si>
  <si>
    <t>100000004853</t>
  </si>
  <si>
    <t>UN31ZSI04F533024EC0700</t>
  </si>
  <si>
    <t>YPNMX-V6TB7-32Q9V-VGMY3-KKX86</t>
  </si>
  <si>
    <t>Плахин Никита Валерьевич</t>
  </si>
  <si>
    <t>Plakhin Nikita</t>
  </si>
  <si>
    <t>RDC, MLSS</t>
  </si>
  <si>
    <t>Laptop,mouse,+lan USB, монитор PHILIPS(S//N UK0A1522029855)</t>
  </si>
  <si>
    <t>100000001657</t>
  </si>
  <si>
    <t>5D51JK3</t>
  </si>
  <si>
    <t>3NFQH-HT8XK-H22C8-46GVV-T3CYT</t>
  </si>
  <si>
    <t>Акт 06.11.2024</t>
  </si>
  <si>
    <r>
      <rPr>
        <b/>
        <sz val="12"/>
        <color rgb="FF000000"/>
        <rFont val="Times New Roman"/>
        <family val="1"/>
        <charset val="204"/>
      </rPr>
      <t>Тонких Сергей Викторович</t>
    </r>
    <r>
      <rPr>
        <b/>
        <sz val="12"/>
        <color rgb="FF9C5700"/>
        <rFont val="Times New Roman"/>
        <family val="1"/>
        <charset val="204"/>
      </rPr>
      <t xml:space="preserve">
</t>
    </r>
  </si>
  <si>
    <t>Tonkikh Sergey</t>
  </si>
  <si>
    <t>PW0LW3GV</t>
  </si>
  <si>
    <t>926TN-89446-G6PT3-VQFY4-3DB6G</t>
  </si>
  <si>
    <t>Колтуклу Екатерина Андреевна</t>
  </si>
  <si>
    <t xml:space="preserve">Отправлялся на ремонт 19.09.2025
Вернулся 17.10.2025
Замечен фриз 1 раз (под вопросом ремонт по гарантии)
Заменён SSD диск (с оригинального на Samsung из Китая от Шо) из-за плохих смартов
Из-за непонятных аномалийВВД из Китая от ШО заменён на другой </t>
  </si>
  <si>
    <t>Koltuklu Ekaterina</t>
  </si>
  <si>
    <t>Специалист по развитию бережливого потенциала</t>
  </si>
  <si>
    <t>Laptop,mouse,monitor</t>
  </si>
  <si>
    <t>Laptop IRBIS 15NBP3507 + Xiaomi P24FBA-RAGL SN:54383/250100058954</t>
  </si>
  <si>
    <t>100000004313</t>
  </si>
  <si>
    <t>F2715NBP35070822349</t>
  </si>
  <si>
    <t>V38JN-DVH8T-X4H99-JT387-8HV22</t>
  </si>
  <si>
    <t>Пишикина Людмила Евгеньевна</t>
  </si>
  <si>
    <t>Модернизация не требуется/normal (no need to upgrade) 24.04.2026 заменён вздутый аккумулятор</t>
  </si>
  <si>
    <t>100000006410</t>
  </si>
  <si>
    <t>DQBRRCD00255101A476N02</t>
  </si>
  <si>
    <t>42BRC-MN2GX-4GJV3-KMT6W-DGP2T</t>
  </si>
  <si>
    <t>Ишмуратов Руслан Русланович 13370</t>
  </si>
  <si>
    <t>Ishmuratov Ruslan</t>
  </si>
  <si>
    <t>Техник по качеству 1 категории</t>
  </si>
  <si>
    <t>100000006978</t>
  </si>
  <si>
    <t>PW0K0DZN</t>
  </si>
  <si>
    <t>NCT32-4KCM2-PDW4K-T376Q-PYVJ6</t>
  </si>
  <si>
    <t>Клименок Вероника Сергеевна</t>
  </si>
  <si>
    <t>Veronica Klimenok</t>
  </si>
  <si>
    <t>Специалист по подбору персонала</t>
  </si>
  <si>
    <t>100000006116</t>
  </si>
  <si>
    <t>PW0LW4HJ</t>
  </si>
  <si>
    <t>3FN7M-DC4JV-PHYXK-CVQH6-XQB6G</t>
  </si>
  <si>
    <t xml:space="preserve">Тюнина Александра Дмитриевна </t>
  </si>
  <si>
    <t>Alexandra Tyunina</t>
  </si>
  <si>
    <t>100000001635</t>
  </si>
  <si>
    <t>PF2VTM9Q</t>
  </si>
  <si>
    <t>Костюк Дарья Максимовна</t>
  </si>
  <si>
    <t>Kostyuk Daria</t>
  </si>
  <si>
    <t xml:space="preserve">100000006128
</t>
  </si>
  <si>
    <t>PW0LW3N8</t>
  </si>
  <si>
    <t>V8D3C-7NYTR-M8PTB-48Y9Q-9D8GG</t>
  </si>
  <si>
    <t>Макеева Александра  Ивановна</t>
  </si>
  <si>
    <t>Makeeva Alexandra</t>
  </si>
  <si>
    <t>100000006121</t>
  </si>
  <si>
    <t>PW0LW3MF</t>
  </si>
  <si>
    <t>9PNWQ-JB2QM-B8W6J-PJC2Q-TCQW6</t>
  </si>
  <si>
    <t>Петров Игорь Викторович</t>
  </si>
  <si>
    <t>Petrov Igor</t>
  </si>
  <si>
    <t>100000006127</t>
  </si>
  <si>
    <t>PW0LW3GA</t>
  </si>
  <si>
    <t>FN2V4-6X7W2-BH4GW-2R2VT-C9X86</t>
  </si>
  <si>
    <t>Соловьева Кристина Сергеевна</t>
  </si>
  <si>
    <t>Solovieva Kristina</t>
  </si>
  <si>
    <t>100000004854</t>
  </si>
  <si>
    <t>UN31ZSI04F5330235F0700</t>
  </si>
  <si>
    <t>83BN6-8C862-2T29Y-3W7MF-KBVJ6</t>
  </si>
  <si>
    <t>Акт 26.11.2025</t>
  </si>
  <si>
    <t xml:space="preserve">Копырина Милена Александровна </t>
  </si>
  <si>
    <t>Специалист по электронному обучению</t>
  </si>
  <si>
    <t>Laptop,mouse,+display 27</t>
  </si>
  <si>
    <t>Laptop Lenovo V15 G4 + MSI PRO MP273A (SN:PB4H694807394)</t>
  </si>
  <si>
    <t>100000002707</t>
  </si>
  <si>
    <t>PF4ETBE4</t>
  </si>
  <si>
    <t>MS office 2016</t>
  </si>
  <si>
    <t>Рудаченко Даниил Евгеньевич ( 13433 )</t>
  </si>
  <si>
    <t>Rudachenko Daniil</t>
  </si>
  <si>
    <t>100000006721</t>
  </si>
  <si>
    <t>PW0K0DYN</t>
  </si>
  <si>
    <t>DYNPW-7HWXB-CRT37-YVWC9-8QK86</t>
  </si>
  <si>
    <t>Клементьев Виталий Владимирович</t>
  </si>
  <si>
    <t>00000010774</t>
  </si>
  <si>
    <t>R90QN4VP</t>
  </si>
  <si>
    <t>QR29N-BT6KH-BT2K3-DFY99-HCFC2</t>
  </si>
  <si>
    <t>Акт 02.03.2025</t>
  </si>
  <si>
    <t>Ермаков Дмитрий Валериевич</t>
  </si>
  <si>
    <t>Модернизация не требуется/normal (no need to upgrade) 8 ОЗУ</t>
  </si>
  <si>
    <t>Ermakov Dmitry</t>
  </si>
  <si>
    <t>00000011583</t>
  </si>
  <si>
    <t>LR08MDBU</t>
  </si>
  <si>
    <t>W2HDX-JTN6B-724VD-H8TWF-DJ3GP</t>
  </si>
  <si>
    <t>Баканова Диана Юрьевна</t>
  </si>
  <si>
    <t>Bakanova Diana</t>
  </si>
  <si>
    <t>100000006115</t>
  </si>
  <si>
    <t>PW0LW3GG</t>
  </si>
  <si>
    <t>8PRDG-NRX3D-V8B4V-H6944-TVKCT</t>
  </si>
  <si>
    <t>Пузакова Александра Валерьевна</t>
  </si>
  <si>
    <t>Puzakova Alexandra</t>
  </si>
  <si>
    <t>100000001654</t>
  </si>
  <si>
    <t>CKB0JK3</t>
  </si>
  <si>
    <t>Попова Анастасия Андреевна</t>
  </si>
  <si>
    <t>Popova Anastasia</t>
  </si>
  <si>
    <t>100000006526</t>
  </si>
  <si>
    <t>PW0K0DSC</t>
  </si>
  <si>
    <t>PNTGM-FBGQ7-6YH3Y-X8G88-6MVJ6</t>
  </si>
  <si>
    <t>Стуканов Дмитрий Олегович 13527</t>
  </si>
  <si>
    <t>Stukanov Dmitry</t>
  </si>
  <si>
    <t>140000031/Z000133</t>
  </si>
  <si>
    <t>LR062AR2</t>
  </si>
  <si>
    <t>Акт 25.08.2026</t>
  </si>
  <si>
    <t>Шалманов Дмитрий Сергеевич</t>
  </si>
  <si>
    <t>Shalmanov Dmitry</t>
  </si>
  <si>
    <t>100000004351</t>
  </si>
  <si>
    <t>F2715NBP35060820798</t>
  </si>
  <si>
    <t>P8N64-6FQ9R-R9TTC-VY33R-369TP</t>
  </si>
  <si>
    <t xml:space="preserve">Внукова Анастасия Александровна </t>
  </si>
  <si>
    <t>Vnukova Anastasia</t>
  </si>
  <si>
    <t>100000005404</t>
  </si>
  <si>
    <t>C2507N0002668</t>
  </si>
  <si>
    <t>BNMJJ-MT8FK-2C794-F7GR3-RJTTG</t>
  </si>
  <si>
    <t>XVD2V-QHNMF-TW228-2X2KH-VT92P</t>
  </si>
  <si>
    <t>Акт от 24.03.2026</t>
  </si>
  <si>
    <t>Сонина Мария Валериевна</t>
  </si>
  <si>
    <t>Sonina Mariya</t>
  </si>
  <si>
    <t>140000052/Z000110</t>
  </si>
  <si>
    <t>PC0KL0M2</t>
  </si>
  <si>
    <t>4J2RD-NHMX2-CTCV7-7V2YD-3PFC2</t>
  </si>
  <si>
    <t>Акт 30.01.2026</t>
  </si>
  <si>
    <t>Джураев Рустамжон</t>
  </si>
  <si>
    <t>Juraev Rustamzhon</t>
  </si>
  <si>
    <t>100000006487</t>
  </si>
  <si>
    <t>PW0K0DLB</t>
  </si>
  <si>
    <t>CFTNP-BTPBF-C9WV4-Q3VFG-3V7J6</t>
  </si>
  <si>
    <t>Акт 05.05.2026</t>
  </si>
  <si>
    <t>Дамдинов Бэлигто Баирович</t>
  </si>
  <si>
    <t>Модернизация не требуется/normal (no need to upgrade)/ Была модернизация 4 GB озу</t>
  </si>
  <si>
    <t xml:space="preserve">Damdinov Beligto </t>
  </si>
  <si>
    <t>PB003GAK</t>
  </si>
  <si>
    <t>Акт 22.12.2025</t>
  </si>
  <si>
    <t>Богачев Павел Викторович</t>
  </si>
  <si>
    <t>Bogachev Pavel</t>
  </si>
  <si>
    <t>Инженер-эколог</t>
  </si>
  <si>
    <t>100000004845</t>
  </si>
  <si>
    <t>UN31ZSI04F533023440700</t>
  </si>
  <si>
    <t>Акт 17.12.2025</t>
  </si>
  <si>
    <t>Сергеев Сергей Викторович</t>
  </si>
  <si>
    <t>Sergey Sergeev</t>
  </si>
  <si>
    <t>140000059/Z000103</t>
  </si>
  <si>
    <t>PF10YPJN</t>
  </si>
  <si>
    <t>ключ неизвестен</t>
  </si>
  <si>
    <t>PHNV8-H2BWF-T67GR-8TPJT-CGYP2</t>
  </si>
  <si>
    <t>Акт 25.12.2025</t>
  </si>
  <si>
    <t>Бондарев Владимир Александрович</t>
  </si>
  <si>
    <t>Bondarev Vladimir</t>
  </si>
  <si>
    <t>100000005390</t>
  </si>
  <si>
    <t>C2509N0008358</t>
  </si>
  <si>
    <t>27P3M-WBNWB-JRB3D-Y322J-4VV82</t>
  </si>
  <si>
    <t>Смыков Никита Алексеевич</t>
  </si>
  <si>
    <t>Smykov Nikita</t>
  </si>
  <si>
    <t>100000005125</t>
  </si>
  <si>
    <t>C2507N0002615</t>
  </si>
  <si>
    <t>—</t>
  </si>
  <si>
    <t>F6QNM-8Y64F-YRT3X-PRYXY-3GPKC</t>
  </si>
  <si>
    <t>Акт 23.12.2025</t>
  </si>
  <si>
    <t>Павлюкова Александра Андреевна</t>
  </si>
  <si>
    <t>Pavlyukova Alexandra</t>
  </si>
  <si>
    <t>100000001644</t>
  </si>
  <si>
    <t>PF2TYG0G</t>
  </si>
  <si>
    <t>Q38VR-MNVWJ-WDVPD-7X4XY-R6YP6</t>
  </si>
  <si>
    <t>Акт 11.03.2025</t>
  </si>
  <si>
    <t>Лотарев Александр Петрович</t>
  </si>
  <si>
    <t>Lotarev Alexander</t>
  </si>
  <si>
    <t>100000005395</t>
  </si>
  <si>
    <t>C2509N0008341</t>
  </si>
  <si>
    <t>HTN2M-VFHBW-HR9VB-TC6FF-2KCTC</t>
  </si>
  <si>
    <t>Каспирова Анастасия Ивановна</t>
  </si>
  <si>
    <t>Kaspirova Anastasia</t>
  </si>
  <si>
    <t>100000001672</t>
  </si>
  <si>
    <t>GJ4HDF2</t>
  </si>
  <si>
    <t>F4B3N-D7YHC-6C4QV-WTVRY-MY472</t>
  </si>
  <si>
    <t>Милованова Елена Валерьевна</t>
  </si>
  <si>
    <t>Milovanova Elena</t>
  </si>
  <si>
    <t>140000161/Z000079</t>
  </si>
  <si>
    <t>S4FM3334</t>
  </si>
  <si>
    <t>6G3GN-MRR62-8W9FC-F9MHJ-J8F9C</t>
  </si>
  <si>
    <t>Чижов Андрей Дмитриевич</t>
  </si>
  <si>
    <t>Chizhov Andrey</t>
  </si>
  <si>
    <t>100000003381</t>
  </si>
  <si>
    <t>F2715NBP35080821464</t>
  </si>
  <si>
    <t>HB74J-XNRT2-WM2FQ-73GJR-JHV22</t>
  </si>
  <si>
    <t>Акт 13.01.2026</t>
  </si>
  <si>
    <t xml:space="preserve">Железцов Артем Владимирович </t>
  </si>
  <si>
    <t>Zheleztsov Artem</t>
  </si>
  <si>
    <t>100000003622</t>
  </si>
  <si>
    <t>F2715NBP35060820873</t>
  </si>
  <si>
    <t>4JN2Q-7C7D6-63Y4F-DFBY3-VXMP2</t>
  </si>
  <si>
    <t>Манохин Александр Сергеевич</t>
  </si>
  <si>
    <t>была модернизация/upgraded (SSD 240 (SSD)</t>
  </si>
  <si>
    <t>Manokhin Alexander</t>
  </si>
  <si>
    <t xml:space="preserve">Техник по геометрии 1 категории </t>
  </si>
  <si>
    <t>140000006</t>
  </si>
  <si>
    <t>PF07168K</t>
  </si>
  <si>
    <t>Installed Key: NF6HC-QH89W-F8WYV-WWXV4-WFG6P 
 OEM Key: 9NG3V-WFGG9-PXVD9-2YFH7-VT8MC</t>
  </si>
  <si>
    <t>Баранов Денис Валерьевич</t>
  </si>
  <si>
    <t>Baranov Denis</t>
  </si>
  <si>
    <t>F2715NBP35060821006</t>
  </si>
  <si>
    <t>Libre office, WPS office</t>
  </si>
  <si>
    <t>P97F6-KQNYM-8BRC2-G28Y4-3DBP2</t>
  </si>
  <si>
    <t>Новиков Алексей Сергеевич</t>
  </si>
  <si>
    <t xml:space="preserve">Novikov Alexey </t>
  </si>
  <si>
    <t>00000011594</t>
  </si>
  <si>
    <t>LR08MD2Q</t>
  </si>
  <si>
    <t>Акт 19.01.2026</t>
  </si>
  <si>
    <t>Иванов Максим Алексеевич</t>
  </si>
  <si>
    <t>100000001667</t>
  </si>
  <si>
    <t>DK50JK3</t>
  </si>
  <si>
    <t xml:space="preserve">Анашкина Анастасия </t>
  </si>
  <si>
    <t>100000001677</t>
  </si>
  <si>
    <t>5M4HDF2</t>
  </si>
  <si>
    <t>YNVMJ-X87T7-RWW9K-CK37G-6F6MT</t>
  </si>
  <si>
    <t>H3N2Q-8G9V6-VGCC6-DKM6B-TXXRC</t>
  </si>
  <si>
    <t>Костина Софья Николаевна 14161</t>
  </si>
  <si>
    <t>Kostina Sofia</t>
  </si>
  <si>
    <t>Специалист по заказам</t>
  </si>
  <si>
    <t>100000006733</t>
  </si>
  <si>
    <t>DQBRRCD00255101AB46N02</t>
  </si>
  <si>
    <t>9MJBD-NC3RW-YXTQF-7V9D6-RRHJ6</t>
  </si>
  <si>
    <t>Акт 20.06.2026</t>
  </si>
  <si>
    <t>Андрюхова Евгения Анатольевна</t>
  </si>
  <si>
    <t>Andryukhova Evgeniya</t>
  </si>
  <si>
    <t>100000005398</t>
  </si>
  <si>
    <t>C2507N0002817</t>
  </si>
  <si>
    <t>Акт 29.01.2025</t>
  </si>
  <si>
    <t xml:space="preserve">Дубербаев  Даурен </t>
  </si>
  <si>
    <t xml:space="preserve">была модернизация/upgraded </t>
  </si>
  <si>
    <t>duberbaev dauren</t>
  </si>
  <si>
    <t>00000011598</t>
  </si>
  <si>
    <t>LR08MD31</t>
  </si>
  <si>
    <t>9Q829-HN4KD-BYG6F-HD932-9QBP2</t>
  </si>
  <si>
    <t>Акт 24.03.2022</t>
  </si>
  <si>
    <t>Шахов Дмитрий Игоревич</t>
  </si>
  <si>
    <t>Shakhov Dmitry</t>
  </si>
  <si>
    <t>100000006426</t>
  </si>
  <si>
    <t>PW0K0DW9</t>
  </si>
  <si>
    <t>KP3N3-7WXQM-D66YX-4KFFC-MP32T</t>
  </si>
  <si>
    <t>6Q8QF-7N84T-R23T2-2Q3X3-977J6</t>
  </si>
  <si>
    <t>Демидова Наталья Андреевна</t>
  </si>
  <si>
    <t>Demidova Natalia</t>
  </si>
  <si>
    <t>100000003607</t>
  </si>
  <si>
    <t>2408A22H124i5M2165R00483</t>
  </si>
  <si>
    <t>HNH7Q-W7YJG-TY8P9-HBJ6V-46YP2</t>
  </si>
  <si>
    <t>Маркова Юлия Юрьевна</t>
  </si>
  <si>
    <t>Markova Yulia</t>
  </si>
  <si>
    <t>00000010785</t>
  </si>
  <si>
    <t>R90QFPYF</t>
  </si>
  <si>
    <t>Professional Plus 2019 (Свиннский)</t>
  </si>
  <si>
    <t>34RBM-N7KKD-R3WXM-MC6WJ-33WXC</t>
  </si>
  <si>
    <t>Сутормин Алексей Валерьевич</t>
  </si>
  <si>
    <t>Водитель</t>
  </si>
  <si>
    <t>AiO Lenovo V30A-22IML</t>
  </si>
  <si>
    <t>100000001322</t>
  </si>
  <si>
    <t>MP1Z7VGW</t>
  </si>
  <si>
    <t xml:space="preserve">Федюкина Анастасия Евгеньевна </t>
  </si>
  <si>
    <t>Fedyukina Anastasia</t>
  </si>
  <si>
    <t>100000006685</t>
  </si>
  <si>
    <t>PW0K0DCG</t>
  </si>
  <si>
    <t>Q77C9-NXCJ2-X338R-MKDRJ-HMJGG</t>
  </si>
  <si>
    <t>Акт 05.06.2026</t>
  </si>
  <si>
    <t>Потапова Татьяна Владимировна</t>
  </si>
  <si>
    <t>Potapova Tatyana</t>
  </si>
  <si>
    <t>140000001/Z000032</t>
  </si>
  <si>
    <t>PC00NVWW</t>
  </si>
  <si>
    <t>Мельникова Мария Вадимовна</t>
  </si>
  <si>
    <t>Melnikova Maria</t>
  </si>
  <si>
    <t>100000004500</t>
  </si>
  <si>
    <t>2408A22H124i5M2165R00117</t>
  </si>
  <si>
    <t>2019 for home and business Активирован massgrave</t>
  </si>
  <si>
    <t>2NWC7-TVYT7-PG89F-RWTBF-F6YP2</t>
  </si>
  <si>
    <t>Рубанов Илья Геннадьевич</t>
  </si>
  <si>
    <t>Rubanov Ilya</t>
  </si>
  <si>
    <t>100000003588</t>
  </si>
  <si>
    <t>F2715NBP35060821372</t>
  </si>
  <si>
    <t>9BNGY-KVQQ6-C6XQW-GM9DC-XTPKC</t>
  </si>
  <si>
    <t>Акт от 24.02.2026</t>
  </si>
  <si>
    <t>поставка 15.11.2024</t>
  </si>
  <si>
    <t>Уваров Александр Олегович 14615</t>
  </si>
  <si>
    <t>Uvarov Alexander</t>
  </si>
  <si>
    <t>100000006725</t>
  </si>
  <si>
    <t>PW0K0DLP</t>
  </si>
  <si>
    <t>VRNJV-QMY6X-BPRGQ-YV68P-8XC2T</t>
  </si>
  <si>
    <t>Акт 22.09.2026</t>
  </si>
  <si>
    <t>Канунников Ростислав Олегович 14649</t>
  </si>
  <si>
    <t>Kanunnikov Rostislav</t>
  </si>
  <si>
    <t>Техник по металлическим деталям 1 категории</t>
  </si>
  <si>
    <t>00000016124</t>
  </si>
  <si>
    <t>LR0AVC27</t>
  </si>
  <si>
    <t>TH6NT-X7M6M-JPDB8-KC8P4-6Q722</t>
  </si>
  <si>
    <t>Акт 31.03.2026 на Канунников Р.</t>
  </si>
  <si>
    <t>Подшибякина Екатерина Викторовна</t>
  </si>
  <si>
    <t>Podshibyakina Ekaterina</t>
  </si>
  <si>
    <t>TM, TM GA</t>
  </si>
  <si>
    <t>100000006427</t>
  </si>
  <si>
    <t>PW0K0DYZ</t>
  </si>
  <si>
    <t>34NXR-KKMG3-M4GJJ-QP3VV-JQK86</t>
  </si>
  <si>
    <t>Малыш Анна Андреевна</t>
  </si>
  <si>
    <t>Malysh Anna</t>
  </si>
  <si>
    <t>100000001658</t>
  </si>
  <si>
    <t>2KB0JK3</t>
  </si>
  <si>
    <t>Майков Евгений Витальевич</t>
  </si>
  <si>
    <t>Maykov Yevgeniy</t>
  </si>
  <si>
    <t>Инженер по водоснабжению и водоотведению</t>
  </si>
  <si>
    <t>100000004632</t>
  </si>
  <si>
    <t>F2717NBP4502103198</t>
  </si>
  <si>
    <t>RTNKY-669WH-7MV8Y-MY8XH-46YP2</t>
  </si>
  <si>
    <t xml:space="preserve">Трунова Екатерина Дмитриевна </t>
  </si>
  <si>
    <t>Модернизация не требуется/normal (no need to upgrade) (СЛАБО ДЕРЖИТ БАТАРЕЯ)</t>
  </si>
  <si>
    <t>Trunova Ekaterina</t>
  </si>
  <si>
    <t>100000003628</t>
  </si>
  <si>
    <t>F2715NBP35060820427</t>
  </si>
  <si>
    <t>WYPHR-HN2V2-CY7G7-VYFD6-WXD2T</t>
  </si>
  <si>
    <t>VPYPT-NGCCC-KWKC8-TXBRQ-VXMP2</t>
  </si>
  <si>
    <t>Акт 16.02.2026</t>
  </si>
  <si>
    <t>Соловьев Матвей Сергеевич</t>
  </si>
  <si>
    <t>Soloviev Matvey</t>
  </si>
  <si>
    <t>14000150/Z000043</t>
  </si>
  <si>
    <t>PF12TX0R</t>
  </si>
  <si>
    <t>Тарасенков Александр Витальевич</t>
  </si>
  <si>
    <t>Tarasenkov Alexander</t>
  </si>
  <si>
    <t>Техник по деталям интерьера и экстерьера 1 категории</t>
  </si>
  <si>
    <t>100000001638</t>
  </si>
  <si>
    <t>PF2TLV8S</t>
  </si>
  <si>
    <t>DMMRC-WFNG9-3763R-FDW9J-MTDGT</t>
  </si>
  <si>
    <t>Кондратьева Наталья</t>
  </si>
  <si>
    <t>была модернизация 17.04.2025/upgraded (ssd +8ram total 12ram</t>
  </si>
  <si>
    <t>Kondratieva Natalia</t>
  </si>
  <si>
    <t>00000016138</t>
  </si>
  <si>
    <t>LR0AVC15</t>
  </si>
  <si>
    <t>Installed Key:	VK7JG-NPHTM-C97JM-9MPGT-3V66T
OEM Key:	TQRPY-TNHQ9-PCWGF-263JY-BBFFC</t>
  </si>
  <si>
    <t>Савицкий Денис Дмитриевич</t>
  </si>
  <si>
    <t>Savitsky Denis</t>
  </si>
  <si>
    <t>100000003609</t>
  </si>
  <si>
    <t>F2715NBP35060821126</t>
  </si>
  <si>
    <t xml:space="preserve">Климанов А. </t>
  </si>
  <si>
    <t>Акт 17.02.2026</t>
  </si>
  <si>
    <t>Рассадкина Лада Владиславовна</t>
  </si>
  <si>
    <t>Rassadkina Lada</t>
  </si>
  <si>
    <t>Специалист по коммуникациям</t>
  </si>
  <si>
    <t>10000001800</t>
  </si>
  <si>
    <t>PF1ALMU9</t>
  </si>
  <si>
    <t>Иванунина Юлия Асмаиевна</t>
  </si>
  <si>
    <t>Ivanunina Yulia</t>
  </si>
  <si>
    <t>100000001609</t>
  </si>
  <si>
    <t>CND12505JM</t>
  </si>
  <si>
    <t>Акт 18.02.2028</t>
  </si>
  <si>
    <t>Абросимов Артем Владимирович</t>
  </si>
  <si>
    <t>Abrosimov Artem</t>
  </si>
  <si>
    <t>100000004316</t>
  </si>
  <si>
    <t>F2715NBP35070821832</t>
  </si>
  <si>
    <t>FFVYN-RDJ78-T6RRR-CDTYK-DYH22</t>
  </si>
  <si>
    <t>Акт 18.02.2029</t>
  </si>
  <si>
    <t>Сизов Алексей Станиславович</t>
  </si>
  <si>
    <t>Sizov Alexey</t>
  </si>
  <si>
    <t>Инженер по пожарной безопасности</t>
  </si>
  <si>
    <t>100000003364</t>
  </si>
  <si>
    <t>NXEGYER00H32008AE33400</t>
  </si>
  <si>
    <t>Зайцев Андрей Сергеевич</t>
  </si>
  <si>
    <t>Zaitsev Andrey</t>
  </si>
  <si>
    <t>100000003623</t>
  </si>
  <si>
    <t>F2715NBP35060821467</t>
  </si>
  <si>
    <t>CY6P6-3VN9X-9FMBQ-CVCYR-2KCKC</t>
  </si>
  <si>
    <t>Хан Алексей</t>
  </si>
  <si>
    <t>Khan Alexey</t>
  </si>
  <si>
    <t>Инженер по геометрии 2 категории</t>
  </si>
  <si>
    <t>100000004497</t>
  </si>
  <si>
    <t>F2717NBP4502103060</t>
  </si>
  <si>
    <t>Нет лицензии MS office</t>
  </si>
  <si>
    <t>Installed Key:	VK7JG-NPHTM-C97JM-9MPGT-3V66T
OEM Key:	Y3NTV-MQ6Q7-438C3-H9WH3-FM49C</t>
  </si>
  <si>
    <t>Сафронов Максим Сергеевич</t>
  </si>
  <si>
    <t>Safronov Maxim</t>
  </si>
  <si>
    <t>100000002694</t>
  </si>
  <si>
    <t>NXEGYER00H32008B243400</t>
  </si>
  <si>
    <t>Акт 20.022026</t>
  </si>
  <si>
    <t>Захарова Юлия Сергеевна</t>
  </si>
  <si>
    <t>Zakharova Yulia</t>
  </si>
  <si>
    <t>10000001785</t>
  </si>
  <si>
    <t>PF1BWUKP</t>
  </si>
  <si>
    <t>Толчева Милена Сергеевна</t>
  </si>
  <si>
    <t>Tolcheva Milena</t>
  </si>
  <si>
    <t>00000019366(7)</t>
  </si>
  <si>
    <t>R90T947M</t>
  </si>
  <si>
    <t>Пролыгина Елена Владимировна</t>
  </si>
  <si>
    <t>Prolygina Elena</t>
  </si>
  <si>
    <t>Специалист СМК</t>
  </si>
  <si>
    <t>100000003620</t>
  </si>
  <si>
    <t>F2715NBP35060820716</t>
  </si>
  <si>
    <t>J8BN8-XQPCY-G2HFG-2RXBQ-T6PKC</t>
  </si>
  <si>
    <t>Гладких Андрей Андреевич</t>
  </si>
  <si>
    <t>Gladkikh Andrey</t>
  </si>
  <si>
    <t>100000001637</t>
  </si>
  <si>
    <t>PF2TYGX5</t>
  </si>
  <si>
    <t xml:space="preserve">BJNM8-36MBJ-Y96VV-6T3BH-PWHH6 </t>
  </si>
  <si>
    <t>Окатьева Наталья Леонидовна</t>
  </si>
  <si>
    <t>Okatieva Natalya</t>
  </si>
  <si>
    <t>Юрист</t>
  </si>
  <si>
    <t>10000001779</t>
  </si>
  <si>
    <t>PF24AD3Z</t>
  </si>
  <si>
    <t>Акт 27.02.2026</t>
  </si>
  <si>
    <t>Иванов Евгений Владимирович</t>
  </si>
  <si>
    <t>Ivanov Evgeny</t>
  </si>
  <si>
    <t>100000003344</t>
  </si>
  <si>
    <t>NXEGYER00H32008A743400</t>
  </si>
  <si>
    <t xml:space="preserve"> Голубь Павел Олегович </t>
  </si>
  <si>
    <t>Golub Pavel</t>
  </si>
  <si>
    <t>00000022303(13)</t>
  </si>
  <si>
    <t>PF14SZ0N</t>
  </si>
  <si>
    <t>Акт 04.03.2026</t>
  </si>
  <si>
    <t>Буйносов Алексей Владимирович</t>
  </si>
  <si>
    <t>Buinosov Alexey</t>
  </si>
  <si>
    <t>100000005547</t>
  </si>
  <si>
    <t>PW0LW3NQ</t>
  </si>
  <si>
    <t>HCXNM-C6JW8-QCMHV-JP8D7-8HWGG</t>
  </si>
  <si>
    <t>Апухтин Вадим Игоревич</t>
  </si>
  <si>
    <t>Apukhtin Vadim</t>
  </si>
  <si>
    <t>100000004857</t>
  </si>
  <si>
    <t>UN31ZSI04F533022EF0700</t>
  </si>
  <si>
    <t>Фокина Ангелина Сергеевна</t>
  </si>
  <si>
    <t>Fokina Angelina</t>
  </si>
  <si>
    <t>100000006144</t>
  </si>
  <si>
    <t>PW0LW3GF</t>
  </si>
  <si>
    <t>RTCV7-VN6Q7-T4VW7-J7X63-GF4TG</t>
  </si>
  <si>
    <t>Поляков Александр Анатольевич</t>
  </si>
  <si>
    <t>Polyakov Alexander</t>
  </si>
  <si>
    <t>100000006466</t>
  </si>
  <si>
    <t>PW0K0DWN</t>
  </si>
  <si>
    <t>Котова Яна Игоревна 14881</t>
  </si>
  <si>
    <t xml:space="preserve">Kotova Yana </t>
  </si>
  <si>
    <t>100000006990</t>
  </si>
  <si>
    <t>DQBRRCD00255101A4F6N02</t>
  </si>
  <si>
    <t>HHB6T-T8N86-VHGGF-YJ3KX-KQB6G</t>
  </si>
  <si>
    <t>Акт 11.09.2026</t>
  </si>
  <si>
    <t>Самойлова Кристина Владимировна</t>
  </si>
  <si>
    <t>Модернизация не требуется/normal (no need to upgrade)
Отломано крепление провода LAN</t>
  </si>
  <si>
    <t>Samoylova Kristina</t>
  </si>
  <si>
    <t>Laptop,mouse, переходник</t>
  </si>
  <si>
    <t>10000001796</t>
  </si>
  <si>
    <t>PF1SLH3J</t>
  </si>
  <si>
    <t>93KND-VMDXK-RJP9V-V4FR8-J8F9G</t>
  </si>
  <si>
    <t>Кажаева Татьяна Ивановна 14903</t>
  </si>
  <si>
    <t>Kazhaeva Tatyana</t>
  </si>
  <si>
    <t>100000007084</t>
  </si>
  <si>
    <t>DQBR8CD00255101D486N02</t>
  </si>
  <si>
    <t>M9NPB-CB369-YCVCH-KX936-238GG</t>
  </si>
  <si>
    <t>Акт 08.08.2026</t>
  </si>
  <si>
    <t>Новиков Василий Викторович</t>
  </si>
  <si>
    <t>Novikov Vasily</t>
  </si>
  <si>
    <t>Инженер по сборке</t>
  </si>
  <si>
    <t>100000001643</t>
  </si>
  <si>
    <t>PF2TYDC2</t>
  </si>
  <si>
    <t>Третьяк Сергей Сергеевич</t>
  </si>
  <si>
    <t>Tretyak Sergey</t>
  </si>
  <si>
    <t>Инженер по геометрии 1 категории</t>
  </si>
  <si>
    <t>100000006525</t>
  </si>
  <si>
    <t>PW0K0DZZ</t>
  </si>
  <si>
    <t>TTHVY-WNK27-3DKKW-VMBF4-36986</t>
  </si>
  <si>
    <t>Кондаурова Софья Андреевна</t>
  </si>
  <si>
    <t>Kondaurova Sofia</t>
  </si>
  <si>
    <t>Специалист по управлению информацией</t>
  </si>
  <si>
    <t>100000001641</t>
  </si>
  <si>
    <t>PF2TLQB5</t>
  </si>
  <si>
    <t>BT7XN-BY36G-DK3C8-P47F2-4RG6T</t>
  </si>
  <si>
    <t>Маслова  Жанна Анатольевна</t>
  </si>
  <si>
    <t>Maslova Zhanna</t>
  </si>
  <si>
    <t>100000006446</t>
  </si>
  <si>
    <t>DQBRRCD00255101A866N02</t>
  </si>
  <si>
    <t>Соколова Виктория Станиславовна</t>
  </si>
  <si>
    <t>Victoria Sokolova</t>
  </si>
  <si>
    <t xml:space="preserve">100000006134
</t>
  </si>
  <si>
    <t>PW0LW3S8</t>
  </si>
  <si>
    <t>4Y8N7-JWHJG-PDXJP-MGCMV-GCQW6</t>
  </si>
  <si>
    <t xml:space="preserve">Фещенко Олег Игоревич </t>
  </si>
  <si>
    <t>Feshchenko Oleg</t>
  </si>
  <si>
    <t>Разработчик программного обеспечения</t>
  </si>
  <si>
    <t>Laptop,mouse, Monitor Xiaomi Mi 1C 23,8" (S/N: 54383/250100059559)</t>
  </si>
  <si>
    <t>100000005178</t>
  </si>
  <si>
    <t>C2507N0003012</t>
  </si>
  <si>
    <t>Кукенов Руслан Аскарович</t>
  </si>
  <si>
    <t>Kukenov Ruslan</t>
  </si>
  <si>
    <t>100000003592</t>
  </si>
  <si>
    <t>F2715NBP35060821921</t>
  </si>
  <si>
    <t>3G437-TN4HY-YT2PR-KHF3M-XBT6P</t>
  </si>
  <si>
    <t>Ананьев С.</t>
  </si>
  <si>
    <t>Парикожа Кирилл Юрьевич</t>
  </si>
  <si>
    <t>Parikozha Kirill</t>
  </si>
  <si>
    <t>TM, TM PT</t>
  </si>
  <si>
    <t>100000005548</t>
  </si>
  <si>
    <t>PW0LW3GN</t>
  </si>
  <si>
    <t>B8MNW-K2JF8-MT7F7-YGFJT-CGY6G</t>
  </si>
  <si>
    <t>Баринова Юлия</t>
  </si>
  <si>
    <t>Barinova Yulia</t>
  </si>
  <si>
    <t>100000006468</t>
  </si>
  <si>
    <t>PW0K0DJB</t>
  </si>
  <si>
    <t>GCGF8-3NHH4-83T7X-MH4WF-R3K86</t>
  </si>
  <si>
    <t>Акт 29.04.2026</t>
  </si>
  <si>
    <t>Смирнова Анастасия Вадимовна</t>
  </si>
  <si>
    <t>была модернизация/upgraded 
(SSD 512)</t>
  </si>
  <si>
    <t>00000011056</t>
  </si>
  <si>
    <t>R90QN4W7</t>
  </si>
  <si>
    <t>NX7V2-C4PBQ-B4WDV-Y6R3X-66PKC</t>
  </si>
  <si>
    <t>Юналиева Мария Сергеевна</t>
  </si>
  <si>
    <t>Yunalieva Maria</t>
  </si>
  <si>
    <t>100000006513</t>
  </si>
  <si>
    <t>DQBR8CD00255101D4F6N02</t>
  </si>
  <si>
    <t>Акт 04.05.2026</t>
  </si>
  <si>
    <t>С НДС 73700,2
БЕЗ НДС 60410,00</t>
  </si>
  <si>
    <t>Аль-Хиджазин Ибрагим</t>
  </si>
  <si>
    <t>Al-Hijazin Ibrahim</t>
  </si>
  <si>
    <t>специалист SAP</t>
  </si>
  <si>
    <t>100000006489</t>
  </si>
  <si>
    <t>PW0K0DYX</t>
  </si>
  <si>
    <t>TFGYN-G7DMF-6YXHW-2YFF7-XD8GG</t>
  </si>
  <si>
    <t>Чугунов Виктор Владимирович</t>
  </si>
  <si>
    <t>Chugunov Viktor</t>
  </si>
  <si>
    <t>100000006132</t>
  </si>
  <si>
    <t>PW0LW3RD</t>
  </si>
  <si>
    <t>CTJJN-TDDW8-QTQQX-KT6WV-R9C2T</t>
  </si>
  <si>
    <t>Лесовая Ольга Александровна</t>
  </si>
  <si>
    <t>Lesovaya Olga</t>
  </si>
  <si>
    <t>100000006730</t>
  </si>
  <si>
    <t>DQBRRCD00255101AB76N02</t>
  </si>
  <si>
    <t>BG92F-MNT43-H6W97-R9MJT-Y99CT</t>
  </si>
  <si>
    <t>Умеренкова Ангелина Алексеевна</t>
  </si>
  <si>
    <t>Модернизация не требуется/normal (no need to upgrade) Была замена Micron на Samsung 500Гб.</t>
  </si>
  <si>
    <t>Umerenkova Angelina</t>
  </si>
  <si>
    <t>Технический специалист по качеству</t>
  </si>
  <si>
    <t>00000022303(1)</t>
  </si>
  <si>
    <t>PF14SZ0W</t>
  </si>
  <si>
    <t>QNTM8-CQTBH-8GQ4R-G4P99-HCGMT</t>
  </si>
  <si>
    <t>Installed Key: VK7JG-NPHTM-C97JM-9MPGT-3V66T
OEM Key:7TGWN-CVB4H-B7JY9-QKJKX-CDKRC</t>
  </si>
  <si>
    <t>Акт 19.03.2026</t>
  </si>
  <si>
    <t>Порохня Максим Андреевич</t>
  </si>
  <si>
    <t>Porokhnya Maxim</t>
  </si>
  <si>
    <t>100000005549</t>
  </si>
  <si>
    <t>PW0LW3T0</t>
  </si>
  <si>
    <t>4TNYJ-V9MR4-Y8BY8-2QDHT-238GG</t>
  </si>
  <si>
    <t>Сапрыкина Юлия Алексеевна</t>
  </si>
  <si>
    <t>Saprykina Yulia</t>
  </si>
  <si>
    <t>100000006732</t>
  </si>
  <si>
    <t>DQBRRCD00255101A636N02</t>
  </si>
  <si>
    <t>PMN84-4VGK9-TVJPY-3B9XB-B4HJ6</t>
  </si>
  <si>
    <t>Джафаров Михаил Нариманович</t>
  </si>
  <si>
    <t>Dzhafarov Mikhail</t>
  </si>
  <si>
    <t>100000005550</t>
  </si>
  <si>
    <t>PW0LW3MZ</t>
  </si>
  <si>
    <t>DKDH7-NQW49-46P64-44RRV-WK9CT</t>
  </si>
  <si>
    <t>Киреенкова Дарья Владиславовна</t>
  </si>
  <si>
    <t>100000006146</t>
  </si>
  <si>
    <t>PW0LW3PJ</t>
  </si>
  <si>
    <t>WPR9N-4JV8P-8M77Y-BR4Y9-6CQW6</t>
  </si>
  <si>
    <t>Самсонова Алина Витальевна</t>
  </si>
  <si>
    <t>Samsonova Alina</t>
  </si>
  <si>
    <t>100000006523</t>
  </si>
  <si>
    <t>PW0K0DP1</t>
  </si>
  <si>
    <t>Палевич Станислав Сергеевич 15237</t>
  </si>
  <si>
    <t>Palevich Stanislav</t>
  </si>
  <si>
    <t>100000006481</t>
  </si>
  <si>
    <t>PW0K0DZD</t>
  </si>
  <si>
    <t>NPM2B-MJTYF-CYJBM-47W74-WFHJ6</t>
  </si>
  <si>
    <t>Протопопов Алексей Михайлович</t>
  </si>
  <si>
    <t>Protopopov Alexey</t>
  </si>
  <si>
    <t>NXEGYER00H32008A5D3400</t>
  </si>
  <si>
    <t>Сафонова Валерия Денисовна</t>
  </si>
  <si>
    <t>Safonova Valeria</t>
  </si>
  <si>
    <t>100000006442</t>
  </si>
  <si>
    <t>DQBRRCD00255101A496N02</t>
  </si>
  <si>
    <t>PD4BJ-QYNMM-GCJGD-HJRDG-FVWGG</t>
  </si>
  <si>
    <t>Копылова Анастасия Сергеевна</t>
  </si>
  <si>
    <t>Kopylova Anastasia</t>
  </si>
  <si>
    <t>100000007089</t>
  </si>
  <si>
    <t>DQBRRCD00255101A7F6N02</t>
  </si>
  <si>
    <t>4N8WC-DRJKC-FBBRX-4XDQ4-F6Y6G</t>
  </si>
  <si>
    <t>Акт 27.07.2026</t>
  </si>
  <si>
    <t>RnD_Motion</t>
  </si>
  <si>
    <t>Орехова Ксения Сергеевна 15289</t>
  </si>
  <si>
    <t>Orekhova Ksenia</t>
  </si>
  <si>
    <t>Башин Артем Геннадьевич</t>
  </si>
  <si>
    <t>обратно не принимать, пк подвергся вандализму</t>
  </si>
  <si>
    <t>Bashin Artem</t>
  </si>
  <si>
    <t>PF24AA0A</t>
  </si>
  <si>
    <t>Инженер по технологии силовых агрегатов 2 категории</t>
  </si>
  <si>
    <t>R&amp;D, PTD, CTS</t>
  </si>
  <si>
    <t>100000004307</t>
  </si>
  <si>
    <t>F2715NBP35070821711</t>
  </si>
  <si>
    <t>3666N-9MDY9-6GH86-PMR8H-MBH22</t>
  </si>
  <si>
    <t>Головина Арина Романовна</t>
  </si>
  <si>
    <t>Golovina Arina</t>
  </si>
  <si>
    <t>14000143/Z000063</t>
  </si>
  <si>
    <t>PF12TW3F</t>
  </si>
  <si>
    <t>FNKDR-YGXD3-F7WXJ-CHWRP-TMQH2</t>
  </si>
  <si>
    <t>Используется для микроскопа</t>
  </si>
  <si>
    <t>нет домена</t>
  </si>
  <si>
    <t>Черников Ярослав Андреевич</t>
  </si>
  <si>
    <t>Chernikov Yaroslav</t>
  </si>
  <si>
    <t>на перепродажу?</t>
  </si>
  <si>
    <t>R&amp;D, lab</t>
  </si>
  <si>
    <t>100000001653</t>
  </si>
  <si>
    <t>WorkStation,monitor(не наш),mouse,keyboard</t>
  </si>
  <si>
    <t>Workstation Регард К00826/1(РДЦБ-000826)</t>
  </si>
  <si>
    <t>PF2TYDCL</t>
  </si>
  <si>
    <t>10000003812</t>
  </si>
  <si>
    <t xml:space="preserve">CM6K8-THN96-9J7TY-7FCPK-C7K76 </t>
  </si>
  <si>
    <t>07E0210_O31B057075</t>
  </si>
  <si>
    <t>VYN9P-JQVWF-T3P78-TG4KT-P7JXC</t>
  </si>
  <si>
    <t>Чередник Павел Николаевич</t>
  </si>
  <si>
    <t>Была модернизация поставлен ссд 512</t>
  </si>
  <si>
    <t>Cherednik Pavel</t>
  </si>
  <si>
    <t>Инженер-программист по разработке и внедрению информационных систем</t>
  </si>
  <si>
    <t xml:space="preserve">WorkStation,monitor MSI 27,mouse,keyboard </t>
  </si>
  <si>
    <t>Dell OptiPlex 7090</t>
  </si>
  <si>
    <t>10000002172</t>
  </si>
  <si>
    <t>7VXZTJ3</t>
  </si>
  <si>
    <t>GXVNR-J8X98-J28DV-89WFK-P3722</t>
  </si>
  <si>
    <t>Технический(брилев акт 21-02-2024)</t>
  </si>
  <si>
    <t>БЕЗ НДС  
с НДС 110000</t>
  </si>
  <si>
    <t>что будем делать?</t>
  </si>
  <si>
    <t>R&amp;D, RUS QMD</t>
  </si>
  <si>
    <t>laptop Lenovo E560</t>
  </si>
  <si>
    <t>140000023/Z000135</t>
  </si>
  <si>
    <t>Малышев Тимур Максимович</t>
  </si>
  <si>
    <t>PF0IP8V3</t>
  </si>
  <si>
    <t>Malyshev Timur</t>
  </si>
  <si>
    <t>100000005481</t>
  </si>
  <si>
    <t>K0127439</t>
  </si>
  <si>
    <t>JVWJF-NX9MB-TJVH4-T9WYK-M986C</t>
  </si>
  <si>
    <t>АВТОТОР(Tank)</t>
  </si>
  <si>
    <t>Свиридова Дарья Сергеевна</t>
  </si>
  <si>
    <t>Sviridova Daria</t>
  </si>
  <si>
    <t>АВТОТОР_ 14662 Данилов Вадим Александрович
отправлен в автотор (Калининград)</t>
  </si>
  <si>
    <t>150000027/Z000115</t>
  </si>
  <si>
    <t>Danilov.Vadim
Haval1234**</t>
  </si>
  <si>
    <t>F2715NBP35060820179</t>
  </si>
  <si>
    <t>PF0NG272</t>
  </si>
  <si>
    <t>J4V9V-N7QVM-3THKD-W67R4-8B49C</t>
  </si>
  <si>
    <t>X4JNV-47TMP-GBMYY-BXRPF-8B7PT</t>
  </si>
  <si>
    <t>N946Q-MHYPY-CXKJT-XYMTY-RC2KC</t>
  </si>
  <si>
    <t>Шубина Елизавета Романовна</t>
  </si>
  <si>
    <t>Shubina Elizaveta</t>
  </si>
  <si>
    <t>Специалист по адаптации персонала</t>
  </si>
  <si>
    <t xml:space="preserve">100000006139
</t>
  </si>
  <si>
    <t>PW0LW3ME</t>
  </si>
  <si>
    <t>АВТОТОР_Афанасьев Виталий Александрович 17938
( за акт расписался Ларионов Максим, отправлен в автотор (Калининград))</t>
  </si>
  <si>
    <t>Afanasev Vitaliy</t>
  </si>
  <si>
    <t>Руководитель группы / Supervisor</t>
  </si>
  <si>
    <t>4D3HG-CNTWB-4K6TM-X8GHW-2GY6G</t>
  </si>
  <si>
    <t>NXEGYER00H320089093400</t>
  </si>
  <si>
    <t>J4JJN-VK9D3-CF4RH-R3WCK-WTY6G</t>
  </si>
  <si>
    <t xml:space="preserve">Мельников Кирилл Олегович </t>
  </si>
  <si>
    <t>Melnikov Kirill</t>
  </si>
  <si>
    <t>Q&amp;T</t>
  </si>
  <si>
    <t>100000006430</t>
  </si>
  <si>
    <t>PW0K0DV4</t>
  </si>
  <si>
    <t>RW3XG-FDNWK-WDFMR-9PK83-DV7J6</t>
  </si>
  <si>
    <t>Руднев Максим Николаевич</t>
  </si>
  <si>
    <t>Rudnev Maxim</t>
  </si>
  <si>
    <t>Инженер по оборудованию</t>
  </si>
  <si>
    <t>100000006496</t>
  </si>
  <si>
    <t>PW0K0DXF</t>
  </si>
  <si>
    <t>NDQT4-JBBJ9-TYF67-MRFQD-9D8GG</t>
  </si>
  <si>
    <t>Кудрявцев Алексей Николаевич</t>
  </si>
  <si>
    <t>Kudryavtsev Alexey</t>
  </si>
  <si>
    <t>100000006494</t>
  </si>
  <si>
    <t>PW0K0DG2</t>
  </si>
  <si>
    <t>B8YQ3-NVB3V-3WFGJ-8XCBC-CKC2T</t>
  </si>
  <si>
    <t>Бушаева Екатерина Сергеевна</t>
  </si>
  <si>
    <t>Bushaeva Ekaterina</t>
  </si>
  <si>
    <t>100000004499</t>
  </si>
  <si>
    <t>2408A22H124i5M2165R00485</t>
  </si>
  <si>
    <t>Ибрагимова Елена Григорьевна</t>
  </si>
  <si>
    <t>Ibragimova Elena</t>
  </si>
  <si>
    <t>100000006126</t>
  </si>
  <si>
    <t>PW0LW3N0</t>
  </si>
  <si>
    <t>JCNRR-7DBRT-TYFVF-M4WXT-YG986</t>
  </si>
  <si>
    <t>Оглы Тимур Романович</t>
  </si>
  <si>
    <t>Ogly Timur</t>
  </si>
  <si>
    <t>100000006491</t>
  </si>
  <si>
    <t>PW0K0DFW</t>
  </si>
  <si>
    <t>PRJVW-8N9RD-98XRB-W8PJ7-JQK86</t>
  </si>
  <si>
    <t>Бычков Дмитрий</t>
  </si>
  <si>
    <t>Bychkov Dmitry</t>
  </si>
  <si>
    <t>100000003597</t>
  </si>
  <si>
    <t>F2715NBP35060820629</t>
  </si>
  <si>
    <t>акт 17.02.2026</t>
  </si>
  <si>
    <t>Саримсаков Амир Садритдинович</t>
  </si>
  <si>
    <t>Sarimsakov Amir</t>
  </si>
  <si>
    <t>100000006123</t>
  </si>
  <si>
    <t>PW0LW3T6</t>
  </si>
  <si>
    <t>CTTND-G8RMM-9DT9J-Q47JJ-78RTG</t>
  </si>
  <si>
    <t>Седых Валерия Викторовна</t>
  </si>
  <si>
    <t>Sedykh Valeria</t>
  </si>
  <si>
    <t>100000006708</t>
  </si>
  <si>
    <t>DQBRRCD00255101AB16N02</t>
  </si>
  <si>
    <t>8NW84-786M8-XG4GB-CT222-27KCT</t>
  </si>
  <si>
    <t>Филькина Евгения Артемовна</t>
  </si>
  <si>
    <t>Filkina Evgeniya</t>
  </si>
  <si>
    <t>Бухгалтер 1 категории/</t>
  </si>
  <si>
    <t>100000001683</t>
  </si>
  <si>
    <t>8VCFG92</t>
  </si>
  <si>
    <t>XBW3N-9TRV8-RPRXT-WR2FJ-HMHYP</t>
  </si>
  <si>
    <t>Акт 11.04.2026</t>
  </si>
  <si>
    <t>Овчинников Сергей Викторович</t>
  </si>
  <si>
    <t>Ovchinnikov Sergey</t>
  </si>
  <si>
    <t>100000005541</t>
  </si>
  <si>
    <t>PW0LW3RT</t>
  </si>
  <si>
    <t>NRHXM-KX8KK-KKJTR-DG74M-G3B6G</t>
  </si>
  <si>
    <t>Архангельский Михаил Юрьевич</t>
  </si>
  <si>
    <t xml:space="preserve">Arkhangelsky Mikhail </t>
  </si>
  <si>
    <t xml:space="preserve">Руководитель группы </t>
  </si>
  <si>
    <t>100000006434</t>
  </si>
  <si>
    <t>PW0K0DHL</t>
  </si>
  <si>
    <t>C8J9N-7GBHY-PWCWF-4VTBM-QJ3W6</t>
  </si>
  <si>
    <t>Акт 20.04.2026</t>
  </si>
  <si>
    <t>Баева Ольга Викторовна</t>
  </si>
  <si>
    <t>Baeva Olga</t>
  </si>
  <si>
    <t>HP All-in-One - 22-c0018ur</t>
  </si>
  <si>
    <t>00000021019</t>
  </si>
  <si>
    <t>8CC9114K7V</t>
  </si>
  <si>
    <t>Игнатьев Павел Валериевич</t>
  </si>
  <si>
    <t>Ignatiev Pavel</t>
  </si>
  <si>
    <t>100000006459</t>
  </si>
  <si>
    <t>PW0K0DHZ</t>
  </si>
  <si>
    <t>TNK4P-3GV6P-6XF2G-2P48G-FVWGG</t>
  </si>
  <si>
    <t>Чистяков Михаил Сергеевич</t>
  </si>
  <si>
    <t>Chistyakov Mikhail</t>
  </si>
  <si>
    <t>Специалист по управлению товарно-материальными ценностями</t>
  </si>
  <si>
    <t>100000006735</t>
  </si>
  <si>
    <t>DQBRRCD00255101A846N02</t>
  </si>
  <si>
    <t>CMCVN-MDV7V-HQQQP-Q7PCD-63B6G</t>
  </si>
  <si>
    <t>Гудова Елена Юрьевна</t>
  </si>
  <si>
    <t>Gudova Elena</t>
  </si>
  <si>
    <t>100000006707</t>
  </si>
  <si>
    <t>DQBRRCD00255101A906N02</t>
  </si>
  <si>
    <t>3JN8M-9V932-B6PP8-WDKB3-49C2T</t>
  </si>
  <si>
    <t>Апокин Кирилл Александрович</t>
  </si>
  <si>
    <t>Apokin Kirill</t>
  </si>
  <si>
    <t>100000006465</t>
  </si>
  <si>
    <t>PW0K0DB0</t>
  </si>
  <si>
    <t>B6WPQ-KN644-RTJ4V-TD3GV-B7WGG</t>
  </si>
  <si>
    <t>Фролов Денис Валериевич</t>
  </si>
  <si>
    <t>Frolov Denis</t>
  </si>
  <si>
    <t>100000006461</t>
  </si>
  <si>
    <t>PW0K0DWM</t>
  </si>
  <si>
    <t>Батова Мария Алексеевна</t>
  </si>
  <si>
    <t>Batova Maria</t>
  </si>
  <si>
    <t>Руководитель проектов</t>
  </si>
  <si>
    <t>100000006424</t>
  </si>
  <si>
    <t>PW0K0DF0</t>
  </si>
  <si>
    <t>YMDHB-8NPV3-9KJ49-RXJQB-92FTG</t>
  </si>
  <si>
    <t>Порфирьева Татьяна Геннадьевна</t>
  </si>
  <si>
    <t>Porfirieva Tatiana</t>
  </si>
  <si>
    <t>100000006728</t>
  </si>
  <si>
    <t>DQBRRCD00255101A856N02</t>
  </si>
  <si>
    <t>VTN9B-R6J6R-PM6V4-YJ7QQ-MDXCT</t>
  </si>
  <si>
    <t>Литомина Маргарита Викторовна</t>
  </si>
  <si>
    <t>Litomina Margarita</t>
  </si>
  <si>
    <t>100000006113</t>
  </si>
  <si>
    <t>DQBRRCD00255101A926N02</t>
  </si>
  <si>
    <t>N8M3Y-4KQX3-QX426-X7QWB-92FTG</t>
  </si>
  <si>
    <t>Жучков Александр Витальевич</t>
  </si>
  <si>
    <t>Zhuchkov Alexander</t>
  </si>
  <si>
    <t>Ведущий аудитор кузова автомобиля</t>
  </si>
  <si>
    <t>100000006432</t>
  </si>
  <si>
    <t>PW0K0DC1</t>
  </si>
  <si>
    <t>W9C84-W2NDQ-9RWKR-KCTGF-4X9CT</t>
  </si>
  <si>
    <t>Лыкова Надежда Владимировна</t>
  </si>
  <si>
    <t>Lykova Nadezhda</t>
  </si>
  <si>
    <t>Инженер по производственному</t>
  </si>
  <si>
    <t>100000006435</t>
  </si>
  <si>
    <t>PW0K0DWA</t>
  </si>
  <si>
    <t>PGXN2-HQ7VG-PXT22-6HXWH-CYVJ6</t>
  </si>
  <si>
    <t>Данилов Александр Евгеньевич</t>
  </si>
  <si>
    <t>Danilov Alexander</t>
  </si>
  <si>
    <t>100000006428</t>
  </si>
  <si>
    <t>PW0K0DAD</t>
  </si>
  <si>
    <t>Q499K-CVNMF-4WKGC-44FK6-GMVJ6</t>
  </si>
  <si>
    <t>Равшанов Нодирбек Мавланович</t>
  </si>
  <si>
    <t>Ravshanov Nodirbek</t>
  </si>
  <si>
    <t>Инженер по штамповке и сварке</t>
  </si>
  <si>
    <t>100000006521</t>
  </si>
  <si>
    <t>PW0K0DAK</t>
  </si>
  <si>
    <t>8HHNP-MT89P-7KVT8-M3F2F-FC22T</t>
  </si>
  <si>
    <t>Кожин Дмитрий Юрьевич</t>
  </si>
  <si>
    <t>Kozhin Dmitry</t>
  </si>
  <si>
    <t>перевод</t>
  </si>
  <si>
    <t>MD,COMP</t>
  </si>
  <si>
    <t>100000006724</t>
  </si>
  <si>
    <t>PW0K0E06</t>
  </si>
  <si>
    <t>N33YT-Y3BMV-9D2TJ-B3BHC-8XC2T</t>
  </si>
  <si>
    <t>Затонский Алексей Валерьевич</t>
  </si>
  <si>
    <t>Zatonsky Alexey</t>
  </si>
  <si>
    <t xml:space="preserve">инженер электроник </t>
  </si>
  <si>
    <t>F2717NBP4502103008</t>
  </si>
  <si>
    <t>7FN26-FJPX8-TXM6Q-47WF8-J8F9C</t>
  </si>
  <si>
    <t>Калинин Василий Юрьевич</t>
  </si>
  <si>
    <t>Kalinin Vasily</t>
  </si>
  <si>
    <t>100000006439</t>
  </si>
  <si>
    <t>DQBRRCD00255000ECE6N02</t>
  </si>
  <si>
    <t>N3WFG-8YQ9Y-68VHQ-8X4J2-GQ8GG</t>
  </si>
  <si>
    <t>Кудинова Виктория Викторовна</t>
  </si>
  <si>
    <t>100000006473</t>
  </si>
  <si>
    <t>DQBRRCD00255101AAC6N02</t>
  </si>
  <si>
    <t>Кауров Максим Александрович</t>
  </si>
  <si>
    <t>100000006682</t>
  </si>
  <si>
    <t>PW0K0DT7</t>
  </si>
  <si>
    <t>RKN94-8HD74-QTKH7-XCPFD-T6P2T</t>
  </si>
  <si>
    <t>Акт 18.06.2026</t>
  </si>
  <si>
    <t>Абрамова Ольга Вячеславовна 15828</t>
  </si>
  <si>
    <t>Abramova Olga</t>
  </si>
  <si>
    <t>100000006992</t>
  </si>
  <si>
    <t>DQBRRCD00255101A8D6N02</t>
  </si>
  <si>
    <t>PNTB7-P6CYQ-6HW9W-CHGT9-CDK86</t>
  </si>
  <si>
    <t>Акт 10.08.2026</t>
  </si>
  <si>
    <t>Обухова Ксения Алексеевна</t>
  </si>
  <si>
    <t>Obukhova Ksenia</t>
  </si>
  <si>
    <t>Специалист по управлению данными материалов</t>
  </si>
  <si>
    <t>100000006440</t>
  </si>
  <si>
    <t>DQBRRCD00255101A9D6N02</t>
  </si>
  <si>
    <t>NWH6Q-MHTH2-D7GHT-G9XCF-TVKCT</t>
  </si>
  <si>
    <t>Палевич Анастасия Владимировна</t>
  </si>
  <si>
    <t>Palevich Anastasia</t>
  </si>
  <si>
    <t>100000006736</t>
  </si>
  <si>
    <t>DQBRRCD00255101A6E6N02</t>
  </si>
  <si>
    <t>GYPDQ-N2JCJ-69TBG-4CRPP-6JGPT</t>
  </si>
  <si>
    <t>Акт 02.06.2026</t>
  </si>
  <si>
    <t>Телков Виталий Юрьевич</t>
  </si>
  <si>
    <t>Telkov Vitaly</t>
  </si>
  <si>
    <t>100000006472</t>
  </si>
  <si>
    <t>PW0K0DNQ</t>
  </si>
  <si>
    <t>NXXWV-K2Q4T-P84T4-2HC8Y-JK9CT</t>
  </si>
  <si>
    <t>Баринова Людмила Юрьевна 15871</t>
  </si>
  <si>
    <t>Lyudmila Barinova</t>
  </si>
  <si>
    <t>100000006696</t>
  </si>
  <si>
    <t>DQBRRCD00255101A4C6N02</t>
  </si>
  <si>
    <t>88MN6-FGY7F-THJ8Q-GGKX2-YKM6G</t>
  </si>
  <si>
    <t>Акт 28.05.2026</t>
  </si>
  <si>
    <t>Рябинина Оксана Богдановна 15890</t>
  </si>
  <si>
    <t>Ryabinina Oksana</t>
  </si>
  <si>
    <t>100000006445</t>
  </si>
  <si>
    <t>DQBRRCD00255101A576N02</t>
  </si>
  <si>
    <t>QTF8N-YGMH6-BDPF7-PG3C9-FRHJ6</t>
  </si>
  <si>
    <t>Матюхина Юлия Сергеевна 15894</t>
  </si>
  <si>
    <t>Yulia Matyukhina</t>
  </si>
  <si>
    <t>100000006437</t>
  </si>
  <si>
    <t>DQBR8CD00255101D4A6N02</t>
  </si>
  <si>
    <t>Радина Алена Викторовна</t>
  </si>
  <si>
    <t>Radina Alena</t>
  </si>
  <si>
    <t>100000006471</t>
  </si>
  <si>
    <t>PW0K0DBZ</t>
  </si>
  <si>
    <t>4TNCY-VM9BT-PV82C-YR73R-PPQW6</t>
  </si>
  <si>
    <t>Крючков Александр Сергеевич</t>
  </si>
  <si>
    <t>Kryuchkov Alexander</t>
  </si>
  <si>
    <t>100000003388</t>
  </si>
  <si>
    <t>MP2HBY5J</t>
  </si>
  <si>
    <t>Корнеева Юлия Викторовна</t>
  </si>
  <si>
    <t>Korneeva Yulia</t>
  </si>
  <si>
    <t>100000006698</t>
  </si>
  <si>
    <t>DQBRRCD00255101A446N02</t>
  </si>
  <si>
    <t>Корень Инна Владимировна</t>
  </si>
  <si>
    <t>Koren Inna</t>
  </si>
  <si>
    <t>100000006475</t>
  </si>
  <si>
    <t>DQBRRCD00255101A586N02</t>
  </si>
  <si>
    <t>DFN4K-8FHMG-9G29Q-2QRP9-FRHJ6</t>
  </si>
  <si>
    <t>Богатырев Сергей Игоревич ( 15933 )</t>
  </si>
  <si>
    <t>Bogatyrev Sergey</t>
  </si>
  <si>
    <t>100000006441</t>
  </si>
  <si>
    <t>DQBRRCD00255101A786N02</t>
  </si>
  <si>
    <t>N4KG9-P2MDR-XPYGF-27968-PKC2T</t>
  </si>
  <si>
    <t>Акт 11.07.2026</t>
  </si>
  <si>
    <t>Нурудинова Софият Хайзбулаевна</t>
  </si>
  <si>
    <t>Nurudinova Sofiyat</t>
  </si>
  <si>
    <t>100000001674</t>
  </si>
  <si>
    <t>7M4HDF2</t>
  </si>
  <si>
    <t>9NDHD-XH4XJ-J2TJ2-M88GC-KW3FC</t>
  </si>
  <si>
    <t>Акт 28.04.2026</t>
  </si>
  <si>
    <t>Кожевникова Ирина Александровна</t>
  </si>
  <si>
    <t>SSD+RAM 8gb</t>
  </si>
  <si>
    <t>Kozhevnikova Irina</t>
  </si>
  <si>
    <t>00000011064</t>
  </si>
  <si>
    <t>R90QN4X2</t>
  </si>
  <si>
    <t>PFVJ3-N3R63-G2KMB-WR2DR-TVJXC</t>
  </si>
  <si>
    <t>Карыванова Светлана Александровна</t>
  </si>
  <si>
    <t>Karyvanova Svetlana</t>
  </si>
  <si>
    <t>100000006518</t>
  </si>
  <si>
    <t>PW0K0E0H</t>
  </si>
  <si>
    <t>H4F7N-HPF99-QK9FK-7H4MT-H8RTG</t>
  </si>
  <si>
    <t>Цыганкова Наталия Владимировна (15961)</t>
  </si>
  <si>
    <t>Tsygankova Nataliya</t>
  </si>
  <si>
    <t>100000006689</t>
  </si>
  <si>
    <t>DQBRRCD00255101A516N02</t>
  </si>
  <si>
    <t>6NRBD-VG4VY-8WFMH-QW4JP-P9X86</t>
  </si>
  <si>
    <t>Ельшаева Марина Валерьевна</t>
  </si>
  <si>
    <t>Elshaeva Marina</t>
  </si>
  <si>
    <t>100000006693</t>
  </si>
  <si>
    <t>DQBRRCD00255101A7D6N02</t>
  </si>
  <si>
    <t>MG6PM-6NC74-2Y692-XY68J-D9M6G</t>
  </si>
  <si>
    <t>Рябинин Алексей Вячеславович</t>
  </si>
  <si>
    <t>Ryabinin Alexey</t>
  </si>
  <si>
    <t>100000006503</t>
  </si>
  <si>
    <t>PW0K0D7L</t>
  </si>
  <si>
    <t>9W2QW-TN6P3-CXB6D-8G3YV-YY6PT</t>
  </si>
  <si>
    <t xml:space="preserve">Попова Кира Леонидовна </t>
  </si>
  <si>
    <t>Popova Kira</t>
  </si>
  <si>
    <t>100000006511</t>
  </si>
  <si>
    <t>DQBRRCD00255101A7B6N02</t>
  </si>
  <si>
    <t>7MX2Q-JN6F3-HVGWC-T6CTT-TJGPT</t>
  </si>
  <si>
    <t>Петрович Виктор Вячеславович 15987</t>
  </si>
  <si>
    <t>Petrovich Viktor</t>
  </si>
  <si>
    <t>Инженер линии 1 категории / Engineer line 1 category</t>
  </si>
  <si>
    <t>100000006969</t>
  </si>
  <si>
    <t>PW0K0DYP</t>
  </si>
  <si>
    <t>NVWV9-Q37G9-YPH32-T8XJ6-WXC2T</t>
  </si>
  <si>
    <t>Акт 04.09.2026</t>
  </si>
  <si>
    <t>Яфаева Рашида Рустамовна</t>
  </si>
  <si>
    <t>Yafaeva Rashida</t>
  </si>
  <si>
    <t>100000006493</t>
  </si>
  <si>
    <t>PW0K0DR0</t>
  </si>
  <si>
    <t>MBWK2-N2GKB-PJCM6-PMPCD-G83W6</t>
  </si>
  <si>
    <t>Морозова Ксения Игоревна</t>
  </si>
  <si>
    <t>Morozova Ksenia</t>
  </si>
  <si>
    <t>Cпециалист TOS</t>
  </si>
  <si>
    <t>100000006492</t>
  </si>
  <si>
    <t>PW0K0DFA</t>
  </si>
  <si>
    <t>J96NG-JFVVT-FYHJP-TJFT4-DJ3W6</t>
  </si>
  <si>
    <t>Архипов Антон Александрович</t>
  </si>
  <si>
    <t>Arkhipov Anton</t>
  </si>
  <si>
    <t>100000004319</t>
  </si>
  <si>
    <t>F2715NBP35070820002</t>
  </si>
  <si>
    <t>T38N2-VTTC6-QHKBB-YKPY6-BP2KC</t>
  </si>
  <si>
    <t>Акт 30.05.2026</t>
  </si>
  <si>
    <t xml:space="preserve">Орлов Никита Андреевич </t>
  </si>
  <si>
    <t>Orlov Nikita</t>
  </si>
  <si>
    <t>100000006469</t>
  </si>
  <si>
    <t>PW0K0DKH</t>
  </si>
  <si>
    <t>KXN69-HF92Y-YX3MD-CDY9B-VQXCT</t>
  </si>
  <si>
    <t>Почуева Елена Юрьевна 16025</t>
  </si>
  <si>
    <t>Pochueva Elena</t>
  </si>
  <si>
    <t>DQBRRCD00255101A826N02</t>
  </si>
  <si>
    <t>Пикалова Варвара Сергеевна</t>
  </si>
  <si>
    <t>Pikalova Varvara</t>
  </si>
  <si>
    <t>100000003576</t>
  </si>
  <si>
    <t>F2715NBP35060820621</t>
  </si>
  <si>
    <t>7J6PV-CNWV7-T8CFD-GG28Q-WQKTP</t>
  </si>
  <si>
    <t>Акт 06.05.2026</t>
  </si>
  <si>
    <t>Растегаев Иван Олегович</t>
  </si>
  <si>
    <t>была модернизация/upgraded (SSD 480, 8 ОЗУ)</t>
  </si>
  <si>
    <t>Rastegaev Ivan</t>
  </si>
  <si>
    <t>PC00V9QJ</t>
  </si>
  <si>
    <t>Дмитриева Татьяна Васильевна</t>
  </si>
  <si>
    <t>Dmitrieva Tatyana</t>
  </si>
  <si>
    <t>Комплектовщик</t>
  </si>
  <si>
    <t>100000006995</t>
  </si>
  <si>
    <t>DQBR8CD00255101CE66N02</t>
  </si>
  <si>
    <t>M9QRX-3TNGX-MVGJG-VWR8K-9HKCT</t>
  </si>
  <si>
    <t>Акт 17.08.2026</t>
  </si>
  <si>
    <t>Яковлева Варвара  Алексеевна</t>
  </si>
  <si>
    <t>Yakovleva Varvara</t>
  </si>
  <si>
    <t>10000001787</t>
  </si>
  <si>
    <t>PF1SLTRL</t>
  </si>
  <si>
    <t>NF8DY-7QGMG-2RMM4-8KPXD-FM49C</t>
  </si>
  <si>
    <t xml:space="preserve"> Чуракова Екатерина Сергеевна</t>
  </si>
  <si>
    <t>Churakova Ekaterina</t>
  </si>
  <si>
    <t>100000006463</t>
  </si>
  <si>
    <t>PW0K0DZG</t>
  </si>
  <si>
    <t>47GVN-49VWM-H34RX-4CJ74-K4TPT</t>
  </si>
  <si>
    <t>Трофимова Кристина Андреевна</t>
  </si>
  <si>
    <t>Trofimova Kristina</t>
  </si>
  <si>
    <t>100000006483</t>
  </si>
  <si>
    <t>PW0K0DT0</t>
  </si>
  <si>
    <t>3HXR8-2NVKT-Q3CXJ-JYJ8V-3J3W6</t>
  </si>
  <si>
    <t>Королев Александр Львович</t>
  </si>
  <si>
    <t>Korolev Alexander</t>
  </si>
  <si>
    <t>100000006488</t>
  </si>
  <si>
    <t>PW0K0DK5</t>
  </si>
  <si>
    <t>NFQ9V-RQRR7-9VH4J-JQMWM-3GP2T</t>
  </si>
  <si>
    <t>Катков Илья Дмитриевич</t>
  </si>
  <si>
    <t>Katkov Ilya</t>
  </si>
  <si>
    <t>100000006438</t>
  </si>
  <si>
    <t>DQBR8CD00255101D2F6N02</t>
  </si>
  <si>
    <t>Сазонов Павел Андреевич</t>
  </si>
  <si>
    <t>Sazonov Pavel</t>
  </si>
  <si>
    <t>100000005381</t>
  </si>
  <si>
    <t>C2509N0008433</t>
  </si>
  <si>
    <t>YMTDN-JHTJK-6CMCJ-9DMR9-C7J6C</t>
  </si>
  <si>
    <t>Медянцева Елена Викторовна</t>
  </si>
  <si>
    <t>Medyantseva Elena</t>
  </si>
  <si>
    <t>100000006411</t>
  </si>
  <si>
    <t>DQBRRCD00255101A776N02</t>
  </si>
  <si>
    <t>QGKDC-NJBXJ-468YT-KMM3H-RGDW6</t>
  </si>
  <si>
    <t>Яковлева Зинаида Анатольевна</t>
  </si>
  <si>
    <t>Yakovleva Zinaida</t>
  </si>
  <si>
    <t xml:space="preserve">Руководитель отдела по компенсациям и льготам </t>
  </si>
  <si>
    <t>Laptop,mouse,bag Monitor DELL P2419H S/n: CN-OxO46X-TV200-16Q-1Y7B-A11</t>
  </si>
  <si>
    <t>100000005400</t>
  </si>
  <si>
    <t>C2509N0008364</t>
  </si>
  <si>
    <t>F7N9Q-RP8H8-DTHBK-CB36Y-WHV82</t>
  </si>
  <si>
    <t>Иксанова Валерия Артуровна</t>
  </si>
  <si>
    <t>Iksanova Valeria</t>
  </si>
  <si>
    <t>100000006710</t>
  </si>
  <si>
    <t>DQBRRCD00255101A8C6N02</t>
  </si>
  <si>
    <t>X64M3-WQNK3-HQGVX-RXWPH-7QXCT</t>
  </si>
  <si>
    <t xml:space="preserve">Таныгина Диана Сергеевна </t>
  </si>
  <si>
    <t>Tanygina Diana</t>
  </si>
  <si>
    <t>100000006464</t>
  </si>
  <si>
    <t>PW0K0DXY</t>
  </si>
  <si>
    <t>DNQB2-TV96W-JFP28-69BGW-7FTPT</t>
  </si>
  <si>
    <t>Анисимова Евгения Анатольевна</t>
  </si>
  <si>
    <t>Anisimova Evgenia</t>
  </si>
  <si>
    <t>100000006462</t>
  </si>
  <si>
    <t>PW0K0DY8</t>
  </si>
  <si>
    <t>NVTQP-3F3HF-F8C4Y-3R3G6-8TY6G</t>
  </si>
  <si>
    <t>Паршиков Алексей</t>
  </si>
  <si>
    <t>Parshchikov Alexey</t>
  </si>
  <si>
    <t>100000006420</t>
  </si>
  <si>
    <t>PW0K0DKE</t>
  </si>
  <si>
    <t>DNM3D-F3TWY-V8FYR-9FY9G-TJGPT</t>
  </si>
  <si>
    <t>Еремин Валерий Юрьевич</t>
  </si>
  <si>
    <t>Eremin Valery</t>
  </si>
  <si>
    <t>100000006484</t>
  </si>
  <si>
    <t>PW0K0DCQ</t>
  </si>
  <si>
    <t xml:space="preserve">Винокурова Юлия Геннадьевна </t>
  </si>
  <si>
    <t>Vinokurova Julia</t>
  </si>
  <si>
    <t>100000006514</t>
  </si>
  <si>
    <t>PW0K0DDZ</t>
  </si>
  <si>
    <t>NBHHY-F289Q-24RKT-VTVPJ-F3K86</t>
  </si>
  <si>
    <t>Акт 18.05.2025</t>
  </si>
  <si>
    <t xml:space="preserve">Купина Светлана Сергеевна </t>
  </si>
  <si>
    <t>Kupina Svetlana</t>
  </si>
  <si>
    <t>100000006687</t>
  </si>
  <si>
    <t>DQBRRCD00255101A676N02</t>
  </si>
  <si>
    <t>VFKP9-BGN7W-3WJBJ-6868T-CGY6G</t>
  </si>
  <si>
    <t>Поздняков Анатолий Павлович</t>
  </si>
  <si>
    <t>Pozdnyakov Anatoly</t>
  </si>
  <si>
    <t>100000006476</t>
  </si>
  <si>
    <t>PW0K0DNR</t>
  </si>
  <si>
    <t>GVPN8-JF928-723DW-9F8RH-GCQW6</t>
  </si>
  <si>
    <t>Фирсова Люция Рамдисовна</t>
  </si>
  <si>
    <t>Firsova Lucia</t>
  </si>
  <si>
    <t>100000006478</t>
  </si>
  <si>
    <t>PW0K0DYT</t>
  </si>
  <si>
    <t>7JFNC-HKCYG-CGBVY-YPMG2-XTP2T</t>
  </si>
  <si>
    <t>Балычев Вячеслав Алексеевич</t>
  </si>
  <si>
    <t>Balychev Vyacheslav</t>
  </si>
  <si>
    <t>100000006448</t>
  </si>
  <si>
    <t>PW0K0DNJ</t>
  </si>
  <si>
    <t>67FNV-CJGVX-HDPHX-HFTWP-4RHJ6</t>
  </si>
  <si>
    <t>Клепиков Александр Игоревич  16385</t>
  </si>
  <si>
    <t>Alexander Klepikov</t>
  </si>
  <si>
    <t>Техник по качеству</t>
  </si>
  <si>
    <t>100000006457</t>
  </si>
  <si>
    <t>PW0K0DG4</t>
  </si>
  <si>
    <t>PW3NT-FBHPV-TMHMC-GCDWV-DRTPT</t>
  </si>
  <si>
    <t>Мартыненко Анастасия Константиновна</t>
  </si>
  <si>
    <t>Martynenko Anastasia</t>
  </si>
  <si>
    <t>100000006447</t>
  </si>
  <si>
    <t>PW0K0D40</t>
  </si>
  <si>
    <t>NR49M-DJ3PV-MYRTC-3X29M-6VKCT</t>
  </si>
  <si>
    <t>Сапрыкина Анна Сергеевна</t>
  </si>
  <si>
    <t>Saprykina Anna</t>
  </si>
  <si>
    <t>100000006480</t>
  </si>
  <si>
    <t>PW0K0DSF</t>
  </si>
  <si>
    <t>F3HNX-CJYTR-V6JYP-V2M4W-D9M6G</t>
  </si>
  <si>
    <t xml:space="preserve">Колесников Илья Владимирович </t>
  </si>
  <si>
    <t>Kolesnikov Ilya</t>
  </si>
  <si>
    <t>100000006450</t>
  </si>
  <si>
    <t>PW0K0DXN</t>
  </si>
  <si>
    <t>FHRN3-9B6GK-HM824-QRM2F-X2FTG</t>
  </si>
  <si>
    <t>Акт 15.07.2026</t>
  </si>
  <si>
    <t>Щербакова Светлана Владимировна</t>
  </si>
  <si>
    <t>Shcherbakova Svetlana</t>
  </si>
  <si>
    <t>100000006479</t>
  </si>
  <si>
    <t>PW0K0DT8</t>
  </si>
  <si>
    <t>P3HBN-4724R-HMXKP-WWG6Y-6VKCT</t>
  </si>
  <si>
    <t>Акт 20.05.2026</t>
  </si>
  <si>
    <t>Сафронова Анастасия Романовна</t>
  </si>
  <si>
    <t>Safronova Anastasia</t>
  </si>
  <si>
    <t>100000006455</t>
  </si>
  <si>
    <t>PW0K0DZS</t>
  </si>
  <si>
    <t>6HNW6-3YBWF-V6DB6-WJQ3B-2PQW6</t>
  </si>
  <si>
    <t>Подъячева Наталья Александровна 16436</t>
  </si>
  <si>
    <t>Podyacheva Natalia</t>
  </si>
  <si>
    <t>100000006477</t>
  </si>
  <si>
    <t>PW0K0DZM</t>
  </si>
  <si>
    <t>B2NKP-VCDHD-Q6R7X-JWRX7-XD8GG</t>
  </si>
  <si>
    <t>Романов Олег Николаевич 16463</t>
  </si>
  <si>
    <t>Romanov Oleg</t>
  </si>
  <si>
    <t>100000002710</t>
  </si>
  <si>
    <t>PF4ET93Z</t>
  </si>
  <si>
    <t>Никишин Павел Александрович 16467</t>
  </si>
  <si>
    <t>Nikishin Pavel</t>
  </si>
  <si>
    <t>100000006482</t>
  </si>
  <si>
    <t>PW0K0DD4</t>
  </si>
  <si>
    <t>FRY87-NTGG6-4G2DJ-YQ8Y4-R3K86</t>
  </si>
  <si>
    <t>Соломин Никита Андреевич 16468</t>
  </si>
  <si>
    <t>Solomin Nikita</t>
  </si>
  <si>
    <t>100000006451</t>
  </si>
  <si>
    <t>PW0K0DTN</t>
  </si>
  <si>
    <t>RMHYW-CNMF7-XX7M3-4V7BX-8QK86</t>
  </si>
  <si>
    <t>Новиков Руслан Александрович 16470</t>
  </si>
  <si>
    <t>Novikov Ruslan</t>
  </si>
  <si>
    <t>WorkStation, Хiaomi A24i,mouse,keyboard</t>
  </si>
  <si>
    <t>100000006423</t>
  </si>
  <si>
    <t>K0127435</t>
  </si>
  <si>
    <t>J4QB8-2N3J2-CR7GK-T9BXH-B7V82</t>
  </si>
  <si>
    <t>Тарланов Юсуп Нурисланович</t>
  </si>
  <si>
    <t>Tarlanov Yusup</t>
  </si>
  <si>
    <t>100000006148</t>
  </si>
  <si>
    <t>PW0LW3Q9</t>
  </si>
  <si>
    <t>68CNW-GHXPM-H6DBM-RCQPD-977J6</t>
  </si>
  <si>
    <t>Акт 03.06.2026</t>
  </si>
  <si>
    <t>Овечкин Игорь Юрьевич 16481</t>
  </si>
  <si>
    <t>Ovechkin Igor</t>
  </si>
  <si>
    <t>100000006535</t>
  </si>
  <si>
    <t>PW0K0DWJ</t>
  </si>
  <si>
    <t>MMKWT-JNY8D-P82MC-RXPX6-9KX86</t>
  </si>
  <si>
    <t>Костин Федор Константинович 16485</t>
  </si>
  <si>
    <t>Kostin Fedor</t>
  </si>
  <si>
    <t>Инженер-метролог</t>
  </si>
  <si>
    <t>NOBO, NOBO QA</t>
  </si>
  <si>
    <t>100000006505</t>
  </si>
  <si>
    <t>PW0K0DKA</t>
  </si>
  <si>
    <t>G69B3-NVQ3V-D6XMK-4WT6G-HFTPT</t>
  </si>
  <si>
    <t>Сильников Александр Владимирович 16529</t>
  </si>
  <si>
    <t>Silnikov Alexander</t>
  </si>
  <si>
    <t>100000006454</t>
  </si>
  <si>
    <t>PW0K0DSB</t>
  </si>
  <si>
    <t>DD7GF-9NM3V-JC784-JKB4K-T83W6</t>
  </si>
  <si>
    <t>Акт 04.06.2026</t>
  </si>
  <si>
    <t>Зыков Георгий Сергеевич 16532</t>
  </si>
  <si>
    <t>Zykov Georgy</t>
  </si>
  <si>
    <t>100000006452</t>
  </si>
  <si>
    <t>PW0K0DBK</t>
  </si>
  <si>
    <t>9VBN8-968FY-R9TG6-9BTVH-XD8GG</t>
  </si>
  <si>
    <t xml:space="preserve">Лищун Любовь Анатольевна </t>
  </si>
  <si>
    <t>Lishchun Lyubov</t>
  </si>
  <si>
    <t>OMD, COST</t>
  </si>
  <si>
    <t>laptop,mouse,bag,</t>
  </si>
  <si>
    <t>100000005382</t>
  </si>
  <si>
    <t>C2507N0002549</t>
  </si>
  <si>
    <t>9RTYN-GKB9H-YFXW6-HDQVT-MKMW2</t>
  </si>
  <si>
    <t>Куралев Илья Валентинович 16548</t>
  </si>
  <si>
    <t>Kuralev Ilya</t>
  </si>
  <si>
    <t>100000006726</t>
  </si>
  <si>
    <t>PW0K0DSW</t>
  </si>
  <si>
    <t>KWWNT-JBGK9-YX9QH-2277P-KW3W6</t>
  </si>
  <si>
    <t>Коротков Дмитрий Алексеевич 16565</t>
  </si>
  <si>
    <t>Korotkov Dmitry</t>
  </si>
  <si>
    <t>00000021020(3)</t>
  </si>
  <si>
    <t>8CC9253VH5</t>
  </si>
  <si>
    <t>2NYB3-H8CC7-Y3M47-HBQB9-QV8DC</t>
  </si>
  <si>
    <t>Ульянкина Екатерина Юрьевна</t>
  </si>
  <si>
    <t>Ulyankina Ekaterina</t>
  </si>
  <si>
    <t>100000006421</t>
  </si>
  <si>
    <t>PW0K0DRT</t>
  </si>
  <si>
    <t>PQDJF-7N6CF-HQPVJ-FDWTG-683W6</t>
  </si>
  <si>
    <t>Ковригин Владислав Владимирович 16632</t>
  </si>
  <si>
    <t>Kovrigin Vladislav</t>
  </si>
  <si>
    <t>NOBO, NOBO QT</t>
  </si>
  <si>
    <t>100000006694</t>
  </si>
  <si>
    <t>DQBRRCD00255101A746N02</t>
  </si>
  <si>
    <t>XHHHF-N7QC9-6DRHD-VJTJC-XTP2T</t>
  </si>
  <si>
    <t>3/30/2026</t>
  </si>
  <si>
    <t>С НДС 71601,80</t>
  </si>
  <si>
    <t>Яценко Никита Сергеевич</t>
  </si>
  <si>
    <t>Yatsenko Nikita</t>
  </si>
  <si>
    <t>100000006714</t>
  </si>
  <si>
    <t>PW0K0DXP</t>
  </si>
  <si>
    <t>XDNTC-TV2V4-9G2VK-84Q3G-FVXGG</t>
  </si>
  <si>
    <t>DFMX2-4NKXC-KXJJ2-KJHBW-DGP2T</t>
  </si>
  <si>
    <t>Коржилов Валентин Борисович</t>
  </si>
  <si>
    <t>Korzhilov valentin</t>
  </si>
  <si>
    <t>100000006517</t>
  </si>
  <si>
    <t>PW0K0DCZ</t>
  </si>
  <si>
    <t>CFNKX-PKRW8-2Y8CQ-CVGRX-KQB6G</t>
  </si>
  <si>
    <t>Луговец Владимир Владимирович</t>
  </si>
  <si>
    <t>Lugovets Vladimir</t>
  </si>
  <si>
    <t>Инженер по ходовой части и силовым агрегатам автомобиля 4 категории</t>
  </si>
  <si>
    <t>100000003577</t>
  </si>
  <si>
    <t>F2715NBP35060820183</t>
  </si>
  <si>
    <t xml:space="preserve">Раднаев Жалсан Васильевич </t>
  </si>
  <si>
    <t xml:space="preserve">Radnaev Zhalsan </t>
  </si>
  <si>
    <t>00000011052</t>
  </si>
  <si>
    <t>R90QN4W3</t>
  </si>
  <si>
    <t>Кругликова Вероника</t>
  </si>
  <si>
    <t>Kruglikova Veronika</t>
  </si>
  <si>
    <t>100000006506</t>
  </si>
  <si>
    <t>PW0K0DHY</t>
  </si>
  <si>
    <t>DMDGN-3V2JR-T8TYY-222VX-M99CT</t>
  </si>
  <si>
    <t>Тришкина Татьяна Игоревна</t>
  </si>
  <si>
    <t>Trishkina Tatyana</t>
  </si>
  <si>
    <t>100000006692</t>
  </si>
  <si>
    <t>DQBRRCD00255101A716N02</t>
  </si>
  <si>
    <t>Рысина Полина Дмитриевна</t>
  </si>
  <si>
    <t>Rysina Polina</t>
  </si>
  <si>
    <t>140000141/Z000076</t>
  </si>
  <si>
    <t>S4FM3373</t>
  </si>
  <si>
    <t xml:space="preserve">Microsoft® Word 2019 MSO (версия 2508 Сборка 16.0.19127.20082) 64-разрядная </t>
  </si>
  <si>
    <t>GYF64-KNF9P-TRD2M-PWQT6-J2QGP</t>
  </si>
  <si>
    <t>Акт 27.11.2025/ 12.06.2026</t>
  </si>
  <si>
    <t>Росляков Иван Евгеньевич 16774</t>
  </si>
  <si>
    <t>Roslyakov Ivan</t>
  </si>
  <si>
    <t>100000006704</t>
  </si>
  <si>
    <t>PW0K0DA9</t>
  </si>
  <si>
    <t>VW2YN-J6KRB-YPJ6B-C6FW2-2DK86</t>
  </si>
  <si>
    <t>Голущенков Дмитрий Алексеевич 16784</t>
  </si>
  <si>
    <t>Golushchenkov Dmitriy</t>
  </si>
  <si>
    <t>Инженер по метрологии</t>
  </si>
  <si>
    <t>100000006528</t>
  </si>
  <si>
    <t>PW0K0DXW</t>
  </si>
  <si>
    <t>NT74K-2QC97-J48CK-VK63G-BP22T</t>
  </si>
  <si>
    <t>Орлов Алексей Русланович 16794</t>
  </si>
  <si>
    <t>Orlov Alexey</t>
  </si>
  <si>
    <t>100000006467</t>
  </si>
  <si>
    <t>PW0K0DC5</t>
  </si>
  <si>
    <t>10.04.2026 \ 20.05.2026</t>
  </si>
  <si>
    <t>Гребенников Кирилл Алексеевич</t>
  </si>
  <si>
    <t>grebennikov kirill</t>
  </si>
  <si>
    <t>WorkStation,monitor(Хiaomi A24i s/n),mouse,keyboard,WI-Fi USB adapter TP-Link</t>
  </si>
  <si>
    <t>100000007011</t>
  </si>
  <si>
    <t>K0127432</t>
  </si>
  <si>
    <t>8NX3G-422PR-W7FJ2-GQ34R-7H7CP</t>
  </si>
  <si>
    <t>Раджабова Гулджахон Баходурхоновна</t>
  </si>
  <si>
    <t>Radzhabova Guldzhakhon</t>
  </si>
  <si>
    <t>Специалист по планированию логистики / Specialist planning logistics</t>
  </si>
  <si>
    <t>100000006697</t>
  </si>
  <si>
    <t>DQBRRCD00255101A8B6N02</t>
  </si>
  <si>
    <t>F23KD-KNJ6R-G4V2X-K8XKH-YY6PT</t>
  </si>
  <si>
    <t>Кийко Александр Андреевич</t>
  </si>
  <si>
    <t>Kiyko Aleksandr</t>
  </si>
  <si>
    <t>100000006501</t>
  </si>
  <si>
    <t>PW0K0DC2</t>
  </si>
  <si>
    <t>MCNKG-QG9QP-K6P86-QFVK7-M4HJ6</t>
  </si>
  <si>
    <t>Бровкина Софья Алексеевна 16809</t>
  </si>
  <si>
    <t>Brovkina Sofya</t>
  </si>
  <si>
    <t>100000006722</t>
  </si>
  <si>
    <t>PW0K0DJR</t>
  </si>
  <si>
    <t>NBTFD-3C92B-FR26X-4T964-W8GPT</t>
  </si>
  <si>
    <t>Щербаченко (Зимина) Полина Сергеевна</t>
  </si>
  <si>
    <t>была модернизация/upgraded (SSD +ram)
Заменен акум</t>
  </si>
  <si>
    <t>Zimina Polina</t>
  </si>
  <si>
    <t>Офис-ассистент</t>
  </si>
  <si>
    <t>00000016136</t>
  </si>
  <si>
    <t>LR0AVC1R</t>
  </si>
  <si>
    <t>CM6K8-THN96-9J7TY-7FCPK-C7K76</t>
  </si>
  <si>
    <t>Акт 10.09.2026</t>
  </si>
  <si>
    <t>Бакуменко Владимир Витальевич</t>
  </si>
  <si>
    <t>Bakumenko Vladimir</t>
  </si>
  <si>
    <t>100000006734</t>
  </si>
  <si>
    <t>DQBRRCD00255101A596N02</t>
  </si>
  <si>
    <t>KGNDK-CRFV6-HMT79-2GPQB-WHWGG</t>
  </si>
  <si>
    <t>Акт 10.06.2026</t>
  </si>
  <si>
    <t>Гаджи-Керимова Елена Валерьевна</t>
  </si>
  <si>
    <t>Gadzhi-Kerimova Elena</t>
  </si>
  <si>
    <t>100000006684</t>
  </si>
  <si>
    <t>PW0K0DR3</t>
  </si>
  <si>
    <t>MNH83-7HKBH-WVGW3-34W76-XQB6G</t>
  </si>
  <si>
    <t>Акт 12.06.2026</t>
  </si>
  <si>
    <t>Филатова Дарья Николаевна 16857</t>
  </si>
  <si>
    <t>Filatova Darya</t>
  </si>
  <si>
    <t>00000010771</t>
  </si>
  <si>
    <t>R90QFPYZ</t>
  </si>
  <si>
    <t>68JRX-NVXKF-RDKRG-G2PGP-27JXC</t>
  </si>
  <si>
    <t>Серегина Екатерина Андреевна</t>
  </si>
  <si>
    <t>Seregina Ekaterina</t>
  </si>
  <si>
    <t>Специалист по заказам / Specialist orders</t>
  </si>
  <si>
    <t>100000006709</t>
  </si>
  <si>
    <t>DQBRRCD00255101A5C6N02</t>
  </si>
  <si>
    <t>3XR7B-6DNWR-RG946-XVRYV-46Y6G</t>
  </si>
  <si>
    <t>Акт 15.06.2026</t>
  </si>
  <si>
    <t>Кирилин Валентин Геннадьевич 16865</t>
  </si>
  <si>
    <t>Kirilin Valentin</t>
  </si>
  <si>
    <t>100000006686</t>
  </si>
  <si>
    <t>PW0K0DK9</t>
  </si>
  <si>
    <t>TNC2P-BBYGM-BFFJR-4678Q-WQK86</t>
  </si>
  <si>
    <t>Акт 23.06.2026</t>
  </si>
  <si>
    <t>Корниенко Ирина Сергеевна</t>
  </si>
  <si>
    <t>Kornienko Irina</t>
  </si>
  <si>
    <t>100000006678</t>
  </si>
  <si>
    <t>PW0K0D88</t>
  </si>
  <si>
    <t>Сулин Дмитрий Андреевич</t>
  </si>
  <si>
    <t>Sulin Dmitriy</t>
  </si>
  <si>
    <t>100000006720</t>
  </si>
  <si>
    <t>PW0K0DZ7</t>
  </si>
  <si>
    <t>K32XK-3NXXD-W23T2-896PX-TF4TG</t>
  </si>
  <si>
    <t>Проселкова Юлия Сергеевна (16873)</t>
  </si>
  <si>
    <t>Proselkova Yuliya</t>
  </si>
  <si>
    <t>100000006705</t>
  </si>
  <si>
    <t>PW0K0DWK</t>
  </si>
  <si>
    <t>NRXFX-TW6WD-DGWWF-TDKQJ-JFHJ6</t>
  </si>
  <si>
    <t>Уренев Александр Александрович</t>
  </si>
  <si>
    <t>Urenev Aleksandr</t>
  </si>
  <si>
    <t xml:space="preserve">Инженер производственного контроля </t>
  </si>
  <si>
    <t>100000007000</t>
  </si>
  <si>
    <t>PW0K0DZR</t>
  </si>
  <si>
    <t>6YV6K-6NBJW-9VMG2-JPQ2C-YKM6G</t>
  </si>
  <si>
    <t>Акт 04.07.2026</t>
  </si>
  <si>
    <t>Щедрин Иван Андреевич</t>
  </si>
  <si>
    <t>Shchedrin Ivan</t>
  </si>
  <si>
    <t>100000006470</t>
  </si>
  <si>
    <t>PW0K0DK0</t>
  </si>
  <si>
    <t>J4JHP-9KN8F-BHGBQ-4FMKJ-29X86</t>
  </si>
  <si>
    <t>Орлов Дмитрий Владимирович</t>
  </si>
  <si>
    <t>Orlov Dmitriy</t>
  </si>
  <si>
    <t>100000003391</t>
  </si>
  <si>
    <t>MP2HBVY3</t>
  </si>
  <si>
    <t>Жуков Игорь Викторович</t>
  </si>
  <si>
    <t>Zhukov Igor</t>
  </si>
  <si>
    <t>100000005551</t>
  </si>
  <si>
    <t>PW0LW3NG</t>
  </si>
  <si>
    <t>HHDWN-K9B8C-GRYFG-D6DGM-88GPT</t>
  </si>
  <si>
    <t xml:space="preserve">Киселева Ксения Михайловна </t>
  </si>
  <si>
    <t>Kiseleva Kseniya</t>
  </si>
  <si>
    <t>100000004741</t>
  </si>
  <si>
    <t>NXKN3CD00145202A4F3400</t>
  </si>
  <si>
    <t>N9P67-C9PWH-Y9PXC-WR4QP-BTDW6</t>
  </si>
  <si>
    <t xml:space="preserve">Симачев Андрей </t>
  </si>
  <si>
    <t>Simachev Andrey</t>
  </si>
  <si>
    <t>Начальник смены технического обслуживания оборудования 1 категории.</t>
  </si>
  <si>
    <t>100000003333</t>
  </si>
  <si>
    <t>NXEGYER00H32008C2A3400</t>
  </si>
  <si>
    <t>Дудырев Николай Викторович</t>
  </si>
  <si>
    <t>dudyrev nikolay</t>
  </si>
  <si>
    <t>100000006699</t>
  </si>
  <si>
    <t>PW0K0DA6</t>
  </si>
  <si>
    <t>GGYTY-RFNV6-729TW-7RR63-49C2T</t>
  </si>
  <si>
    <t>Стадников Сергей Анатольевич</t>
  </si>
  <si>
    <t>Stadnikov Sergey</t>
  </si>
  <si>
    <t>100000006683</t>
  </si>
  <si>
    <t>PW0K0DCT</t>
  </si>
  <si>
    <t>KMNG9-7X2W7-PBK7X-H7BFJ-29X86</t>
  </si>
  <si>
    <t xml:space="preserve">Уренева Ксения Сергеевна </t>
  </si>
  <si>
    <t>Ureneva Ksenia</t>
  </si>
  <si>
    <t>100000006520</t>
  </si>
  <si>
    <t>PW0K0DT3</t>
  </si>
  <si>
    <t>HDYN3-669GT-GFR2B-2RP28-29X86</t>
  </si>
  <si>
    <t>Малыгин Олег Николаевич</t>
  </si>
  <si>
    <t>Oleg Malygin</t>
  </si>
  <si>
    <t>100000006703</t>
  </si>
  <si>
    <t>PW0K0DEL</t>
  </si>
  <si>
    <t>GVDV6-NP97C-7R6FT-WKX89-TF4TG</t>
  </si>
  <si>
    <t>Симаков Сергей Александрович</t>
  </si>
  <si>
    <t>Simakov Sergey</t>
  </si>
  <si>
    <t>100000006532</t>
  </si>
  <si>
    <t>PW0K0DRE</t>
  </si>
  <si>
    <t>YGFBW-4NRV9-C3366-RVDYH-T3B6G</t>
  </si>
  <si>
    <t xml:space="preserve">Крючкова Мария Константиновна </t>
  </si>
  <si>
    <t>Kryuchkova Maria</t>
  </si>
  <si>
    <t>Laptop,mouse,keyboard</t>
  </si>
  <si>
    <t>Laptop Lenovo Т560</t>
  </si>
  <si>
    <t>140000022/Z000136</t>
  </si>
  <si>
    <t>R90K6DNH</t>
  </si>
  <si>
    <t>WJKB8-62928-HQFBV-3KJJ7-X77CP</t>
  </si>
  <si>
    <t>Акт 25.06.2026</t>
  </si>
  <si>
    <t>Коновалов Александр Александрович</t>
  </si>
  <si>
    <t>Alexander Konovalov</t>
  </si>
  <si>
    <t>Младший инженер</t>
  </si>
  <si>
    <t>100000007001</t>
  </si>
  <si>
    <t>PW0K0DQM</t>
  </si>
  <si>
    <t>WNVYX-24FGP-3FJHX-HBPYR-Q9M6G</t>
  </si>
  <si>
    <t>Акт 07.07.2026</t>
  </si>
  <si>
    <t>Федюнина Полина Алексеевна 17078</t>
  </si>
  <si>
    <t>Fedyunina Polina</t>
  </si>
  <si>
    <t>100000001627</t>
  </si>
  <si>
    <t>PF2TXSE1</t>
  </si>
  <si>
    <t>Акт  10.08.2026</t>
  </si>
  <si>
    <t>Кох Дарья Владимировна 17083</t>
  </si>
  <si>
    <t>Kokh Darya</t>
  </si>
  <si>
    <t>100000006716</t>
  </si>
  <si>
    <t>PW0K0DT9</t>
  </si>
  <si>
    <t>TVYY2-WNK66-QT7TP-YGM2G-Y99CT</t>
  </si>
  <si>
    <t>Глебова Маргарита Валерьевна</t>
  </si>
  <si>
    <t>Glebova Margarita</t>
  </si>
  <si>
    <t>CH, CH Q&amp;T</t>
  </si>
  <si>
    <t>100000006989</t>
  </si>
  <si>
    <t>DQBRRCD00255101AA46N02</t>
  </si>
  <si>
    <t>VNBTX-3P7MB-J9XVH-YQDM8-TQ8GG</t>
  </si>
  <si>
    <t>Акт 14.07.2026</t>
  </si>
  <si>
    <t xml:space="preserve">Михайловский Максим Евгеньевич </t>
  </si>
  <si>
    <t>Mikhaylovskiy Maksim</t>
  </si>
  <si>
    <t>100000001599</t>
  </si>
  <si>
    <t>CND1250662</t>
  </si>
  <si>
    <t>PJMC3-DNY37-7YFTX-YYWJ6-239BT</t>
  </si>
  <si>
    <t xml:space="preserve"> Климанов А.</t>
  </si>
  <si>
    <t>Лесников Илья Юрьевич</t>
  </si>
  <si>
    <t>Lesnikov Ilya</t>
  </si>
  <si>
    <t>100000006522</t>
  </si>
  <si>
    <t>PW0K0D78</t>
  </si>
  <si>
    <t>Y3N9K-6VKFC-PDYR4-7KHVG-Y99CT</t>
  </si>
  <si>
    <t>Уланов Владимир Дмитриевич</t>
  </si>
  <si>
    <t>Ulanov Vladimir</t>
  </si>
  <si>
    <t>100000006122</t>
  </si>
  <si>
    <t>PW0LW3R7</t>
  </si>
  <si>
    <t>BHDXN-VVDPH-PMMKG-6Q3MB-8FHJ6</t>
  </si>
  <si>
    <t>Насонова Ольга Сергеевна</t>
  </si>
  <si>
    <t>Nasonova Olga</t>
  </si>
  <si>
    <t>100000006412</t>
  </si>
  <si>
    <t>PW0K0DG7</t>
  </si>
  <si>
    <t>VXNW9-BP297-P9FQG-BXTW9-H6DW6</t>
  </si>
  <si>
    <t>Акт 09.07.2026</t>
  </si>
  <si>
    <t>Белобородова Светлана Александровна</t>
  </si>
  <si>
    <t>Beloborodova Svetlana</t>
  </si>
  <si>
    <t>100000007007</t>
  </si>
  <si>
    <t>DQBR8CD00255101CEC6N02</t>
  </si>
  <si>
    <t>TTP6N-96HYC-VTR6F-3CX4X-9HKCT</t>
  </si>
  <si>
    <t>Таналиева Наталья Дмитриевна</t>
  </si>
  <si>
    <t>Tanalieva Natalia</t>
  </si>
  <si>
    <t>10000001790</t>
  </si>
  <si>
    <t>PF24A8SL</t>
  </si>
  <si>
    <t>Рубцова Юлия Игоревна</t>
  </si>
  <si>
    <t>Rubtsova Yulia</t>
  </si>
  <si>
    <t>PLD TS</t>
  </si>
  <si>
    <t>100000005545</t>
  </si>
  <si>
    <t>PW0LW3TT</t>
  </si>
  <si>
    <t>MTNWH-T737G-3CJQP-M9H7F-FC22T</t>
  </si>
  <si>
    <t>Васина Светлана Игоревна</t>
  </si>
  <si>
    <t>Vasina Svetlana</t>
  </si>
  <si>
    <t>Ведущий бухгалтер по налогам</t>
  </si>
  <si>
    <t>100000007008</t>
  </si>
  <si>
    <t>DQBRRCD00255101A5E6N02</t>
  </si>
  <si>
    <t>RKBBR-N2QTG-J6MH8-FVX7G-QYJGG</t>
  </si>
  <si>
    <t>Нестерова Ольга Юрьевна</t>
  </si>
  <si>
    <t>Nesterova olga</t>
  </si>
  <si>
    <t>100000003397</t>
  </si>
  <si>
    <t>DQBKMCD002336012BE3000</t>
  </si>
  <si>
    <t>Не предусмотрено</t>
  </si>
  <si>
    <t>Вадюхина Екатерина Сергеевна</t>
  </si>
  <si>
    <t>Vadyukhina Ekaterina</t>
  </si>
  <si>
    <t>100000006962</t>
  </si>
  <si>
    <t>PW0K0DSA</t>
  </si>
  <si>
    <t>Москаленко Данил Игоревич</t>
  </si>
  <si>
    <t>Moskalenko Danil</t>
  </si>
  <si>
    <t>100000006966</t>
  </si>
  <si>
    <t>PW0K0DCC</t>
  </si>
  <si>
    <t>8H69N-8J7BC-JV7HY-6R9TV-46Y6G</t>
  </si>
  <si>
    <t>Акт 08.07.2026</t>
  </si>
  <si>
    <t>Ульянов Дмитрий Андреевич</t>
  </si>
  <si>
    <t>Ulyanov Dmitriy</t>
  </si>
  <si>
    <t>100000007078</t>
  </si>
  <si>
    <t>DQBRRCD00255101AA56N02</t>
  </si>
  <si>
    <t>4NRMK-BY8GW-JMMC2-BYGQW-4VWGG</t>
  </si>
  <si>
    <t>Савушкин Александр Викторович</t>
  </si>
  <si>
    <t>Savushkin Aleksandr</t>
  </si>
  <si>
    <t>00000011595</t>
  </si>
  <si>
    <t>LR08MD3R</t>
  </si>
  <si>
    <t xml:space="preserve">Недро Карина Дмитриевна </t>
  </si>
  <si>
    <t>Nedro Karina</t>
  </si>
  <si>
    <t>100000003650</t>
  </si>
  <si>
    <t>F2715NBP35060821215</t>
  </si>
  <si>
    <t>Абаполов Алексей Викторович</t>
  </si>
  <si>
    <t xml:space="preserve">
Abapolov Alexey</t>
  </si>
  <si>
    <t>DQBRRCD00255101AB56N02</t>
  </si>
  <si>
    <t>NP3VQ-WQMKY-WGW8R-VMG2K-WTY6G</t>
  </si>
  <si>
    <t>Азизходжаева Алина Абрарходжаевна</t>
  </si>
  <si>
    <t>Модернизация не требуется/normal (no need to upgrade) ЗАМЕНИЛИ SSD</t>
  </si>
  <si>
    <t>Azizkhodjaeva Alina</t>
  </si>
  <si>
    <t xml:space="preserve">        Оператор</t>
  </si>
  <si>
    <t>140000066/Z000097</t>
  </si>
  <si>
    <t>YJ009HQA</t>
  </si>
  <si>
    <t>P9N9P-B8R7D-HMM73-89G4V-MBH22</t>
  </si>
  <si>
    <t>Акт 08.09.2026</t>
  </si>
  <si>
    <t>Тарабаева Алина Александровна 17241</t>
  </si>
  <si>
    <t>Tarabaeva Alina</t>
  </si>
  <si>
    <t>Аналитик</t>
  </si>
  <si>
    <t>100000003585</t>
  </si>
  <si>
    <t>F2715NBP35060821128</t>
  </si>
  <si>
    <t>Беляев Александр Александрович</t>
  </si>
  <si>
    <t>Belyaev Aleksandr</t>
  </si>
  <si>
    <t>100000006527</t>
  </si>
  <si>
    <t>PW0K0DJQ</t>
  </si>
  <si>
    <t>GNGJ9-Y7VMB-7HXPG-JVRP3-8K9CT</t>
  </si>
  <si>
    <t>Акт 13.07.2026</t>
  </si>
  <si>
    <t>Лукина Наталья Викторовна</t>
  </si>
  <si>
    <t>Lukina Natalia</t>
  </si>
  <si>
    <t>100000006984</t>
  </si>
  <si>
    <t>DQBR8CD00255101D466N02</t>
  </si>
  <si>
    <t>NCK6V-Q3TRQ-878GR-GDFRM-G3B6G</t>
  </si>
  <si>
    <t>Федорова Елена Анатольевна</t>
  </si>
  <si>
    <t>Fedorova Elena</t>
  </si>
  <si>
    <t>DQBRRCD00255101AA36N02</t>
  </si>
  <si>
    <t>V3CHT-N998B-8R4TQ-XJB4K-YDXCT</t>
  </si>
  <si>
    <t>Софронова София Александровна</t>
  </si>
  <si>
    <t>Sofronova Sofiya</t>
  </si>
  <si>
    <t>CH, CH MD</t>
  </si>
  <si>
    <t>100000006985</t>
  </si>
  <si>
    <t>DQBRRCD00255101AB06N02</t>
  </si>
  <si>
    <t>MXQ3X-N3CT8-Y29YJ-H97YD-3PFTG</t>
  </si>
  <si>
    <t>Сныткин Кирилл Викторович</t>
  </si>
  <si>
    <t>Snytkin Kirill</t>
  </si>
  <si>
    <t>DQBRRCD00255101A546N02</t>
  </si>
  <si>
    <t>MN9K9-G7Q92-CH72R-9YWFK-YDXCT</t>
  </si>
  <si>
    <t xml:space="preserve">Выборнов Александр Владимирович </t>
  </si>
  <si>
    <t>Vybornov Aleksandr</t>
  </si>
  <si>
    <t>100000006142</t>
  </si>
  <si>
    <t>PW0LW3VG</t>
  </si>
  <si>
    <t>2KYBN-G9328-46BRB-36PG6-VCFTG</t>
  </si>
  <si>
    <t>Полякова Ольга Юрьевна</t>
  </si>
  <si>
    <t>Polyakova Olga</t>
  </si>
  <si>
    <t>Специалист TPS / TPS Specialist</t>
  </si>
  <si>
    <t>100000006986</t>
  </si>
  <si>
    <t>DQBRRCD00255101A726N02</t>
  </si>
  <si>
    <t>42CFN-83K94-RJ627-X28HC-FX9CT</t>
  </si>
  <si>
    <t>Агеева Виктория Алексеевна ( 17405 )</t>
  </si>
  <si>
    <t>Ageeva Viktoriya</t>
  </si>
  <si>
    <t>Специалист по подбору персонала / Specialist recruitment</t>
  </si>
  <si>
    <t>10000001789</t>
  </si>
  <si>
    <t>PF24ABRT</t>
  </si>
  <si>
    <t>YPRN4-QH2PP-BMCYV-3JTC2-DDC6G</t>
  </si>
  <si>
    <t>DGC9N-BJ7FW-WJTWW-DR8DC-JB49G</t>
  </si>
  <si>
    <t>Акт 20.07.2026</t>
  </si>
  <si>
    <t>Камерилова Лала Рафиковна</t>
  </si>
  <si>
    <t>Kamerilova Lala</t>
  </si>
  <si>
    <t>100000006987</t>
  </si>
  <si>
    <t>DQBRRCD00255101A836N02</t>
  </si>
  <si>
    <t>DWGVJ-2NB9H-V8QY6-PX6JP-P9X86</t>
  </si>
  <si>
    <t>Михайлова Маргарита Сергеевна</t>
  </si>
  <si>
    <t>Mikhaylova Margarita</t>
  </si>
  <si>
    <t>100000006988</t>
  </si>
  <si>
    <t>DQBRRCD00255101A986N02</t>
  </si>
  <si>
    <t>64D7N-B77K7-4G7BG-JCHM2-PGY6G</t>
  </si>
  <si>
    <t>Надеждин Андрей Андреевич 17456</t>
  </si>
  <si>
    <t>Nadezhdin Andrey</t>
  </si>
  <si>
    <t>Заместитель руководителя отдела / Deputy Section Manager</t>
  </si>
  <si>
    <t>100000005410</t>
  </si>
  <si>
    <t>C2509N0008367</t>
  </si>
  <si>
    <t>Акт 21.07.2026</t>
  </si>
  <si>
    <t>Александрова Алина Олеговна</t>
  </si>
  <si>
    <t>Alexandrova Alina</t>
  </si>
  <si>
    <t>100000006982</t>
  </si>
  <si>
    <t>DQBRRCD00255101A946N02</t>
  </si>
  <si>
    <t>CRM4H-N4QH2-3QW6V-HPVJ2-GQ8GG</t>
  </si>
  <si>
    <t xml:space="preserve">Данилин Артем Романович </t>
  </si>
  <si>
    <t>Danilin Artem</t>
  </si>
  <si>
    <t>Специалист по видеонаблюдению / Video surveillance specialist</t>
  </si>
  <si>
    <t>100000001617</t>
  </si>
  <si>
    <t>CND12506G5</t>
  </si>
  <si>
    <t>Акт 01.08.2026</t>
  </si>
  <si>
    <t>Жаворонкова Кристина Сергеевна</t>
  </si>
  <si>
    <t>Zhavoronkova Kristina</t>
  </si>
  <si>
    <t>DQBRRCD00255101A686N02</t>
  </si>
  <si>
    <t>9YQNH-GTT9G-6XF9D-HX288-GVKCT</t>
  </si>
  <si>
    <t>Чабан Галина Григорьевна</t>
  </si>
  <si>
    <t>Chaban Galina</t>
  </si>
  <si>
    <t>100000007004</t>
  </si>
  <si>
    <t>PW0K0D53</t>
  </si>
  <si>
    <t>Ефимов Никита Борисович  ( 17628 )</t>
  </si>
  <si>
    <t>Efimov Nikita</t>
  </si>
  <si>
    <t>Инженер-электроник 2 категории / Control engineer of the 2nd category</t>
  </si>
  <si>
    <t>100000004251</t>
  </si>
  <si>
    <t>F2715NBP35060821036</t>
  </si>
  <si>
    <t>2T7FW-B4NHY-PWFGX-H9QGG-C9XTP</t>
  </si>
  <si>
    <t>Комарова Анна Андреевна 17629</t>
  </si>
  <si>
    <t>Komarova Anna</t>
  </si>
  <si>
    <t>100000007086</t>
  </si>
  <si>
    <t>DQBR8CD00255101CE86N02</t>
  </si>
  <si>
    <t>28RPN-9R6F7-GMHRP-QPXHG-V6DW6</t>
  </si>
  <si>
    <t>Артемьева Дарья Андреевна</t>
  </si>
  <si>
    <t>Artemyeva Daria</t>
  </si>
  <si>
    <t>140000055/Z000107</t>
  </si>
  <si>
    <t>PF0W18NK</t>
  </si>
  <si>
    <t>Кудрявцева Алсу Александровна ( 17636 )</t>
  </si>
  <si>
    <t>Kudryavtseva Alsu</t>
  </si>
  <si>
    <t>DQBRRCD00255101A736N02</t>
  </si>
  <si>
    <t>BT3YG-NQKXR-TPGBB-KPP8G-P7KCT</t>
  </si>
  <si>
    <t>Акт 30.07.2026</t>
  </si>
  <si>
    <t>Бабич Евгения Михайловна</t>
  </si>
  <si>
    <t>Babich Evgeniya</t>
  </si>
  <si>
    <t>Специалист по работе с учебными учреждениями</t>
  </si>
  <si>
    <t>100000005552</t>
  </si>
  <si>
    <t>PW0LW3NX</t>
  </si>
  <si>
    <t>NMXWR-W4R2P-KP9JD-472QD-49C2T</t>
  </si>
  <si>
    <t>Голубничая Анна Николаевна ( 17672 )</t>
  </si>
  <si>
    <t>Golubnichaya Anna</t>
  </si>
  <si>
    <t>100000001675</t>
  </si>
  <si>
    <t>8M4HDF2</t>
  </si>
  <si>
    <t>DYBM3-74NM3-FH3BG-PPVWK-9HJV2</t>
  </si>
  <si>
    <t>Стаин Фёдор Николаевич</t>
  </si>
  <si>
    <t>Stain Fedor</t>
  </si>
  <si>
    <t>Инженер-технолог по продукту 1 категории / Product Process Engineer</t>
  </si>
  <si>
    <t>100000003382</t>
  </si>
  <si>
    <t>F2715NBP35080820613</t>
  </si>
  <si>
    <t>NQ4VY-XW8MD-69WM8-YCF88-Q69TP</t>
  </si>
  <si>
    <t>Акт 05.08.2026</t>
  </si>
  <si>
    <t>Потапова Анастасия Сергеевна ( 17706 )</t>
  </si>
  <si>
    <t>Potapova Anastasiya</t>
  </si>
  <si>
    <t>Технолог 4 категории / Technologist  4 category</t>
  </si>
  <si>
    <t>100000006991</t>
  </si>
  <si>
    <t>DQBRRCD00255101A9B6N02</t>
  </si>
  <si>
    <t>3NJVY-86GKG-4B72B-MJP2V-8HWGG</t>
  </si>
  <si>
    <t>Лукачева Татьяна Викторовна 17707</t>
  </si>
  <si>
    <t>lukacheva tatyana</t>
  </si>
  <si>
    <t>100000007071</t>
  </si>
  <si>
    <t>DQBRRCD00255101A4A6N02</t>
  </si>
  <si>
    <t>NVMVG-VW8KW-8JRQ6-CF6X8-YP22T</t>
  </si>
  <si>
    <t>Бычков Александр Игоревич 17708</t>
  </si>
  <si>
    <t>Bychkov Alexander</t>
  </si>
  <si>
    <t>100000006983</t>
  </si>
  <si>
    <t>PW0K0DW1</t>
  </si>
  <si>
    <t>N9TMV-4837F-H8QVF-CP863-KKX86</t>
  </si>
  <si>
    <t>Акт 15.08.2026</t>
  </si>
  <si>
    <t>Воеводина Евгения Константиновна 17712</t>
  </si>
  <si>
    <t>Voevodina Evgeniya</t>
  </si>
  <si>
    <t>100000006960</t>
  </si>
  <si>
    <t>DQBR8CD00255101D226N02</t>
  </si>
  <si>
    <t>3GPRN-9DC8K-2FF7F-TCYF7-7QXCT</t>
  </si>
  <si>
    <t>Дудукин Михаил Викторович 17714</t>
  </si>
  <si>
    <t>Dudukin Mikhail</t>
  </si>
  <si>
    <t>PW0K0DK3</t>
  </si>
  <si>
    <t>7KNCJ-DVJ6H-HHHWT-KJQQG-J2QW6</t>
  </si>
  <si>
    <t>Акт 20.08.2026</t>
  </si>
  <si>
    <t>Титов Юрий Юрьевич</t>
  </si>
  <si>
    <t>была модернизация/upgraded(SSD 256)</t>
  </si>
  <si>
    <t>Titov Yuriy</t>
  </si>
  <si>
    <t>140000034/Z000021</t>
  </si>
  <si>
    <t>PF0INFRM</t>
  </si>
  <si>
    <t>NBP7W-T83YK-YWFGR-7CFBR-2KCTC</t>
  </si>
  <si>
    <t>Баева Анастасия Александровна</t>
  </si>
  <si>
    <t>Baeva Anastasia</t>
  </si>
  <si>
    <t>100000001630</t>
  </si>
  <si>
    <t>PF2TM258</t>
  </si>
  <si>
    <t>Мертехин Антон Сергеевич</t>
  </si>
  <si>
    <t xml:space="preserve">Mertekhin Anton </t>
  </si>
  <si>
    <t>AC,MS</t>
  </si>
  <si>
    <t>100000007013</t>
  </si>
  <si>
    <t>DQBR8CD00255101D4E6N02</t>
  </si>
  <si>
    <t>PDN8Q-C4XP6-YXGMX-FJ8W4-4X9CT</t>
  </si>
  <si>
    <t>Романенков Владимир Вячеславович</t>
  </si>
  <si>
    <t>Romanenkov Vladimir</t>
  </si>
  <si>
    <t>100000006138</t>
  </si>
  <si>
    <t>PW0LW3N4</t>
  </si>
  <si>
    <t>JDYM9-CNWPQ-FC7TH-KMJV6-3V7J6</t>
  </si>
  <si>
    <t>Акт 31.08.2026</t>
  </si>
  <si>
    <t>Панарина Христина Владимировна</t>
  </si>
  <si>
    <t>Panarina Khristina</t>
  </si>
  <si>
    <t>100000006961</t>
  </si>
  <si>
    <t>DQBR8CD00255101D0C6N02</t>
  </si>
  <si>
    <t>QXGFJ-GGN3R-YPH7P-734D8-Q6986</t>
  </si>
  <si>
    <t>Коляскина Юлия Сергеевна</t>
  </si>
  <si>
    <t>kolyaskina yuliya</t>
  </si>
  <si>
    <t>100000007072</t>
  </si>
  <si>
    <t>DQBR8CD00255101D0F6N02</t>
  </si>
  <si>
    <t>9DNF9-KDR4B-V79BH-KPMWH-RGDW6</t>
  </si>
  <si>
    <t>Дерябина Наталия Эдуардовна</t>
  </si>
  <si>
    <t>Deryabina Nataliya</t>
  </si>
  <si>
    <t>100000006996</t>
  </si>
  <si>
    <t>DQBRRCD00255101A4D6N02</t>
  </si>
  <si>
    <t>R29HN-VRFJQ-4WPH2-JJGYK-TF4TG</t>
  </si>
  <si>
    <t>789878987898))</t>
  </si>
  <si>
    <t>Тарасова Надежда Петровна 18030</t>
  </si>
  <si>
    <t>Tarasova Nadezda</t>
  </si>
  <si>
    <t>ES, ES PM&amp;LS, ES PP</t>
  </si>
  <si>
    <t>100000004358</t>
  </si>
  <si>
    <t>2408A22H124i5M2165R00100</t>
  </si>
  <si>
    <t>RNXRQ-H6JBF-98BH4-QM8KT-FVV22</t>
  </si>
  <si>
    <t>Финогенова Карина Павловна</t>
  </si>
  <si>
    <t>Finogenova Karina</t>
  </si>
  <si>
    <t>Стажёр Отдела закупок</t>
  </si>
  <si>
    <t>100000007085</t>
  </si>
  <si>
    <t>DQBR8CD00255101CFD6N02</t>
  </si>
  <si>
    <t>M68KR-PNH44-TKGPC-CMR39-DYJGG</t>
  </si>
  <si>
    <t xml:space="preserve">Мухитдинова Екатерина Валерьевна </t>
  </si>
  <si>
    <t>Mukhitdinova Ekaterina</t>
  </si>
  <si>
    <t>CBR AiO-MDC R-2402</t>
  </si>
  <si>
    <t>?на учет по браку</t>
  </si>
  <si>
    <t>AIOMDCR2402B251100129</t>
  </si>
  <si>
    <t>FJKX9-NQW4W-4663Y-FP6JR-X2FJ2</t>
  </si>
  <si>
    <t>Стоимость ПК без НДС 46 731,15руб</t>
  </si>
  <si>
    <t>Козлова Елизавета Евгеньевна</t>
  </si>
  <si>
    <t>Kozlova Elizaveta</t>
  </si>
  <si>
    <t>Специалист по статистике / Statist Specialist</t>
  </si>
  <si>
    <t>100000007080</t>
  </si>
  <si>
    <t>DQBR8CD00255101D336N02</t>
  </si>
  <si>
    <t>Алексеенко Эллина Вячеславовна</t>
  </si>
  <si>
    <t>Alekseenko Ellina</t>
  </si>
  <si>
    <t>Специалист по планированию производства / Specialist in production planning</t>
  </si>
  <si>
    <t>100000006959</t>
  </si>
  <si>
    <t>DQBRRCD00255101A6A6N02</t>
  </si>
  <si>
    <t>J4G7D-2N766-4JDQD-3789F-6Q8GG</t>
  </si>
  <si>
    <t xml:space="preserve">Русскова Екатерина Владиславовна </t>
  </si>
  <si>
    <t>Russkova Ekaterina</t>
  </si>
  <si>
    <t>Специалист по коммуникациям / Communication Specialist</t>
  </si>
  <si>
    <t>100000006999</t>
  </si>
  <si>
    <t>PW0K0D4Y</t>
  </si>
  <si>
    <t>NFQ67-T8RWT-98X43-JRJGC-KW3W6</t>
  </si>
  <si>
    <t>Синицына Евгения Анатольевна</t>
  </si>
  <si>
    <t>Sinitsyna Evgeniya</t>
  </si>
  <si>
    <t>Бухгалтер 2 категории / Accountant of the 2nd category</t>
  </si>
  <si>
    <t>100000007077</t>
  </si>
  <si>
    <t>DQBRRCD00255101A616N02</t>
  </si>
  <si>
    <t>8VYDN-RGKCQ-G6PGW-D76KH-KHKCT</t>
  </si>
  <si>
    <t>Осипов Максим Сергеевич</t>
  </si>
  <si>
    <t>Maksim Osipov</t>
  </si>
  <si>
    <t>100000003600</t>
  </si>
  <si>
    <t>F2715NBP35060821894</t>
  </si>
  <si>
    <t>Гузеева Светлана  Викторовна</t>
  </si>
  <si>
    <t xml:space="preserve"> Guzeeva Svetlana</t>
  </si>
  <si>
    <t>100000007066</t>
  </si>
  <si>
    <t>DQBR8CD00255101CE06N02</t>
  </si>
  <si>
    <t>9R62N-BKC3W-TRX36-TCTF9-RM6PT</t>
  </si>
  <si>
    <t>Асташков Дмитрий Александрович</t>
  </si>
  <si>
    <t>Astashkov Dmitriy</t>
  </si>
  <si>
    <t>00000022303(5)</t>
  </si>
  <si>
    <t>PF144AV2</t>
  </si>
  <si>
    <t>DHDXN-3CWMJ-QVTH4-BJDDB-G3BMP</t>
  </si>
  <si>
    <t>Гуськова Елизавета Александровна 18230</t>
  </si>
  <si>
    <t>Elizaveta Guskova</t>
  </si>
  <si>
    <t>100000007069</t>
  </si>
  <si>
    <t>DQBR8CD00255101D0D6N02</t>
  </si>
  <si>
    <t>NMXMH-TY34H-JJ89K-FHGWV-3J3W6</t>
  </si>
  <si>
    <t>Игумнова Анна Владимировна</t>
  </si>
  <si>
    <t>Igumnova Anna</t>
  </si>
  <si>
    <t>Специалист по управлению информацией о качестве / Quality information management specialist</t>
  </si>
  <si>
    <t>100000007003</t>
  </si>
  <si>
    <t>PW0K0DZH</t>
  </si>
  <si>
    <t>NHJQ7-9XMXM-8T2YQ-QX8GW-W44TG</t>
  </si>
  <si>
    <t>Леонова Вераника Альбертовна</t>
  </si>
  <si>
    <t>Leonova Veranika</t>
  </si>
  <si>
    <t>Инженер по качеству поставщиков</t>
  </si>
  <si>
    <t>100000007070</t>
  </si>
  <si>
    <t>DQBR8CD00255101CEE6N02</t>
  </si>
  <si>
    <t>8NWRY-7GKPQ-V2W66-4W2BR-CR4TG</t>
  </si>
  <si>
    <t>Гречушкин Никита Михайлович</t>
  </si>
  <si>
    <t>Grechushkin Nikita</t>
  </si>
  <si>
    <t>10000001739</t>
  </si>
  <si>
    <t>M3N0CV15E24911D</t>
  </si>
  <si>
    <t>Акт 24.08.2026</t>
  </si>
  <si>
    <t>Климкина Ольга Николаевна</t>
  </si>
  <si>
    <t>Klimkina Olga</t>
  </si>
  <si>
    <t>100000007068</t>
  </si>
  <si>
    <t>DQBR8CD00255101CEB6N02</t>
  </si>
  <si>
    <t>Ермошкин Дмитрий Борисович</t>
  </si>
  <si>
    <t>Ermoshkin Dmitry</t>
  </si>
  <si>
    <t>100000003589</t>
  </si>
  <si>
    <t>F2715NBP35060821933</t>
  </si>
  <si>
    <t>XNR4V-BV26G-W26BK-RHKF2-J44C2</t>
  </si>
  <si>
    <t>Андриенко Николай Викторович</t>
  </si>
  <si>
    <t>Andrienko Nikolay</t>
  </si>
  <si>
    <t>Laptop, mouse, bag</t>
  </si>
  <si>
    <t>100000006679</t>
  </si>
  <si>
    <t>PW0K0DWF</t>
  </si>
  <si>
    <t>NPWT6-VG9JY-CHWYT-BJVPG-KTP2T</t>
  </si>
  <si>
    <t>Акт 27.08.2026</t>
  </si>
  <si>
    <t>Радюшкина Виктория Леонидовна 18412</t>
  </si>
  <si>
    <t>radyushkina viktoriya</t>
  </si>
  <si>
    <t>Специалист LMS</t>
  </si>
  <si>
    <t>100000007065</t>
  </si>
  <si>
    <t>DQBR8CD00255101D1B6N02</t>
  </si>
  <si>
    <t>MN2RY-2CK98-J9JCD-29BM8-78RTG</t>
  </si>
  <si>
    <t>Буздалина Юлия Михайловна 18413</t>
  </si>
  <si>
    <t>Buzdalina Yuliya</t>
  </si>
  <si>
    <t>100000007073</t>
  </si>
  <si>
    <t>DQBR8CD00255101D406N02</t>
  </si>
  <si>
    <t>PWGRN-K42GH-G6XGD-XMX2V-X77J6</t>
  </si>
  <si>
    <t>Агафонов Денис Александрович 18415</t>
  </si>
  <si>
    <t>Agafonov Denis</t>
  </si>
  <si>
    <t>100000006519</t>
  </si>
  <si>
    <t>PW0K0DRK</t>
  </si>
  <si>
    <t>36T4N-YK96Y-P4KJG-64YFM-RC22T</t>
  </si>
  <si>
    <t>Казакова Надежда Романовна</t>
  </si>
  <si>
    <t>Kazakova Nadezhda</t>
  </si>
  <si>
    <t>Инженер-технолог / Process Engineer</t>
  </si>
  <si>
    <t>100000001625</t>
  </si>
  <si>
    <t>PF2TM25W</t>
  </si>
  <si>
    <t>Сараева Алина Александровна</t>
  </si>
  <si>
    <t>была модернизация/upgraded (SSD 480+ ram 8)</t>
  </si>
  <si>
    <t>Saraeva Alina</t>
  </si>
  <si>
    <t>Специалист по производственной безопасности / Industrial Safety Specialist</t>
  </si>
  <si>
    <t>140000164/Z000118</t>
  </si>
  <si>
    <t>S4FM3377</t>
  </si>
  <si>
    <t>QFD46-RJN3P-QJXQW-9WDGD-DV66P</t>
  </si>
  <si>
    <t>Сенников Алексей Владимирович</t>
  </si>
  <si>
    <t>Sennikov Alexey</t>
  </si>
  <si>
    <t>100000006512</t>
  </si>
  <si>
    <t>DQBRRCD00255101A8F6N02</t>
  </si>
  <si>
    <t>D9KH8-8NT29-V39JF-38WKY-7MJGG</t>
  </si>
  <si>
    <t>Лата Алексей Николаевич</t>
  </si>
  <si>
    <t>Lata Aleksey</t>
  </si>
  <si>
    <t>100000004321</t>
  </si>
  <si>
    <t>F2715NBP35070822047</t>
  </si>
  <si>
    <t>N49FW-W4B2V-MDXHQ-GTJDQ-WQKTP</t>
  </si>
  <si>
    <t>Акт 03.09.2026</t>
  </si>
  <si>
    <t>Мерзликина Анна Владимировна</t>
  </si>
  <si>
    <t>Merzlikina Anna</t>
  </si>
  <si>
    <t>100000007083</t>
  </si>
  <si>
    <t>DQBR8CD00255101CDF6N02</t>
  </si>
  <si>
    <t>VJHKN-VDYFD-QM4GQ-HCXQY-FGDW6</t>
  </si>
  <si>
    <t>Акт 28.08.2026</t>
  </si>
  <si>
    <t>Солдатов Александр Александрович 18499</t>
  </si>
  <si>
    <t>Soldatov Aleksandr.</t>
  </si>
  <si>
    <t>100000006453</t>
  </si>
  <si>
    <t>PW0K0DRW</t>
  </si>
  <si>
    <t>6PNTK-4K8YF-MM63Q-GKBWH-MBJGG</t>
  </si>
  <si>
    <t>Акт 14.09.2026</t>
  </si>
  <si>
    <t>Клейменова Ольга Владимировна</t>
  </si>
  <si>
    <t>Kleymenova Olga</t>
  </si>
  <si>
    <t>100000007081</t>
  </si>
  <si>
    <t>DQBR8CD00255101CF86N02</t>
  </si>
  <si>
    <t>J3FPN-6WV4Y-JB7CR-6V228-MTDW6</t>
  </si>
  <si>
    <t>Абашкин Виктор Владиславович 18531</t>
  </si>
  <si>
    <t>Abashkin Victor</t>
  </si>
  <si>
    <t>TM, TM DL</t>
  </si>
  <si>
    <t>100000006706</t>
  </si>
  <si>
    <t>PW0K0DQJ</t>
  </si>
  <si>
    <t>2968R-N4CHR-G8KCK-TMHKH-VT986</t>
  </si>
  <si>
    <t>Валяева Екатерина Олеговна</t>
  </si>
  <si>
    <t xml:space="preserve">
Valyaeva Ekaterina</t>
  </si>
  <si>
    <t>100000007067</t>
  </si>
  <si>
    <t>DQBRRCD00255101A606N02</t>
  </si>
  <si>
    <t>NM7XQ-92RC3-2DY8D-F6J29-4JRTG</t>
  </si>
  <si>
    <t>Лебедева София Дмитриевна</t>
  </si>
  <si>
    <t>Lebedeva Sofiya</t>
  </si>
  <si>
    <t>140000171/Z000088</t>
  </si>
  <si>
    <t>S4FM3342</t>
  </si>
  <si>
    <t>Чобанян Геворг Тигранович</t>
  </si>
  <si>
    <t>Chobanyan Gevorg</t>
  </si>
  <si>
    <t>100000002708</t>
  </si>
  <si>
    <t>PF4ETBCE</t>
  </si>
  <si>
    <t>G9VN3-6XP3V-T9K6H-BH6BC-V8TTG</t>
  </si>
  <si>
    <t>Саблина Надежда 18615
(Выдача по решению Вовы)</t>
  </si>
  <si>
    <t>Sablina Nadezhda</t>
  </si>
  <si>
    <t xml:space="preserve"> Бухгалтер 1 категории (Стажер)</t>
  </si>
  <si>
    <t>100000007006</t>
  </si>
  <si>
    <t>DQBRRCD00255000ED06N02</t>
  </si>
  <si>
    <t>6VNK9-V2YHH-GQQP4-T4XYY-RC22T</t>
  </si>
  <si>
    <t>Жихарев Александр Евгеньевич 18617</t>
  </si>
  <si>
    <t>Zhikharev Alexander</t>
  </si>
  <si>
    <t>100000006500</t>
  </si>
  <si>
    <t>PW0K0DLE</t>
  </si>
  <si>
    <t>QPGMX-NKXPG-V4KVW-CFYK8-VH7J6</t>
  </si>
  <si>
    <t>Дудырева Татьяна Павловна 18618</t>
  </si>
  <si>
    <t>Dudyreva Tatyana</t>
  </si>
  <si>
    <t>CH, CH Q&amp;T, CH QA</t>
  </si>
  <si>
    <t>100000006980</t>
  </si>
  <si>
    <t>PW0K0DZL</t>
  </si>
  <si>
    <t>FRQB9-NMT4T-RGG7D-27BH7-B7WGG</t>
  </si>
  <si>
    <t>Хачатуров Арсен Александрович 18628</t>
  </si>
  <si>
    <t>Модернизация не требуется/normal (no need to upgrade) ОЗУ 8 SSD 512</t>
  </si>
  <si>
    <t>Khachaturov Arsen</t>
  </si>
  <si>
    <t>Начальник смены технического обслуживания оборудования 1 категории / Team leader maintenance of the equipment of the 1st category</t>
  </si>
  <si>
    <t>140000146/Z000092</t>
  </si>
  <si>
    <t>S4FM3369</t>
  </si>
  <si>
    <t>HBR9K-N433H-2CPK2-KJF6C-CKCKC</t>
  </si>
  <si>
    <t>Акт 24.09.2026</t>
  </si>
  <si>
    <t>Рябова Елизавета Алексеевна 18629</t>
  </si>
  <si>
    <t>Ryabova Elizaveta</t>
  </si>
  <si>
    <t>100000006702</t>
  </si>
  <si>
    <t>PW0K0D84</t>
  </si>
  <si>
    <t>YMC4N-M49JT-24JVJ-DTHQ6-C9X86</t>
  </si>
  <si>
    <t>Акт 09.09.2026</t>
  </si>
  <si>
    <t>Иванов Артур Юрьевич</t>
  </si>
  <si>
    <t>Ivanov Arthur</t>
  </si>
  <si>
    <t>100000004349</t>
  </si>
  <si>
    <t>F2717NBP4502103151</t>
  </si>
  <si>
    <t>3YQGV-8N8PK-T93HJ-V844D-8K8XC</t>
  </si>
  <si>
    <t>Кузьмичева Анна Павловна</t>
  </si>
  <si>
    <t>Kuzmicheva Anna</t>
  </si>
  <si>
    <t>100000006112</t>
  </si>
  <si>
    <t>DQBRRCD00255101A9A6N02</t>
  </si>
  <si>
    <t>Бобровникова Наталья Михайловна</t>
  </si>
  <si>
    <t>Bobrovnikova Natalya</t>
  </si>
  <si>
    <t>100000006691</t>
  </si>
  <si>
    <t>DQBRRCD00255101AA06N02</t>
  </si>
  <si>
    <t>MRY8W-8NYYP-FTCK4-9BHKP-XTP2T</t>
  </si>
  <si>
    <t>Акт  10.09.2026</t>
  </si>
  <si>
    <t>Бицура Михаил Сергеевич</t>
  </si>
  <si>
    <t>Bitsura Mikhail</t>
  </si>
  <si>
    <t>Системный администратор / System administrator</t>
  </si>
  <si>
    <t>100000006970</t>
  </si>
  <si>
    <t>PW0K0DA7</t>
  </si>
  <si>
    <t>WDY8K-NDP9C-F7P9T-THMYM-KD8GG</t>
  </si>
  <si>
    <t>Левченко Вера Николаевна 18710</t>
  </si>
  <si>
    <t>Levchenko Vera</t>
  </si>
  <si>
    <t>100000006963</t>
  </si>
  <si>
    <t>PW0K0DZA</t>
  </si>
  <si>
    <t>BHD6N-4WC8G-HB7R2-YM4QR-X2FTG</t>
  </si>
  <si>
    <t>Ношин Владислав Алексеевич 18742</t>
  </si>
  <si>
    <t>Noshin Vladislav</t>
  </si>
  <si>
    <t>NOBO,  NOBO DL</t>
  </si>
  <si>
    <t>100000006964</t>
  </si>
  <si>
    <t>PW0K0DBA</t>
  </si>
  <si>
    <t>97TD6-JND9J-8HCJ6-CFVGP-W2QW6</t>
  </si>
  <si>
    <t>Силуянова Ксения Эдуардовна 18746</t>
  </si>
  <si>
    <t>Siluyanova Kseniya</t>
  </si>
  <si>
    <t>100000007074</t>
  </si>
  <si>
    <t>DQBR8CD00255101CF06N02</t>
  </si>
  <si>
    <t>MX49Y-NPTQC-JJBG9-QMTGY-K77J6</t>
  </si>
  <si>
    <t>Тихомирова Анна Валерьевна 18763</t>
  </si>
  <si>
    <t>Tikhomirova Anna</t>
  </si>
  <si>
    <t xml:space="preserve">CH,CH GA </t>
  </si>
  <si>
    <t>100000007075</t>
  </si>
  <si>
    <t>DQBR8CD00255101D3B6N02</t>
  </si>
  <si>
    <t>Матросов Сергей  18766</t>
  </si>
  <si>
    <t>Matrosov Sergey</t>
  </si>
  <si>
    <t>100000006979</t>
  </si>
  <si>
    <t>PW0K0D8D</t>
  </si>
  <si>
    <t>PNTKQ-XCBXG-B32JB-FW3HG-Y99CT</t>
  </si>
  <si>
    <t>Бобров Анатолий Анатольевич 18771</t>
  </si>
  <si>
    <t>Bobrov Anatoliy</t>
  </si>
  <si>
    <t>Инженер по внедрению информационных систем / Engineer in implementation of information systems</t>
  </si>
  <si>
    <t>100000007088</t>
  </si>
  <si>
    <t>DQBR8CD00255101CFF6N02</t>
  </si>
  <si>
    <t>KTRXM-8TN37-JHYKX-WG3FX-9HKCT</t>
  </si>
  <si>
    <t>Прокопова Наталья Валерьевна 18773</t>
  </si>
  <si>
    <t>Prokopova Natalia</t>
  </si>
  <si>
    <t>CH, CH TM, CH DCPT</t>
  </si>
  <si>
    <t>100000007087</t>
  </si>
  <si>
    <t>DQBR8CD00255101D516N02</t>
  </si>
  <si>
    <t>JHJRH-WNXQY-BRJYV-W24PK-HCFTG</t>
  </si>
  <si>
    <t>Шехова Севиль Тимуровна 18802</t>
  </si>
  <si>
    <t>Shekhova Sevil</t>
  </si>
  <si>
    <t>специалист по тендерам</t>
  </si>
  <si>
    <t>100000006971</t>
  </si>
  <si>
    <t>PW0K0DY9</t>
  </si>
  <si>
    <t>2NYRT-PDV2M-6KFF4-29K2T-683W6</t>
  </si>
  <si>
    <t>Молочников Александр Игоревич 18804</t>
  </si>
  <si>
    <t>Molochnikov Alexander</t>
  </si>
  <si>
    <t>Инженер-электроник 1 категории</t>
  </si>
  <si>
    <t>100000005130</t>
  </si>
  <si>
    <t>C2507N0002747</t>
  </si>
  <si>
    <t>33NKW-FGXC7-7BR6W-7FRQX-RM6GC</t>
  </si>
  <si>
    <t>Справцев Кирилл Максимович 18846</t>
  </si>
  <si>
    <t>Spravtsev Kirill</t>
  </si>
  <si>
    <t>Специалист системы менеджмента качества (СМК)</t>
  </si>
  <si>
    <t>100000006972</t>
  </si>
  <si>
    <t>PW0K0DXH</t>
  </si>
  <si>
    <t>Щекина Анастасия Игоревна 18860</t>
  </si>
  <si>
    <t>Shchekina Anastasia</t>
  </si>
  <si>
    <t>HRD, T&amp;D</t>
  </si>
  <si>
    <t>100000006973</t>
  </si>
  <si>
    <t>PW0K0D6W</t>
  </si>
  <si>
    <t>CKN6H-278KH-RR4WD-H6H9D-4GDW6</t>
  </si>
  <si>
    <t>Бурдукова Виктория Николаевна 18876</t>
  </si>
  <si>
    <t>Burdukova Viktoriya</t>
  </si>
  <si>
    <t>100000006976</t>
  </si>
  <si>
    <t>PW0K0DDL</t>
  </si>
  <si>
    <t>N37JT-8HTXC-XJPXB-PK6P8-RX9CT</t>
  </si>
  <si>
    <t>Дудник Виктор Юрьевич</t>
  </si>
  <si>
    <t>Dudnyk Viktor</t>
  </si>
  <si>
    <t>140000199</t>
  </si>
  <si>
    <t>PF15ZDFX</t>
  </si>
  <si>
    <t>Installed Key:        VK7JG-NPHTM-C97JM-9MPGT-3V66T
OEM Key:        NYJFW-J9JYF-TPG7V-GCGHH-3JXV2</t>
  </si>
  <si>
    <t>Акт от 29.09.2026</t>
  </si>
  <si>
    <t xml:space="preserve">Казаева Елена Александровна </t>
  </si>
  <si>
    <t>Kazaeva Elena</t>
  </si>
  <si>
    <t>DQBR8CD00255101CF36N02</t>
  </si>
  <si>
    <t>J7HVH-N69HX-4TYTY-XYQ7J-VH7J6</t>
  </si>
  <si>
    <t>Акт 28.09.2026</t>
  </si>
  <si>
    <r>
      <rPr>
        <u/>
        <sz val="12"/>
        <color rgb="FF000000"/>
        <rFont val="Times New Roman"/>
        <family val="1"/>
        <charset val="204"/>
      </rPr>
      <t xml:space="preserve">13681
1459
4544
</t>
    </r>
    <r>
      <rPr>
        <u/>
        <sz val="12"/>
        <color rgb="FFFF9900"/>
        <rFont val="Times New Roman"/>
        <family val="1"/>
        <charset val="204"/>
      </rPr>
      <t>5349 ДОЛЖЕН 
расписаться за акт
4712 ДОЛЖЕН 
расписаться за акт</t>
    </r>
  </si>
  <si>
    <r>
      <rPr>
        <b/>
        <sz val="12"/>
        <color rgb="FF000000"/>
        <rFont val="Times New Roman"/>
        <family val="1"/>
        <charset val="204"/>
      </rPr>
      <t xml:space="preserve">Жаворонков Кирилл Игоревич 13681
Коротков Николай Алексеевич 1459
Саврасова Маргарита Сергеевна 4544
</t>
    </r>
    <r>
      <rPr>
        <b/>
        <sz val="12"/>
        <color rgb="FFFF9900"/>
        <rFont val="Times New Roman"/>
        <family val="1"/>
        <charset val="204"/>
      </rPr>
      <t>Дергабузова Евгения Сергеевна 5349
Фокина Марина Александровна 4712</t>
    </r>
  </si>
  <si>
    <t>Zhavoronkov Kiril
Korotkov Nikolay
Savrasova Margarita
Dergabuzova Evgeniya
Fokina Marina</t>
  </si>
  <si>
    <t>Ведущий специалист по качеству
Мастер 3 категории
Мастер 2 категории
Мастер 2 категории
Мастер 2 категории</t>
  </si>
  <si>
    <t>100000001605</t>
  </si>
  <si>
    <t>CND12505S9</t>
  </si>
  <si>
    <t>Климанов А.
Кудрявцев Д.
Кудрявцев Д.
Протопопов А.
Протопопов А.</t>
  </si>
  <si>
    <t>Акт 18.02.2026 на Жаворонков К.
Акт 28.08.2026 на Коротков Н.
Акт 28.08.2026 на Савросова М.
Акт 07.09.2026 Дергабузова
Акт 07.09.2026 Фокина</t>
  </si>
  <si>
    <r>
      <rPr>
        <u/>
        <sz val="12"/>
        <color rgb="FF000000"/>
        <rFont val="Times New Roman"/>
        <family val="1"/>
        <charset val="204"/>
      </rPr>
      <t xml:space="preserve">15493
3689
16229
16843
18265
18054
</t>
    </r>
    <r>
      <rPr>
        <u/>
        <sz val="12"/>
        <color rgb="FFFF9900"/>
        <rFont val="Times New Roman"/>
        <family val="1"/>
        <charset val="204"/>
      </rPr>
      <t>16148</t>
    </r>
  </si>
  <si>
    <r>
      <rPr>
        <b/>
        <sz val="12"/>
        <color theme="1"/>
        <rFont val="Times New Roman"/>
        <family val="1"/>
        <charset val="204"/>
      </rPr>
      <t xml:space="preserve">Фартуков Юрий Андреевич 15493
Дерр Иван Иванович 3689
Гладких Евгений Валерьевич 16229
</t>
    </r>
    <r>
      <rPr>
        <b/>
        <sz val="12"/>
        <color rgb="FFFF0000"/>
        <rFont val="Times New Roman"/>
        <family val="1"/>
        <charset val="204"/>
      </rPr>
      <t>Эмида Махмуд Гамал 16843(удалить)</t>
    </r>
    <r>
      <rPr>
        <b/>
        <sz val="12"/>
        <color theme="1"/>
        <rFont val="Times New Roman"/>
        <family val="1"/>
        <charset val="204"/>
      </rPr>
      <t xml:space="preserve">
Никитина Дарья Владимировна 18265
Ульянкин Константин Геннадьевич 18054
</t>
    </r>
    <r>
      <rPr>
        <b/>
        <sz val="12"/>
        <color rgb="FFFF9900"/>
        <rFont val="Times New Roman"/>
        <family val="1"/>
        <charset val="204"/>
      </rPr>
      <t>Шилкин Степан Николаевич 16148</t>
    </r>
  </si>
  <si>
    <t>Fartukov Yuri
Derr Ivan
Gladkikh Evgeny
Emida Mahmoud
Nikitina Daria
Ulyankin Konstantin
Stepan Shilkin</t>
  </si>
  <si>
    <t>Мастер
Мастер 1 категории
Мастер 1 категории
Мастер 2 категории
Мастер 1 категории
Мастер 1 категории
Оператор</t>
  </si>
  <si>
    <t>100000006701</t>
  </si>
  <si>
    <t>PW0K0DJD</t>
  </si>
  <si>
    <t>N693H-KJV2W-8M3HJ-XWH8P-FX9CT</t>
  </si>
  <si>
    <t>Мелёшкин С.
Протопопов А.
Протопопов А.
Протопопов А.
Мартынов Д.</t>
  </si>
  <si>
    <t>Акт 30.06.2026
Акт 01.07.2026
Акт 01.07.2026 Дерр И.
Акт 01.07.2026 Эмида М.
Акт 27.08.2026 Никитина Д. \ Ульянкин К.</t>
  </si>
  <si>
    <t>ДОЛЖЕН 
расписаться за акт</t>
  </si>
  <si>
    <t>Сорокин Алексей Михайлович 18938
(технический)</t>
  </si>
  <si>
    <t>была модернизация/upgraded (SSD)+ram
 (тестирование шифрования)</t>
  </si>
  <si>
    <t>Alexey Sorokin</t>
  </si>
  <si>
    <t>00000010779</t>
  </si>
  <si>
    <t>R90QFPZM</t>
  </si>
  <si>
    <t>QNYK7-PG6FK-BT8DX-7T62C-FX8XC</t>
  </si>
  <si>
    <t>Акт 29.09.2026</t>
  </si>
  <si>
    <r>
      <rPr>
        <u/>
        <sz val="12"/>
        <color theme="1"/>
        <rFont val="Times New Roman"/>
        <family val="1"/>
        <charset val="204"/>
      </rPr>
      <t xml:space="preserve">3372
17726
</t>
    </r>
    <r>
      <rPr>
        <u/>
        <sz val="12"/>
        <color rgb="FFFF9900"/>
        <rFont val="Times New Roman"/>
        <family val="1"/>
        <charset val="204"/>
      </rPr>
      <t xml:space="preserve">18757 </t>
    </r>
    <r>
      <rPr>
        <u/>
        <sz val="12"/>
        <color rgb="FFFF9900"/>
        <rFont val="Times New Roman"/>
        <family val="1"/>
        <charset val="204"/>
      </rPr>
      <t>ДОЛЖЕН 
расписаться за акт</t>
    </r>
  </si>
  <si>
    <r>
      <rPr>
        <b/>
        <sz val="12"/>
        <color theme="1"/>
        <rFont val="Times New Roman"/>
        <family val="1"/>
        <charset val="204"/>
      </rPr>
      <t xml:space="preserve">Простомолотова Ольга Александровна
Боровик Юлия Владимировна
</t>
    </r>
    <r>
      <rPr>
        <b/>
        <sz val="12"/>
        <color rgb="FFFF9900"/>
        <rFont val="Times New Roman"/>
        <family val="1"/>
        <charset val="204"/>
      </rPr>
      <t xml:space="preserve">Согреева Юлия Владимировна </t>
    </r>
    <r>
      <rPr>
        <b/>
        <sz val="12"/>
        <color theme="1"/>
        <rFont val="Times New Roman"/>
        <family val="1"/>
        <charset val="204"/>
      </rPr>
      <t>18757</t>
    </r>
  </si>
  <si>
    <t>Prostomolotova Olga
Borovik Yulia
Sogreeva Yulia</t>
  </si>
  <si>
    <t>Кладовщик
Кладовщик
Кладовщик</t>
  </si>
  <si>
    <t>100000006422</t>
  </si>
  <si>
    <t>DQBR8CD00255101D056N02</t>
  </si>
  <si>
    <t>YN7PR-2KRQT-PG9TF-878HK-MG986</t>
  </si>
  <si>
    <t>Протопопов А.
Протопопов А.
Протопопов А.</t>
  </si>
  <si>
    <t>Акт 25.05.2026
Акт  06.08.2026
Акт 15.09.2026</t>
  </si>
  <si>
    <t>3775
6257 ДОЛЖЕН 
расписаться за акт</t>
  </si>
  <si>
    <r>
      <rPr>
        <b/>
        <sz val="12"/>
        <color rgb="FF000000"/>
        <rFont val="Times New Roman"/>
        <family val="1"/>
        <charset val="204"/>
      </rPr>
      <t xml:space="preserve">Скиба Снежана Александровна
</t>
    </r>
    <r>
      <rPr>
        <b/>
        <sz val="12"/>
        <color rgb="FFFF9900"/>
        <rFont val="Times New Roman"/>
        <family val="1"/>
        <charset val="204"/>
      </rPr>
      <t>Скрылькова Ирина Александровна</t>
    </r>
  </si>
  <si>
    <t>Skiba Snezhana
Skrylkova Irina</t>
  </si>
  <si>
    <t>Офис-ассистен
Оператор</t>
  </si>
  <si>
    <t>00000010772</t>
  </si>
  <si>
    <t>R90QFPZG</t>
  </si>
  <si>
    <t>RHNWW-68FVT-8PF43-KT37T-MKMP2</t>
  </si>
  <si>
    <t>Акт 17.03.2026
Акт 31.08.2026</t>
  </si>
  <si>
    <t>ES QT общий
Акт на Третьяк А.</t>
  </si>
  <si>
    <t>Tretiak Aleksey</t>
  </si>
  <si>
    <t>Общий для QT
Engine Shop</t>
  </si>
  <si>
    <t>ES QT</t>
  </si>
  <si>
    <t>140000144/Z000090</t>
  </si>
  <si>
    <t>PC0QUZBZ</t>
  </si>
  <si>
    <t>MYJ3N-2JVF2-3Q4V8-QJM4X-QV66P</t>
  </si>
  <si>
    <t>Акт 16.07.2026 на Третьяк А.</t>
  </si>
  <si>
    <t>1078
7704</t>
  </si>
  <si>
    <r>
      <rPr>
        <b/>
        <sz val="12"/>
        <color rgb="FF000000"/>
        <rFont val="Times New Roman"/>
        <family val="1"/>
        <charset val="204"/>
      </rPr>
      <t xml:space="preserve">Нефедов Илья Юрьевич
</t>
    </r>
    <r>
      <rPr>
        <b/>
        <sz val="12"/>
        <color rgb="FFFF9900"/>
        <rFont val="Times New Roman"/>
        <family val="1"/>
        <charset val="204"/>
      </rPr>
      <t>Селин Максим Олегович</t>
    </r>
  </si>
  <si>
    <t>Nefedov Ilya
Celine Maxim</t>
  </si>
  <si>
    <t>00000019366(19)</t>
  </si>
  <si>
    <t>R90SRSGQ</t>
  </si>
  <si>
    <t>Акт 20.05.2021
Акт 22.09.2026</t>
  </si>
  <si>
    <t>Сорокина Галина Владимировна 18616</t>
  </si>
  <si>
    <t>была модернизация/upgraded (SSD 480 +RAM 8)</t>
  </si>
  <si>
    <t>Sorokina Galina</t>
  </si>
  <si>
    <t>150000014/Z000008</t>
  </si>
  <si>
    <t>P901FSM2</t>
  </si>
  <si>
    <t>M38YT-4N2XV-Y48Q3-86YDH-RGDPP</t>
  </si>
  <si>
    <t>18994 ДОЛЖЕН 
расписаться за акт</t>
  </si>
  <si>
    <t>Кокуляк Ксения Вадимовна 18994</t>
  </si>
  <si>
    <t>Ksenia Kokulyak</t>
  </si>
  <si>
    <t>100000006974</t>
  </si>
  <si>
    <t>PW0K0DT2</t>
  </si>
  <si>
    <t>NTMK8-MC332-4GJ4V-F39V8-7FTPT</t>
  </si>
  <si>
    <t>6923
7547 ДОЛЖЕН 
расписаться за акт</t>
  </si>
  <si>
    <r>
      <rPr>
        <b/>
        <sz val="12"/>
        <color rgb="FF000000"/>
        <rFont val="Times New Roman"/>
        <family val="1"/>
        <charset val="204"/>
      </rPr>
      <t xml:space="preserve">Антонов Николай Владимирович
</t>
    </r>
    <r>
      <rPr>
        <b/>
        <sz val="12"/>
        <color rgb="FFFF9900"/>
        <rFont val="Times New Roman"/>
        <family val="1"/>
        <charset val="204"/>
      </rPr>
      <t>Кантауров Данил Валентинович</t>
    </r>
  </si>
  <si>
    <t>была модернизация/upgraded (SSD 256 ОЗУ 12гб.)</t>
  </si>
  <si>
    <t>Antonov Nikolay
Kantaurov Danil</t>
  </si>
  <si>
    <r>
      <rPr>
        <sz val="12"/>
        <color rgb="FF006100"/>
        <rFont val="Times New Roman"/>
        <family val="1"/>
        <charset val="204"/>
      </rPr>
      <t xml:space="preserve">Инженер по геометрии автомобиля 4 категории
</t>
    </r>
    <r>
      <rPr>
        <sz val="12"/>
        <color rgb="FF38761D"/>
        <rFont val="Times New Roman"/>
        <family val="1"/>
        <charset val="204"/>
      </rPr>
      <t>СММ инспектор</t>
    </r>
  </si>
  <si>
    <t>00000019366(20)</t>
  </si>
  <si>
    <t>R90T947P</t>
  </si>
  <si>
    <t>XW8K2-NJ344-RTG66-6QFJ7-JQKTP</t>
  </si>
  <si>
    <t>Акт 07.11.2023 Антонов Н.
Акт 28.09.2026 Картауров Д.</t>
  </si>
  <si>
    <t>Халиулин Анатолий Евгеньевич 18877</t>
  </si>
  <si>
    <t>Khaliulin Anatoliy</t>
  </si>
  <si>
    <t>PW0K0DZ1</t>
  </si>
  <si>
    <t>B8GNM-VDFKT-KWD8W-DBCJ3-XHKCT</t>
  </si>
  <si>
    <t>ДОЛЖЕН 
расписаться за акт 5512</t>
  </si>
  <si>
    <r>
      <rPr>
        <b/>
        <sz val="12"/>
        <color rgb="FF000000"/>
        <rFont val="Times New Roman"/>
        <family val="1"/>
        <charset val="204"/>
      </rPr>
      <t>storekepers (Ермолаева М)
Зуева Рита Юрьевна 12946</t>
    </r>
    <r>
      <rPr>
        <b/>
        <sz val="12"/>
        <color rgb="FFFF9900"/>
        <rFont val="Times New Roman"/>
        <family val="1"/>
        <charset val="204"/>
      </rPr>
      <t xml:space="preserve">
</t>
    </r>
    <r>
      <rPr>
        <b/>
        <sz val="12"/>
        <color rgb="FF000000"/>
        <rFont val="Times New Roman"/>
        <family val="1"/>
        <charset val="204"/>
      </rPr>
      <t xml:space="preserve">Толстикова Татьяна Сергеевна 17632
Шерсткова Дарья Андреевна 17455
</t>
    </r>
    <r>
      <rPr>
        <b/>
        <sz val="12"/>
        <color rgb="FFFF9900"/>
        <rFont val="Times New Roman"/>
        <family val="1"/>
        <charset val="204"/>
      </rPr>
      <t xml:space="preserve">Ушкова Елена Николаевна 5512
</t>
    </r>
  </si>
  <si>
    <t>140000154/Z000071</t>
  </si>
  <si>
    <t>S4FM3305</t>
  </si>
  <si>
    <t>NPM9X-GF7DT-4QFX6-BWQ6Y-2PQGP</t>
  </si>
  <si>
    <t>Акт 22.08.2026 (Зуева)
Акт 22.08.2026 (Толстикова)
Акт 16.09.2026 (Шерсткова)
Акт 15.09.2026 (Ушкова)</t>
  </si>
  <si>
    <t>заменить ноутбук)</t>
  </si>
  <si>
    <t>Инь Шилун (заменить ноутбук)</t>
  </si>
  <si>
    <t>Shilong Yin</t>
  </si>
  <si>
    <t>140000002/Z000031</t>
  </si>
  <si>
    <t>PC00NVWH</t>
  </si>
  <si>
    <t>JW3N7-BW7JT-79QQQ-PDY46-6F27P</t>
  </si>
  <si>
    <t>Ананьев С</t>
  </si>
  <si>
    <r>
      <rPr>
        <sz val="10"/>
        <color theme="1"/>
        <rFont val="Times New Roman"/>
        <family val="1"/>
        <charset val="204"/>
      </rPr>
      <t xml:space="preserve">6762
8324
</t>
    </r>
    <r>
      <rPr>
        <strike/>
        <sz val="10"/>
        <color rgb="FFFF9900"/>
        <rFont val="Times New Roman"/>
        <family val="1"/>
        <charset val="204"/>
      </rPr>
      <t>11045</t>
    </r>
    <r>
      <rPr>
        <sz val="10"/>
        <color theme="1"/>
        <rFont val="Times New Roman"/>
        <family val="1"/>
        <charset val="204"/>
      </rPr>
      <t xml:space="preserve">
5302</t>
    </r>
  </si>
  <si>
    <r>
      <rPr>
        <b/>
        <sz val="12"/>
        <color rgb="FF000000"/>
        <rFont val="Times New Roman"/>
        <family val="1"/>
        <charset val="204"/>
      </rPr>
      <t>"Зададаева Анастасия Игоревна Перескокова Юлия Сухачева Олеся Васильевна</t>
    </r>
    <r>
      <rPr>
        <b/>
        <sz val="12"/>
        <color rgb="FFFF0000"/>
        <rFont val="Times New Roman"/>
        <family val="1"/>
        <charset val="204"/>
      </rPr>
      <t xml:space="preserve"> удалить после переноса данных Власова Эльвира</t>
    </r>
  </si>
  <si>
    <t>Zadadaeva Anastasiya
Pereskokova Julia</t>
  </si>
  <si>
    <t>специалист по вводу данных/Data maintenance specialist</t>
  </si>
  <si>
    <t>100000001596</t>
  </si>
  <si>
    <t>YL00SV07</t>
  </si>
  <si>
    <t>Зададаева Акт 16-11-2023
01-02-2024
Aкт 26.07.2024 Перескокова Ю.
13.01.2025</t>
  </si>
  <si>
    <r>
      <rPr>
        <b/>
        <sz val="12"/>
        <color rgb="FF000000"/>
        <rFont val="Times New Roman"/>
        <family val="1"/>
        <charset val="204"/>
      </rPr>
      <t xml:space="preserve">Косенко Оксана Владимировна 8483
</t>
    </r>
    <r>
      <rPr>
        <b/>
        <sz val="12"/>
        <color rgb="FFFF0000"/>
        <rFont val="Times New Roman"/>
        <family val="1"/>
        <charset val="204"/>
      </rPr>
      <t>Волченкова Лидия Константиновна 5742</t>
    </r>
  </si>
  <si>
    <t>kosenko oksana/ Volchenkova Lidiya</t>
  </si>
  <si>
    <t>100000001628</t>
  </si>
  <si>
    <t>PF2TLXDL</t>
  </si>
  <si>
    <t xml:space="preserve">H2PJW-RN6MY-78VFB-TKB7G-Y9976 </t>
  </si>
  <si>
    <t>Протопопов А.\Климанов А.</t>
  </si>
  <si>
    <t>Акт 11.06.2026 / 17.06.2026</t>
  </si>
  <si>
    <t>0668
1164
2674</t>
  </si>
  <si>
    <r>
      <rPr>
        <b/>
        <sz val="12"/>
        <color rgb="FF000000"/>
        <rFont val="Times New Roman"/>
        <family val="1"/>
        <charset val="204"/>
      </rPr>
      <t xml:space="preserve">Карпунин Артур Александрович 0668
</t>
    </r>
    <r>
      <rPr>
        <b/>
        <sz val="12"/>
        <color rgb="FFFF0000"/>
        <rFont val="Times New Roman"/>
        <family val="1"/>
        <charset val="204"/>
      </rPr>
      <t>Радюкин Александр Игоревич 1164
Дорошин Ярослав Алексеевич 2674 удалить</t>
    </r>
  </si>
  <si>
    <r>
      <rPr>
        <sz val="12"/>
        <color rgb="FF000000"/>
        <rFont val="Times New Roman"/>
        <family val="1"/>
        <charset val="204"/>
      </rPr>
      <t xml:space="preserve">Karpunin Artur
Radiukin Alexander
</t>
    </r>
    <r>
      <rPr>
        <sz val="12"/>
        <color rgb="FF9C5700"/>
        <rFont val="Times New Roman"/>
        <family val="1"/>
        <charset val="204"/>
      </rPr>
      <t>Doroshin Yaroslav</t>
    </r>
  </si>
  <si>
    <r>
      <rPr>
        <sz val="12"/>
        <color rgb="FF006100"/>
        <rFont val="Times New Roman"/>
        <family val="1"/>
        <charset val="204"/>
      </rPr>
      <t xml:space="preserve">Начальник смены
Начальник смены
</t>
    </r>
    <r>
      <rPr>
        <sz val="12"/>
        <color rgb="FF9C5700"/>
        <rFont val="Times New Roman"/>
        <family val="1"/>
        <charset val="204"/>
      </rPr>
      <t>Начальник участка</t>
    </r>
  </si>
  <si>
    <t>100000001650</t>
  </si>
  <si>
    <t>PF2VTMA0</t>
  </si>
  <si>
    <t>QY6MC-NT63K-29GK2-YJD3C-PGYP6</t>
  </si>
  <si>
    <r>
      <rPr>
        <sz val="12"/>
        <color rgb="FF000000"/>
        <rFont val="Times New Roman"/>
        <family val="1"/>
        <charset val="204"/>
      </rPr>
      <t xml:space="preserve">Акт 29.08.2021 Карпунин А.
Акт 20.04.2026 Радюкин А.
</t>
    </r>
    <r>
      <rPr>
        <sz val="12"/>
        <color rgb="FF9C5700"/>
        <rFont val="Times New Roman"/>
        <family val="1"/>
        <charset val="204"/>
      </rPr>
      <t>Акт 23.04.2026 (Дорошин)</t>
    </r>
  </si>
  <si>
    <t>9589
15082</t>
  </si>
  <si>
    <r>
      <rPr>
        <b/>
        <sz val="12"/>
        <color rgb="FFFF0000"/>
        <rFont val="Times New Roman"/>
        <family val="1"/>
        <charset val="204"/>
      </rPr>
      <t>Калмыков Александр Александрович 9589</t>
    </r>
    <r>
      <rPr>
        <b/>
        <sz val="12"/>
        <color rgb="FF000000"/>
        <rFont val="Times New Roman"/>
        <family val="1"/>
        <charset val="204"/>
      </rPr>
      <t xml:space="preserve">
Клейменова Анна Сергеевна </t>
    </r>
  </si>
  <si>
    <t>Kalmykov Alexander</t>
  </si>
  <si>
    <t>Специалист по послепродажному обслуживанию</t>
  </si>
  <si>
    <t>100000006965</t>
  </si>
  <si>
    <t>PW0K0D79</t>
  </si>
  <si>
    <t>NPG7H-9RJKQ-W9934-VGC8D-VXM6G</t>
  </si>
  <si>
    <t>Акт 02.07.2026
Акт 13.07.2026</t>
  </si>
  <si>
    <t>не на балансе_ИТ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</si>
</sst>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000000"/>
    <numFmt numFmtId="166" formatCode="d\-m\-yyyy"/>
    <numFmt numFmtId="167" formatCode="dd\-mm\-yyyy"/>
  </numFmts>
  <fonts count="106" x14ac:knownFonts="1">
    <font>
      <sz val="11"/>
      <color theme="1"/>
      <name val="Calibri"/>
      <scheme val="minor"/>
    </font>
    <font>
      <sz val="12"/>
      <color rgb="FF413003"/>
      <name val="Times New Roman"/>
      <family val="1"/>
      <charset val="204"/>
    </font>
    <font>
      <sz val="11"/>
      <name val="Calibri"/>
      <family val="2"/>
      <charset val="204"/>
    </font>
    <font>
      <sz val="11"/>
      <color rgb="FF413003"/>
      <name val="Times New Roman"/>
      <family val="1"/>
      <charset val="204"/>
    </font>
    <font>
      <sz val="10"/>
      <color theme="1"/>
      <name val="Times New Roman"/>
      <family val="1"/>
      <charset val="204"/>
    </font>
    <font>
      <sz val="12"/>
      <color rgb="FF000000"/>
      <name val="Times New Roman"/>
      <family val="1"/>
      <charset val="204"/>
    </font>
    <font>
      <sz val="12"/>
      <color theme="1"/>
      <name val="Times New Roman"/>
      <family val="1"/>
      <charset val="204"/>
    </font>
    <font>
      <sz val="10"/>
      <color rgb="FF000000"/>
      <name val="Times New Roman"/>
      <family val="1"/>
      <charset val="204"/>
    </font>
    <font>
      <sz val="11"/>
      <color theme="1"/>
      <name val="Times New Roman"/>
      <family val="1"/>
      <charset val="204"/>
    </font>
    <font>
      <u/>
      <sz val="12"/>
      <color rgb="FF000000"/>
      <name val="Times New Roman"/>
      <family val="1"/>
      <charset val="204"/>
    </font>
    <font>
      <b/>
      <sz val="12"/>
      <color theme="1"/>
      <name val="Times New Roman"/>
      <family val="1"/>
      <charset val="204"/>
    </font>
    <font>
      <sz val="14"/>
      <color rgb="FF006100"/>
      <name val="Times New Roman"/>
      <family val="1"/>
      <charset val="204"/>
    </font>
    <font>
      <b/>
      <sz val="12"/>
      <color rgb="FF006100"/>
      <name val="Times New Roman"/>
      <family val="1"/>
      <charset val="204"/>
    </font>
    <font>
      <sz val="12"/>
      <color rgb="FF006100"/>
      <name val="Times New Roman"/>
      <family val="1"/>
      <charset val="204"/>
    </font>
    <font>
      <b/>
      <sz val="12"/>
      <color rgb="FFFF9900"/>
      <name val="Times New Roman"/>
      <family val="1"/>
      <charset val="204"/>
    </font>
    <font>
      <b/>
      <i/>
      <sz val="12"/>
      <color rgb="FF000000"/>
      <name val="Times New Roman"/>
      <family val="1"/>
      <charset val="204"/>
    </font>
    <font>
      <sz val="14"/>
      <color rgb="FF000000"/>
      <name val="Times New Roman"/>
      <family val="1"/>
      <charset val="204"/>
    </font>
    <font>
      <b/>
      <sz val="14"/>
      <color rgb="FF006100"/>
      <name val="Times New Roman"/>
      <family val="1"/>
      <charset val="204"/>
    </font>
    <font>
      <b/>
      <i/>
      <sz val="12"/>
      <color theme="1"/>
      <name val="Times New Roman"/>
      <family val="1"/>
      <charset val="204"/>
    </font>
    <font>
      <sz val="11"/>
      <color rgb="FF000000"/>
      <name val="Times New Roman"/>
      <family val="1"/>
      <charset val="204"/>
    </font>
    <font>
      <sz val="14"/>
      <color theme="1"/>
      <name val="Times New Roman"/>
      <family val="1"/>
      <charset val="204"/>
    </font>
    <font>
      <b/>
      <sz val="12"/>
      <color rgb="FF000000"/>
      <name val="Times New Roman"/>
      <family val="1"/>
      <charset val="204"/>
    </font>
    <font>
      <u/>
      <sz val="12"/>
      <color rgb="FF000000"/>
      <name val="Times New Roman"/>
      <family val="1"/>
      <charset val="204"/>
    </font>
    <font>
      <sz val="12"/>
      <color rgb="FF9C5700"/>
      <name val="Times New Roman"/>
      <family val="1"/>
      <charset val="204"/>
    </font>
    <font>
      <sz val="10"/>
      <color theme="1"/>
      <name val="Calibri"/>
      <family val="2"/>
      <charset val="204"/>
    </font>
    <font>
      <sz val="10"/>
      <color rgb="FF000000"/>
      <name val="Comic Sans MS"/>
      <family val="4"/>
      <charset val="204"/>
    </font>
    <font>
      <sz val="11"/>
      <color theme="1"/>
      <name val="Calibri"/>
      <family val="2"/>
      <charset val="204"/>
    </font>
    <font>
      <sz val="10"/>
      <color rgb="FF006100"/>
      <name val="Times New Roman"/>
      <family val="1"/>
      <charset val="204"/>
    </font>
    <font>
      <b/>
      <sz val="10"/>
      <color rgb="FF006100"/>
      <name val="Times New Roman"/>
      <family val="1"/>
      <charset val="204"/>
    </font>
    <font>
      <u/>
      <sz val="10"/>
      <color rgb="FF0563C1"/>
      <name val="Times New Roman"/>
      <family val="1"/>
      <charset val="204"/>
    </font>
    <font>
      <u/>
      <sz val="10"/>
      <color rgb="FF0563C1"/>
      <name val="Times New Roman"/>
      <family val="1"/>
      <charset val="204"/>
    </font>
    <font>
      <sz val="12"/>
      <color rgb="FF9C0006"/>
      <name val="Times New Roman"/>
      <family val="1"/>
      <charset val="204"/>
    </font>
    <font>
      <b/>
      <u/>
      <sz val="12"/>
      <color rgb="FF000000"/>
      <name val="Times New Roman"/>
      <family val="1"/>
      <charset val="204"/>
    </font>
    <font>
      <sz val="10"/>
      <color theme="1"/>
      <name val="Arial"/>
      <family val="2"/>
      <charset val="204"/>
    </font>
    <font>
      <sz val="10"/>
      <color rgb="FF000000"/>
      <name val="Calibri"/>
      <family val="2"/>
      <charset val="204"/>
    </font>
    <font>
      <i/>
      <sz val="11"/>
      <color rgb="FF3C4043"/>
      <name val="Times New Roman"/>
      <family val="1"/>
      <charset val="204"/>
    </font>
    <font>
      <sz val="10"/>
      <color rgb="FF9C0006"/>
      <name val="Calibri"/>
      <family val="2"/>
      <charset val="204"/>
    </font>
    <font>
      <sz val="10"/>
      <color rgb="FF006100"/>
      <name val="Calibri"/>
      <family val="2"/>
      <charset val="204"/>
    </font>
    <font>
      <sz val="12"/>
      <color rgb="FF9C6500"/>
      <name val="Times New Roman"/>
      <family val="1"/>
      <charset val="204"/>
    </font>
    <font>
      <u/>
      <sz val="12"/>
      <color rgb="FF0563C1"/>
      <name val="Times New Roman"/>
      <family val="1"/>
      <charset val="204"/>
    </font>
    <font>
      <u/>
      <sz val="12"/>
      <color rgb="FF000000"/>
      <name val="Times New Roman"/>
      <family val="1"/>
      <charset val="204"/>
    </font>
    <font>
      <sz val="10"/>
      <color rgb="FF9C0006"/>
      <name val="Times New Roman"/>
      <family val="1"/>
      <charset val="204"/>
    </font>
    <font>
      <u/>
      <sz val="12"/>
      <color rgb="FF000000"/>
      <name val="Times New Roman"/>
      <family val="1"/>
      <charset val="204"/>
    </font>
    <font>
      <u/>
      <sz val="12"/>
      <color rgb="FF000000"/>
      <name val="Times New Roman"/>
      <family val="1"/>
      <charset val="204"/>
    </font>
    <font>
      <u/>
      <sz val="12"/>
      <color theme="1"/>
      <name val="Times New Roman"/>
      <family val="1"/>
      <charset val="204"/>
    </font>
    <font>
      <u/>
      <sz val="10"/>
      <color rgb="FF0000FF"/>
      <name val="Times New Roman"/>
      <family val="1"/>
      <charset val="204"/>
    </font>
    <font>
      <b/>
      <sz val="10"/>
      <color rgb="FF000000"/>
      <name val="Times New Roman"/>
      <family val="1"/>
      <charset val="204"/>
    </font>
    <font>
      <u/>
      <sz val="10"/>
      <color theme="1"/>
      <name val="Times New Roman"/>
      <family val="1"/>
      <charset val="204"/>
    </font>
    <font>
      <u/>
      <sz val="12"/>
      <color rgb="FF000000"/>
      <name val="Times New Roman"/>
      <family val="1"/>
      <charset val="204"/>
    </font>
    <font>
      <sz val="11"/>
      <color theme="1"/>
      <name val="Calibri"/>
      <family val="2"/>
      <charset val="204"/>
      <scheme val="minor"/>
    </font>
    <font>
      <u/>
      <sz val="12"/>
      <color rgb="FF000000"/>
      <name val="Times New Roman"/>
      <family val="1"/>
      <charset val="204"/>
    </font>
    <font>
      <u/>
      <sz val="11"/>
      <color rgb="FF000000"/>
      <name val="Times New Roman"/>
      <family val="1"/>
      <charset val="204"/>
    </font>
    <font>
      <sz val="10"/>
      <color rgb="FF783F04"/>
      <name val="Times New Roman"/>
      <family val="1"/>
      <charset val="204"/>
    </font>
    <font>
      <sz val="12"/>
      <color rgb="FF783F04"/>
      <name val="Times New Roman"/>
      <family val="1"/>
      <charset val="204"/>
    </font>
    <font>
      <u/>
      <sz val="12"/>
      <color rgb="FF000000"/>
      <name val="Times New Roman"/>
      <family val="1"/>
      <charset val="204"/>
    </font>
    <font>
      <u/>
      <sz val="10"/>
      <color rgb="FF000000"/>
      <name val="Times New Roman"/>
      <family val="1"/>
      <charset val="204"/>
    </font>
    <font>
      <b/>
      <sz val="12"/>
      <color rgb="FFFF0000"/>
      <name val="Times New Roman"/>
      <family val="1"/>
      <charset val="204"/>
    </font>
    <font>
      <sz val="10"/>
      <color rgb="FF1F1F1F"/>
      <name val="Times New Roman"/>
      <family val="1"/>
      <charset val="204"/>
    </font>
    <font>
      <b/>
      <sz val="11"/>
      <color rgb="FF000000"/>
      <name val="Times New Roman"/>
      <family val="1"/>
      <charset val="204"/>
    </font>
    <font>
      <sz val="10"/>
      <color rgb="FFFFFFFF"/>
      <name val="Times New Roman"/>
      <family val="1"/>
      <charset val="204"/>
    </font>
    <font>
      <u/>
      <sz val="11"/>
      <color rgb="FF000000"/>
      <name val="Times New Roman"/>
      <family val="1"/>
      <charset val="204"/>
    </font>
    <font>
      <u/>
      <sz val="10"/>
      <color rgb="FF0563C1"/>
      <name val="Times New Roman"/>
      <family val="1"/>
      <charset val="204"/>
    </font>
    <font>
      <b/>
      <sz val="10"/>
      <color theme="1"/>
      <name val="Times New Roman"/>
      <family val="1"/>
      <charset val="204"/>
    </font>
    <font>
      <sz val="12"/>
      <color rgb="FFFF0000"/>
      <name val="Times New Roman"/>
      <family val="1"/>
      <charset val="204"/>
    </font>
    <font>
      <b/>
      <sz val="11"/>
      <color rgb="FF006100"/>
      <name val="Times New Roman"/>
      <family val="1"/>
      <charset val="204"/>
    </font>
    <font>
      <sz val="12"/>
      <color rgb="FF980000"/>
      <name val="Times New Roman"/>
      <family val="1"/>
      <charset val="204"/>
    </font>
    <font>
      <u/>
      <sz val="10"/>
      <color rgb="FF000000"/>
      <name val="Times New Roman"/>
      <family val="1"/>
      <charset val="204"/>
    </font>
    <font>
      <u/>
      <sz val="12"/>
      <color rgb="FF000000"/>
      <name val="Times New Roman"/>
      <family val="1"/>
      <charset val="204"/>
    </font>
    <font>
      <sz val="12"/>
      <color rgb="FFFFFFFF"/>
      <name val="Times New Roman"/>
      <family val="1"/>
      <charset val="204"/>
    </font>
    <font>
      <i/>
      <sz val="12"/>
      <color rgb="FF3C4043"/>
      <name val="Times New Roman"/>
      <family val="1"/>
      <charset val="204"/>
    </font>
    <font>
      <b/>
      <u/>
      <sz val="12"/>
      <color rgb="FF1155CC"/>
      <name val="Times New Roman"/>
      <family val="1"/>
      <charset val="204"/>
    </font>
    <font>
      <b/>
      <sz val="12"/>
      <color rgb="FF2E3238"/>
      <name val="Times New Roman"/>
      <family val="1"/>
      <charset val="204"/>
    </font>
    <font>
      <sz val="12"/>
      <color rgb="FFCCCCCC"/>
      <name val="Times New Roman"/>
      <family val="1"/>
      <charset val="204"/>
    </font>
    <font>
      <sz val="11"/>
      <color rgb="FFFFFFFF"/>
      <name val="Times New Roman"/>
      <family val="1"/>
      <charset val="204"/>
    </font>
    <font>
      <sz val="10"/>
      <color rgb="FF9C5700"/>
      <name val="Times New Roman"/>
      <family val="1"/>
      <charset val="204"/>
    </font>
    <font>
      <i/>
      <sz val="12"/>
      <color rgb="FF393939"/>
      <name val="Times New Roman"/>
      <family val="1"/>
      <charset val="204"/>
    </font>
    <font>
      <u/>
      <sz val="12"/>
      <color rgb="FF000000"/>
      <name val="Times New Roman"/>
      <family val="1"/>
      <charset val="204"/>
    </font>
    <font>
      <u/>
      <sz val="12"/>
      <color rgb="FF0563C1"/>
      <name val="Times New Roman"/>
      <family val="1"/>
      <charset val="204"/>
    </font>
    <font>
      <u/>
      <sz val="12"/>
      <color rgb="FF000000"/>
      <name val="Times New Roman"/>
      <family val="1"/>
      <charset val="204"/>
    </font>
    <font>
      <b/>
      <sz val="10"/>
      <color rgb="FF006100"/>
      <name val="Calibri"/>
      <family val="2"/>
      <charset val="204"/>
    </font>
    <font>
      <u/>
      <sz val="12"/>
      <color rgb="FF000000"/>
      <name val="Times New Roman"/>
      <family val="1"/>
      <charset val="204"/>
    </font>
    <font>
      <sz val="14"/>
      <color rgb="FFFF0000"/>
      <name val="Times New Roman"/>
      <family val="1"/>
      <charset val="204"/>
    </font>
    <font>
      <sz val="10"/>
      <color rgb="FF6D9EEB"/>
      <name val="Times New Roman"/>
      <family val="1"/>
      <charset val="204"/>
    </font>
    <font>
      <u/>
      <sz val="11"/>
      <color theme="1"/>
      <name val="Times New Roman"/>
      <family val="1"/>
      <charset val="204"/>
    </font>
    <font>
      <u/>
      <sz val="10"/>
      <name val="Times New Roman"/>
      <family val="1"/>
      <charset val="204"/>
    </font>
    <font>
      <sz val="10"/>
      <name val="Times New Roman"/>
      <family val="1"/>
      <charset val="204"/>
    </font>
    <font>
      <b/>
      <sz val="12"/>
      <color rgb="FF980000"/>
      <name val="Times New Roman"/>
      <family val="1"/>
      <charset val="204"/>
    </font>
    <font>
      <sz val="10"/>
      <color rgb="FF980000"/>
      <name val="Times New Roman"/>
      <family val="1"/>
      <charset val="204"/>
    </font>
    <font>
      <u/>
      <sz val="11"/>
      <color rgb="FF1155CC"/>
      <name val="Times New Roman"/>
      <family val="1"/>
      <charset val="204"/>
    </font>
    <font>
      <b/>
      <sz val="12"/>
      <color rgb="FF783F04"/>
      <name val="Times New Roman"/>
      <family val="1"/>
      <charset val="204"/>
    </font>
    <font>
      <b/>
      <sz val="12"/>
      <color rgb="FF9C5700"/>
      <name val="Times New Roman"/>
      <family val="1"/>
      <charset val="204"/>
    </font>
    <font>
      <strike/>
      <sz val="12"/>
      <color rgb="FFFF0000"/>
      <name val="Times New Roman"/>
      <family val="1"/>
      <charset val="204"/>
    </font>
    <font>
      <sz val="12"/>
      <color rgb="FFFF0066"/>
      <name val="Times New Roman"/>
      <family val="1"/>
      <charset val="204"/>
    </font>
    <font>
      <sz val="12"/>
      <color rgb="FF3366FF"/>
      <name val="Times New Roman"/>
      <family val="1"/>
      <charset val="204"/>
    </font>
    <font>
      <sz val="12"/>
      <color rgb="FF7F6000"/>
      <name val="Times New Roman"/>
      <family val="1"/>
      <charset val="204"/>
    </font>
    <font>
      <sz val="10"/>
      <color rgb="FFFF0066"/>
      <name val="Times New Roman"/>
      <family val="1"/>
      <charset val="204"/>
    </font>
    <font>
      <sz val="10"/>
      <color rgb="FF3366FF"/>
      <name val="Times New Roman"/>
      <family val="1"/>
      <charset val="204"/>
    </font>
    <font>
      <sz val="10"/>
      <color rgb="FFFF00FF"/>
      <name val="Times New Roman"/>
      <family val="1"/>
      <charset val="204"/>
    </font>
    <font>
      <sz val="10"/>
      <color rgb="FF7F6000"/>
      <name val="Times New Roman"/>
      <family val="1"/>
      <charset val="204"/>
    </font>
    <font>
      <sz val="10"/>
      <color rgb="FFA61C00"/>
      <name val="Times New Roman"/>
      <family val="1"/>
      <charset val="204"/>
    </font>
    <font>
      <u/>
      <sz val="10"/>
      <color rgb="FF1F1F1F"/>
      <name val="Times New Roman"/>
      <family val="1"/>
      <charset val="204"/>
    </font>
    <font>
      <sz val="12"/>
      <color rgb="FF990000"/>
      <name val="Times New Roman"/>
      <family val="1"/>
      <charset val="204"/>
    </font>
    <font>
      <b/>
      <sz val="12"/>
      <color rgb="FFD07F00"/>
      <name val="Times New Roman"/>
      <family val="1"/>
      <charset val="204"/>
    </font>
    <font>
      <u/>
      <sz val="12"/>
      <color rgb="FFFF9900"/>
      <name val="Times New Roman"/>
      <family val="1"/>
      <charset val="204"/>
    </font>
    <font>
      <sz val="12"/>
      <color rgb="FF38761D"/>
      <name val="Times New Roman"/>
      <family val="1"/>
      <charset val="204"/>
    </font>
    <font>
      <strike/>
      <sz val="10"/>
      <color rgb="FFFF9900"/>
      <name val="Times New Roman"/>
      <family val="1"/>
      <charset val="204"/>
    </font>
  </fonts>
  <fills count="67">
    <fill>
      <patternFill patternType="none"/>
    </fill>
    <fill>
      <patternFill patternType="gray125"/>
    </fill>
    <fill>
      <patternFill patternType="solid">
        <fgColor rgb="FFFFFBF0"/>
        <bgColor rgb="FFFFFBF0"/>
      </patternFill>
    </fill>
    <fill>
      <patternFill patternType="solid">
        <fgColor theme="4"/>
        <bgColor theme="4"/>
      </patternFill>
    </fill>
    <fill>
      <patternFill patternType="solid">
        <fgColor rgb="FFFF0000"/>
        <bgColor rgb="FFFF0000"/>
      </patternFill>
    </fill>
    <fill>
      <patternFill patternType="solid">
        <fgColor rgb="FFDEEAF6"/>
        <bgColor rgb="FFDEEAF6"/>
      </patternFill>
    </fill>
    <fill>
      <patternFill patternType="solid">
        <fgColor rgb="FF92D050"/>
        <bgColor rgb="FF92D050"/>
      </patternFill>
    </fill>
    <fill>
      <patternFill patternType="solid">
        <fgColor rgb="FFFFFFFF"/>
        <bgColor rgb="FFFFFFFF"/>
      </patternFill>
    </fill>
    <fill>
      <patternFill patternType="solid">
        <fgColor rgb="FFC6EFCE"/>
        <bgColor rgb="FFC6EFCE"/>
      </patternFill>
    </fill>
    <fill>
      <patternFill patternType="solid">
        <fgColor rgb="FFDEEBF7"/>
        <bgColor rgb="FFDEEBF7"/>
      </patternFill>
    </fill>
    <fill>
      <patternFill patternType="solid">
        <fgColor rgb="FFCCCCFF"/>
        <bgColor rgb="FFCCCCFF"/>
      </patternFill>
    </fill>
    <fill>
      <patternFill patternType="solid">
        <fgColor rgb="FFCCFF99"/>
        <bgColor rgb="FFCCFF99"/>
      </patternFill>
    </fill>
    <fill>
      <patternFill patternType="solid">
        <fgColor rgb="FFA4C2F4"/>
        <bgColor rgb="FFA4C2F4"/>
      </patternFill>
    </fill>
    <fill>
      <patternFill patternType="solid">
        <fgColor rgb="FFDBE5F1"/>
        <bgColor rgb="FFDBE5F1"/>
      </patternFill>
    </fill>
    <fill>
      <patternFill patternType="solid">
        <fgColor rgb="FF5B9BD5"/>
        <bgColor rgb="FF5B9BD5"/>
      </patternFill>
    </fill>
    <fill>
      <patternFill patternType="solid">
        <fgColor rgb="FFC9DAF8"/>
        <bgColor rgb="FFC9DAF8"/>
      </patternFill>
    </fill>
    <fill>
      <patternFill patternType="solid">
        <fgColor rgb="FFFF6D6D"/>
        <bgColor rgb="FFFF6D6D"/>
      </patternFill>
    </fill>
    <fill>
      <patternFill patternType="solid">
        <fgColor rgb="FFFEF2CB"/>
        <bgColor rgb="FFFEF2CB"/>
      </patternFill>
    </fill>
    <fill>
      <patternFill patternType="solid">
        <fgColor rgb="FF4A86E8"/>
        <bgColor rgb="FF4A86E8"/>
      </patternFill>
    </fill>
    <fill>
      <patternFill patternType="solid">
        <fgColor rgb="FFD9EAD3"/>
        <bgColor rgb="FFD9EAD3"/>
      </patternFill>
    </fill>
    <fill>
      <patternFill patternType="solid">
        <fgColor rgb="FF9C5700"/>
        <bgColor rgb="FF9C5700"/>
      </patternFill>
    </fill>
    <fill>
      <patternFill patternType="solid">
        <fgColor rgb="FF00FF00"/>
        <bgColor rgb="FF00FF00"/>
      </patternFill>
    </fill>
    <fill>
      <patternFill patternType="solid">
        <fgColor rgb="FFFFCC99"/>
        <bgColor rgb="FFFFCC99"/>
      </patternFill>
    </fill>
    <fill>
      <patternFill patternType="solid">
        <fgColor rgb="FFFFFF99"/>
        <bgColor rgb="FFFFFF99"/>
      </patternFill>
    </fill>
    <fill>
      <patternFill patternType="solid">
        <fgColor rgb="FFFFEB9C"/>
        <bgColor rgb="FFFFEB9C"/>
      </patternFill>
    </fill>
    <fill>
      <patternFill patternType="solid">
        <fgColor rgb="FFF4B083"/>
        <bgColor rgb="FFF4B083"/>
      </patternFill>
    </fill>
    <fill>
      <patternFill patternType="solid">
        <fgColor rgb="FF93C47D"/>
        <bgColor rgb="FF93C47D"/>
      </patternFill>
    </fill>
    <fill>
      <patternFill patternType="solid">
        <fgColor rgb="FF674EA7"/>
        <bgColor rgb="FF674EA7"/>
      </patternFill>
    </fill>
    <fill>
      <patternFill patternType="solid">
        <fgColor rgb="FF00B050"/>
        <bgColor rgb="FF00B050"/>
      </patternFill>
    </fill>
    <fill>
      <patternFill patternType="solid">
        <fgColor rgb="FFB7E1CD"/>
        <bgColor rgb="FFB7E1CD"/>
      </patternFill>
    </fill>
    <fill>
      <patternFill patternType="solid">
        <fgColor rgb="FFFFF2CC"/>
        <bgColor rgb="FFFFF2CC"/>
      </patternFill>
    </fill>
    <fill>
      <patternFill patternType="solid">
        <fgColor rgb="FFFF0066"/>
        <bgColor rgb="FFFF0066"/>
      </patternFill>
    </fill>
    <fill>
      <patternFill patternType="solid">
        <fgColor rgb="FFB7B7B7"/>
        <bgColor rgb="FFB7B7B7"/>
      </patternFill>
    </fill>
    <fill>
      <patternFill patternType="solid">
        <fgColor rgb="FFFF9900"/>
        <bgColor rgb="FFFF9900"/>
      </patternFill>
    </fill>
    <fill>
      <patternFill patternType="solid">
        <fgColor rgb="FFFF9999"/>
        <bgColor rgb="FFFF9999"/>
      </patternFill>
    </fill>
    <fill>
      <patternFill patternType="solid">
        <fgColor rgb="FF6AA84F"/>
        <bgColor rgb="FF6AA84F"/>
      </patternFill>
    </fill>
    <fill>
      <patternFill patternType="solid">
        <fgColor rgb="FFB4A7D6"/>
        <bgColor rgb="FFB4A7D6"/>
      </patternFill>
    </fill>
    <fill>
      <patternFill patternType="solid">
        <fgColor rgb="FF8E7CC3"/>
        <bgColor rgb="FF8E7CC3"/>
      </patternFill>
    </fill>
    <fill>
      <patternFill patternType="solid">
        <fgColor rgb="FFFF00FF"/>
        <bgColor rgb="FFFF00FF"/>
      </patternFill>
    </fill>
    <fill>
      <patternFill patternType="solid">
        <fgColor rgb="FFFFE599"/>
        <bgColor rgb="FFFFE599"/>
      </patternFill>
    </fill>
    <fill>
      <patternFill patternType="solid">
        <fgColor rgb="FF99CCFF"/>
        <bgColor rgb="FF99CCFF"/>
      </patternFill>
    </fill>
    <fill>
      <patternFill patternType="solid">
        <fgColor rgb="FFFFFF00"/>
        <bgColor rgb="FFFFFF00"/>
      </patternFill>
    </fill>
    <fill>
      <patternFill patternType="solid">
        <fgColor rgb="FFFFC000"/>
        <bgColor rgb="FFFFC000"/>
      </patternFill>
    </fill>
    <fill>
      <patternFill patternType="solid">
        <fgColor rgb="FF99FFCC"/>
        <bgColor rgb="FF99FFCC"/>
      </patternFill>
    </fill>
    <fill>
      <patternFill patternType="solid">
        <fgColor rgb="FFFFC7CE"/>
        <bgColor rgb="FFFFC7CE"/>
      </patternFill>
    </fill>
    <fill>
      <patternFill patternType="solid">
        <fgColor rgb="FFF4CCCC"/>
        <bgColor rgb="FFF4CCCC"/>
      </patternFill>
    </fill>
    <fill>
      <patternFill patternType="solid">
        <fgColor rgb="FFD9D2E9"/>
        <bgColor rgb="FFD9D2E9"/>
      </patternFill>
    </fill>
    <fill>
      <patternFill patternType="solid">
        <fgColor rgb="FF93D057"/>
        <bgColor rgb="FF93D057"/>
      </patternFill>
    </fill>
    <fill>
      <patternFill patternType="solid">
        <fgColor rgb="FF6D9EEB"/>
        <bgColor rgb="FF6D9EEB"/>
      </patternFill>
    </fill>
    <fill>
      <patternFill patternType="solid">
        <fgColor rgb="FF0563C1"/>
        <bgColor rgb="FF0563C1"/>
      </patternFill>
    </fill>
    <fill>
      <patternFill patternType="solid">
        <fgColor rgb="FFD0E0E3"/>
        <bgColor rgb="FFD0E0E3"/>
      </patternFill>
    </fill>
    <fill>
      <patternFill patternType="solid">
        <fgColor rgb="FFB6D7A8"/>
        <bgColor rgb="FFB6D7A8"/>
      </patternFill>
    </fill>
    <fill>
      <patternFill patternType="solid">
        <fgColor rgb="FFFFD966"/>
        <bgColor rgb="FFFFD966"/>
      </patternFill>
    </fill>
    <fill>
      <patternFill patternType="solid">
        <fgColor rgb="FF87C566"/>
        <bgColor rgb="FF87C566"/>
      </patternFill>
    </fill>
    <fill>
      <patternFill patternType="solid">
        <fgColor rgb="FF9CC2E5"/>
        <bgColor rgb="FF9CC2E5"/>
      </patternFill>
    </fill>
    <fill>
      <patternFill patternType="solid">
        <fgColor rgb="FFFF8B8B"/>
        <bgColor rgb="FFFF8B8B"/>
      </patternFill>
    </fill>
    <fill>
      <patternFill patternType="solid">
        <fgColor rgb="FF00FFFF"/>
        <bgColor rgb="FF00FFFF"/>
      </patternFill>
    </fill>
    <fill>
      <patternFill patternType="solid">
        <fgColor rgb="FF9900FF"/>
        <bgColor rgb="FF9900FF"/>
      </patternFill>
    </fill>
    <fill>
      <patternFill patternType="solid">
        <fgColor rgb="FFC4BD97"/>
        <bgColor rgb="FFC4BD97"/>
      </patternFill>
    </fill>
    <fill>
      <patternFill patternType="solid">
        <fgColor rgb="FFE06666"/>
        <bgColor rgb="FFE06666"/>
      </patternFill>
    </fill>
    <fill>
      <patternFill patternType="solid">
        <fgColor rgb="FF999999"/>
        <bgColor rgb="FF999999"/>
      </patternFill>
    </fill>
    <fill>
      <patternFill patternType="solid">
        <fgColor rgb="FFEA9999"/>
        <bgColor rgb="FFEA9999"/>
      </patternFill>
    </fill>
    <fill>
      <patternFill patternType="solid">
        <fgColor rgb="FFC27BA0"/>
        <bgColor rgb="FFC27BA0"/>
      </patternFill>
    </fill>
    <fill>
      <patternFill patternType="solid">
        <fgColor theme="9"/>
        <bgColor theme="9"/>
      </patternFill>
    </fill>
    <fill>
      <patternFill patternType="solid">
        <fgColor rgb="FFFF6D01"/>
        <bgColor rgb="FFFF6D01"/>
      </patternFill>
    </fill>
    <fill>
      <patternFill patternType="solid">
        <fgColor rgb="FFCC3300"/>
        <bgColor rgb="FFCC3300"/>
      </patternFill>
    </fill>
    <fill>
      <patternFill patternType="solid">
        <fgColor rgb="FFA64D79"/>
        <bgColor rgb="FFA64D79"/>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medium">
        <color rgb="FFCCCCCC"/>
      </left>
      <right style="medium">
        <color rgb="FFCCCCCC"/>
      </right>
      <top style="medium">
        <color rgb="FFCCCCCC"/>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CCCCCC"/>
      </right>
      <top style="medium">
        <color rgb="FFCCCCCC"/>
      </top>
      <bottom style="medium">
        <color rgb="FFCCCCCC"/>
      </bottom>
      <diagonal/>
    </border>
    <border>
      <left style="thin">
        <color rgb="FF000000"/>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CCCCCC"/>
      </top>
      <bottom/>
      <diagonal/>
    </border>
    <border>
      <left/>
      <right/>
      <top style="thin">
        <color rgb="FF000000"/>
      </top>
      <bottom style="thin">
        <color rgb="FF000000"/>
      </bottom>
      <diagonal/>
    </border>
    <border>
      <left style="medium">
        <color rgb="FF000000"/>
      </left>
      <right style="medium">
        <color rgb="FF000000"/>
      </right>
      <top style="medium">
        <color rgb="FFCCCCCC"/>
      </top>
      <bottom style="medium">
        <color rgb="FFCCCCCC"/>
      </bottom>
      <diagonal/>
    </border>
    <border>
      <left/>
      <right style="medium">
        <color rgb="FF000000"/>
      </right>
      <top style="medium">
        <color rgb="FFCCCCCC"/>
      </top>
      <bottom style="medium">
        <color rgb="FF000000"/>
      </bottom>
      <diagonal/>
    </border>
    <border>
      <left/>
      <right/>
      <top/>
      <bottom/>
      <diagonal/>
    </border>
    <border>
      <left/>
      <right style="medium">
        <color rgb="FF000000"/>
      </right>
      <top style="medium">
        <color rgb="FFCCCCCC"/>
      </top>
      <bottom style="medium">
        <color rgb="FFCCCCCC"/>
      </bottom>
      <diagonal/>
    </border>
    <border>
      <left style="medium">
        <color rgb="FF000000"/>
      </left>
      <right/>
      <top style="medium">
        <color rgb="FFCCCCCC"/>
      </top>
      <bottom style="medium">
        <color rgb="FF000000"/>
      </bottom>
      <diagonal/>
    </border>
  </borders>
  <cellStyleXfs count="1">
    <xf numFmtId="0" fontId="0" fillId="0" borderId="0"/>
  </cellStyleXfs>
  <cellXfs count="579">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pplyAlignment="1">
      <alignment horizontal="center" vertical="center" wrapText="1"/>
    </xf>
    <xf numFmtId="0" fontId="8" fillId="0" borderId="0" xfId="0" applyFont="1"/>
    <xf numFmtId="0" fontId="5" fillId="5" borderId="1" xfId="0" applyFont="1" applyFill="1" applyBorder="1" applyAlignment="1">
      <alignment horizontal="center" vertical="center" wrapText="1"/>
    </xf>
    <xf numFmtId="1" fontId="9" fillId="6"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0" borderId="0" xfId="0" applyFont="1"/>
    <xf numFmtId="0" fontId="7" fillId="0" borderId="1" xfId="0" applyFont="1" applyBorder="1" applyAlignment="1">
      <alignment horizontal="center" vertical="center" wrapText="1"/>
    </xf>
    <xf numFmtId="0" fontId="13" fillId="8" borderId="1" xfId="0" applyFont="1" applyFill="1" applyBorder="1" applyAlignment="1">
      <alignment horizontal="center" vertical="center" wrapText="1"/>
    </xf>
    <xf numFmtId="1" fontId="5" fillId="6"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5" fillId="13"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11"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10" fillId="17"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5" fillId="0" borderId="0" xfId="0" applyFont="1" applyAlignment="1">
      <alignment horizontal="center" vertical="center" wrapText="1"/>
    </xf>
    <xf numFmtId="0" fontId="18" fillId="1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5" fillId="16"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19"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14" fontId="5"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20" fillId="18" borderId="1" xfId="0" applyFont="1" applyFill="1" applyBorder="1" applyAlignment="1">
      <alignment horizontal="center" vertical="center" wrapText="1"/>
    </xf>
    <xf numFmtId="0" fontId="13" fillId="8" borderId="1" xfId="0" applyFont="1" applyFill="1" applyBorder="1" applyAlignment="1">
      <alignment horizontal="center" wrapText="1"/>
    </xf>
    <xf numFmtId="0" fontId="5" fillId="21" borderId="1" xfId="0" applyFont="1" applyFill="1" applyBorder="1" applyAlignment="1">
      <alignment horizontal="center" vertical="center" wrapText="1"/>
    </xf>
    <xf numFmtId="14" fontId="6" fillId="0" borderId="1" xfId="0" applyNumberFormat="1" applyFont="1" applyBorder="1" applyAlignment="1">
      <alignment horizontal="center" vertical="center" wrapText="1"/>
    </xf>
    <xf numFmtId="165" fontId="21" fillId="6" borderId="1" xfId="0" applyNumberFormat="1" applyFont="1" applyFill="1" applyBorder="1" applyAlignment="1">
      <alignment horizontal="center" vertical="center" wrapText="1"/>
    </xf>
    <xf numFmtId="0" fontId="21" fillId="7" borderId="4" xfId="0" applyFont="1" applyFill="1" applyBorder="1" applyAlignment="1">
      <alignment horizontal="center" vertical="center" wrapText="1"/>
    </xf>
    <xf numFmtId="1" fontId="22" fillId="6" borderId="1" xfId="0" applyNumberFormat="1" applyFont="1" applyFill="1" applyBorder="1" applyAlignment="1">
      <alignment horizontal="center" vertical="center" wrapText="1"/>
    </xf>
    <xf numFmtId="0" fontId="21" fillId="7" borderId="1" xfId="0" applyFont="1" applyFill="1" applyBorder="1" applyAlignment="1">
      <alignment horizontal="center" vertical="center" wrapText="1"/>
    </xf>
    <xf numFmtId="0" fontId="5" fillId="22" borderId="1"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6" fillId="23" borderId="1" xfId="0" applyFont="1" applyFill="1" applyBorder="1" applyAlignment="1">
      <alignment horizontal="center" vertical="center" wrapText="1"/>
    </xf>
    <xf numFmtId="0" fontId="21" fillId="2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2" fillId="8" borderId="1" xfId="0" applyFont="1" applyFill="1" applyBorder="1" applyAlignment="1">
      <alignment horizontal="center" wrapText="1"/>
    </xf>
    <xf numFmtId="0" fontId="20" fillId="26" borderId="1" xfId="0" applyFont="1" applyFill="1" applyBorder="1" applyAlignment="1">
      <alignment horizontal="center" vertical="center" wrapText="1"/>
    </xf>
    <xf numFmtId="0" fontId="24" fillId="8" borderId="1" xfId="0" applyFont="1" applyFill="1" applyBorder="1" applyAlignment="1">
      <alignment vertical="center" wrapText="1"/>
    </xf>
    <xf numFmtId="0" fontId="19" fillId="6" borderId="1" xfId="0" applyFont="1" applyFill="1" applyBorder="1" applyAlignment="1">
      <alignment horizontal="center" vertical="center" wrapText="1"/>
    </xf>
    <xf numFmtId="0" fontId="25" fillId="27" borderId="1" xfId="0" applyFont="1" applyFill="1" applyBorder="1" applyAlignment="1">
      <alignment horizontal="center" vertical="center" wrapText="1"/>
    </xf>
    <xf numFmtId="0" fontId="5" fillId="28" borderId="4" xfId="0" applyFont="1" applyFill="1" applyBorder="1" applyAlignment="1">
      <alignment horizontal="center" vertical="center" wrapText="1"/>
    </xf>
    <xf numFmtId="0" fontId="6" fillId="29" borderId="8" xfId="0" applyFont="1" applyFill="1" applyBorder="1" applyAlignment="1">
      <alignment horizontal="center" vertical="center" wrapText="1"/>
    </xf>
    <xf numFmtId="0" fontId="6" fillId="11" borderId="1" xfId="0" applyFont="1" applyFill="1" applyBorder="1" applyAlignment="1">
      <alignment horizontal="center" wrapText="1"/>
    </xf>
    <xf numFmtId="0" fontId="6" fillId="3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6" fillId="7" borderId="1" xfId="0" applyFont="1" applyFill="1" applyBorder="1" applyAlignment="1">
      <alignment horizontal="center" wrapText="1"/>
    </xf>
    <xf numFmtId="0" fontId="6" fillId="0" borderId="2" xfId="0" applyFont="1" applyBorder="1" applyAlignment="1">
      <alignment horizontal="center" vertical="center" wrapText="1"/>
    </xf>
    <xf numFmtId="0" fontId="21" fillId="0" borderId="1" xfId="0" applyFont="1" applyBorder="1" applyAlignment="1">
      <alignment horizontal="center" vertical="center" wrapText="1"/>
    </xf>
    <xf numFmtId="0" fontId="6" fillId="16" borderId="1" xfId="0" applyFont="1" applyFill="1" applyBorder="1" applyAlignment="1">
      <alignment horizontal="center" wrapText="1"/>
    </xf>
    <xf numFmtId="0" fontId="5" fillId="0" borderId="10" xfId="0" applyFont="1" applyBorder="1" applyAlignment="1">
      <alignment horizontal="center" vertical="center" wrapText="1"/>
    </xf>
    <xf numFmtId="1" fontId="6" fillId="6" borderId="1" xfId="0" applyNumberFormat="1" applyFont="1" applyFill="1" applyBorder="1" applyAlignment="1">
      <alignment horizontal="center" vertical="center" wrapText="1"/>
    </xf>
    <xf numFmtId="0" fontId="6" fillId="31" borderId="1" xfId="0" applyFont="1" applyFill="1" applyBorder="1" applyAlignment="1">
      <alignment horizontal="center" vertical="center" wrapText="1"/>
    </xf>
    <xf numFmtId="0" fontId="6" fillId="0" borderId="1" xfId="0" applyFont="1" applyBorder="1" applyAlignment="1">
      <alignment horizontal="center" wrapText="1"/>
    </xf>
    <xf numFmtId="0" fontId="6" fillId="8" borderId="1" xfId="0" applyFont="1" applyFill="1" applyBorder="1" applyAlignment="1">
      <alignment horizontal="center" vertical="center" wrapText="1"/>
    </xf>
    <xf numFmtId="0" fontId="26" fillId="0" borderId="1" xfId="0" applyFont="1" applyBorder="1"/>
    <xf numFmtId="0" fontId="5" fillId="6" borderId="7" xfId="0" applyFont="1" applyFill="1" applyBorder="1" applyAlignment="1">
      <alignment horizontal="center" vertical="center" wrapText="1"/>
    </xf>
    <xf numFmtId="0" fontId="6" fillId="18" borderId="1" xfId="0" applyFont="1" applyFill="1" applyBorder="1" applyAlignment="1">
      <alignment horizontal="center" wrapText="1"/>
    </xf>
    <xf numFmtId="14" fontId="6" fillId="0" borderId="8" xfId="0" applyNumberFormat="1" applyFont="1" applyBorder="1" applyAlignment="1">
      <alignment horizontal="center" vertical="center" wrapText="1"/>
    </xf>
    <xf numFmtId="0" fontId="6" fillId="21" borderId="1" xfId="0" applyFont="1" applyFill="1" applyBorder="1" applyAlignment="1">
      <alignment horizontal="center" vertical="center" wrapText="1"/>
    </xf>
    <xf numFmtId="0" fontId="8" fillId="18" borderId="1" xfId="0" applyFont="1" applyFill="1" applyBorder="1" applyAlignment="1">
      <alignment horizontal="center" wrapText="1"/>
    </xf>
    <xf numFmtId="0" fontId="6" fillId="19" borderId="1" xfId="0" applyFont="1" applyFill="1" applyBorder="1" applyAlignment="1">
      <alignment horizontal="center" wrapText="1"/>
    </xf>
    <xf numFmtId="14" fontId="26" fillId="0" borderId="1" xfId="0" applyNumberFormat="1" applyFont="1" applyBorder="1"/>
    <xf numFmtId="0" fontId="5" fillId="2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32"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26" fillId="0" borderId="1" xfId="0" applyFont="1" applyBorder="1" applyAlignment="1">
      <alignment vertical="center"/>
    </xf>
    <xf numFmtId="0" fontId="24" fillId="0" borderId="1" xfId="0" applyFont="1" applyBorder="1" applyAlignment="1">
      <alignment horizontal="center" vertical="center" wrapText="1"/>
    </xf>
    <xf numFmtId="14" fontId="26" fillId="0" borderId="8" xfId="0" applyNumberFormat="1" applyFont="1" applyBorder="1" applyAlignment="1">
      <alignment vertical="center"/>
    </xf>
    <xf numFmtId="0" fontId="5" fillId="33" borderId="1" xfId="0" applyFont="1" applyFill="1" applyBorder="1" applyAlignment="1">
      <alignment horizontal="center" vertical="center" wrapText="1"/>
    </xf>
    <xf numFmtId="0" fontId="6" fillId="34" borderId="1" xfId="0" applyFont="1" applyFill="1" applyBorder="1" applyAlignment="1">
      <alignment horizontal="center" vertical="center" wrapText="1"/>
    </xf>
    <xf numFmtId="0" fontId="24" fillId="0" borderId="1" xfId="0" applyFont="1" applyBorder="1" applyAlignment="1">
      <alignment wrapText="1"/>
    </xf>
    <xf numFmtId="0" fontId="21" fillId="9"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5" fillId="35" borderId="1" xfId="0" applyFont="1" applyFill="1" applyBorder="1" applyAlignment="1">
      <alignment horizontal="center" vertical="center" wrapText="1"/>
    </xf>
    <xf numFmtId="0" fontId="5" fillId="28" borderId="1" xfId="0" applyFont="1" applyFill="1" applyBorder="1" applyAlignment="1">
      <alignment horizontal="center" vertical="center" wrapText="1"/>
    </xf>
    <xf numFmtId="0" fontId="24" fillId="13" borderId="1" xfId="0" applyFont="1" applyFill="1" applyBorder="1" applyAlignment="1">
      <alignment vertical="center" wrapText="1"/>
    </xf>
    <xf numFmtId="0" fontId="5" fillId="36" borderId="1" xfId="0" applyFont="1" applyFill="1" applyBorder="1" applyAlignment="1">
      <alignment horizontal="center" vertical="center" wrapText="1"/>
    </xf>
    <xf numFmtId="0" fontId="6" fillId="33"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5" fillId="30" borderId="1" xfId="0" applyFont="1" applyFill="1" applyBorder="1" applyAlignment="1">
      <alignment horizontal="center" vertical="center" wrapText="1"/>
    </xf>
    <xf numFmtId="0" fontId="5" fillId="37" borderId="1" xfId="0" applyFont="1" applyFill="1" applyBorder="1" applyAlignment="1">
      <alignment horizontal="center" vertical="center" wrapText="1"/>
    </xf>
    <xf numFmtId="0" fontId="24" fillId="0" borderId="1" xfId="0" applyFont="1" applyBorder="1" applyAlignment="1">
      <alignment horizontal="center" vertical="center"/>
    </xf>
    <xf numFmtId="0" fontId="16" fillId="5" borderId="1" xfId="0" applyFont="1" applyFill="1" applyBorder="1" applyAlignment="1">
      <alignment horizontal="center" vertical="center" wrapText="1"/>
    </xf>
    <xf numFmtId="164" fontId="5" fillId="0" borderId="1" xfId="0" applyNumberFormat="1" applyFont="1" applyBorder="1" applyAlignment="1">
      <alignment horizontal="center" vertical="center" wrapText="1"/>
    </xf>
    <xf numFmtId="0" fontId="6" fillId="38"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6" fillId="37" borderId="1" xfId="0" applyFont="1" applyFill="1" applyBorder="1" applyAlignment="1">
      <alignment horizontal="center" vertical="center" wrapText="1"/>
    </xf>
    <xf numFmtId="166" fontId="5" fillId="0" borderId="1" xfId="0" applyNumberFormat="1" applyFont="1" applyBorder="1" applyAlignment="1">
      <alignment horizontal="center" vertical="center" wrapText="1"/>
    </xf>
    <xf numFmtId="0" fontId="8" fillId="7" borderId="1" xfId="0" applyFont="1" applyFill="1" applyBorder="1" applyAlignment="1">
      <alignment horizontal="center" vertical="center" wrapText="1"/>
    </xf>
    <xf numFmtId="0" fontId="4" fillId="0" borderId="1" xfId="0" applyFont="1" applyBorder="1" applyAlignment="1">
      <alignment vertical="center" wrapText="1"/>
    </xf>
    <xf numFmtId="0" fontId="5" fillId="14" borderId="1" xfId="0" applyFont="1" applyFill="1" applyBorder="1" applyAlignment="1">
      <alignment horizontal="center" vertical="center" wrapText="1"/>
    </xf>
    <xf numFmtId="0" fontId="5" fillId="34" borderId="1" xfId="0" applyFont="1" applyFill="1" applyBorder="1" applyAlignment="1">
      <alignment horizontal="center" vertical="center" wrapText="1"/>
    </xf>
    <xf numFmtId="165" fontId="7" fillId="6" borderId="1" xfId="0" applyNumberFormat="1" applyFont="1" applyFill="1" applyBorder="1" applyAlignment="1">
      <alignment horizontal="center" vertical="center"/>
    </xf>
    <xf numFmtId="0" fontId="27" fillId="8" borderId="1" xfId="0" applyFont="1" applyFill="1" applyBorder="1" applyAlignment="1">
      <alignment horizontal="center" vertical="center" wrapText="1"/>
    </xf>
    <xf numFmtId="0" fontId="28" fillId="8" borderId="1" xfId="0" applyFont="1" applyFill="1" applyBorder="1" applyAlignment="1">
      <alignment horizontal="center" vertical="center" wrapText="1"/>
    </xf>
    <xf numFmtId="0" fontId="27" fillId="8" borderId="1" xfId="0" applyFont="1" applyFill="1" applyBorder="1" applyAlignment="1">
      <alignment horizontal="center" vertical="center"/>
    </xf>
    <xf numFmtId="0" fontId="7" fillId="0" borderId="1" xfId="0" applyFont="1" applyBorder="1" applyAlignment="1">
      <alignment horizontal="center" vertical="center"/>
    </xf>
    <xf numFmtId="0" fontId="6" fillId="22" borderId="1" xfId="0" applyFont="1" applyFill="1" applyBorder="1" applyAlignment="1">
      <alignment horizontal="center" vertical="center" wrapText="1"/>
    </xf>
    <xf numFmtId="0" fontId="6" fillId="39"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0" fillId="30" borderId="1" xfId="0" applyFont="1" applyFill="1" applyBorder="1" applyAlignment="1">
      <alignment horizontal="center" vertical="center" wrapText="1"/>
    </xf>
    <xf numFmtId="0" fontId="7" fillId="16" borderId="1" xfId="0" applyFont="1" applyFill="1" applyBorder="1" applyAlignment="1">
      <alignment horizontal="center" vertical="center"/>
    </xf>
    <xf numFmtId="0" fontId="29" fillId="0" borderId="1" xfId="0" applyFont="1" applyBorder="1" applyAlignment="1">
      <alignment horizontal="center" vertical="center" wrapText="1"/>
    </xf>
    <xf numFmtId="0" fontId="6" fillId="40" borderId="1" xfId="0" applyFont="1" applyFill="1" applyBorder="1" applyAlignment="1">
      <alignment horizontal="center" vertical="center" wrapText="1"/>
    </xf>
    <xf numFmtId="0" fontId="30" fillId="0" borderId="1" xfId="0" applyFont="1" applyBorder="1" applyAlignment="1">
      <alignment horizontal="center" vertical="center"/>
    </xf>
    <xf numFmtId="0" fontId="7" fillId="19" borderId="1" xfId="0" applyFont="1" applyFill="1" applyBorder="1" applyAlignment="1">
      <alignment horizontal="center" vertical="center"/>
    </xf>
    <xf numFmtId="0" fontId="31" fillId="41"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0" fontId="13" fillId="41" borderId="1" xfId="0" applyFont="1" applyFill="1" applyBorder="1" applyAlignment="1">
      <alignment horizontal="center" vertical="center" wrapText="1"/>
    </xf>
    <xf numFmtId="0" fontId="7" fillId="30" borderId="1" xfId="0" applyFont="1" applyFill="1" applyBorder="1" applyAlignment="1">
      <alignment horizontal="center" vertical="center"/>
    </xf>
    <xf numFmtId="0" fontId="7" fillId="21" borderId="1" xfId="0" applyFont="1" applyFill="1" applyBorder="1" applyAlignment="1">
      <alignment horizontal="center" vertical="center" wrapText="1"/>
    </xf>
    <xf numFmtId="165" fontId="21" fillId="6" borderId="4" xfId="0" applyNumberFormat="1" applyFont="1" applyFill="1" applyBorder="1" applyAlignment="1">
      <alignment horizontal="center" vertical="center" wrapText="1"/>
    </xf>
    <xf numFmtId="0" fontId="11" fillId="8" borderId="4"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5" fillId="42" borderId="1" xfId="0" applyFont="1" applyFill="1" applyBorder="1" applyAlignment="1">
      <alignment horizontal="center" vertical="center" wrapText="1"/>
    </xf>
    <xf numFmtId="0" fontId="5" fillId="16" borderId="1" xfId="0" applyFont="1" applyFill="1" applyBorder="1" applyAlignment="1">
      <alignment horizontal="center" vertical="center"/>
    </xf>
    <xf numFmtId="0" fontId="5" fillId="6" borderId="12" xfId="0" applyFont="1" applyFill="1" applyBorder="1" applyAlignment="1">
      <alignment horizontal="center" vertical="center" wrapText="1"/>
    </xf>
    <xf numFmtId="0" fontId="5" fillId="19" borderId="7" xfId="0" applyFont="1" applyFill="1" applyBorder="1" applyAlignment="1">
      <alignment horizontal="center" vertical="center" wrapText="1"/>
    </xf>
    <xf numFmtId="0" fontId="5" fillId="43" borderId="1" xfId="0" applyFont="1" applyFill="1" applyBorder="1" applyAlignment="1">
      <alignment horizontal="center" vertical="center" wrapText="1"/>
    </xf>
    <xf numFmtId="0" fontId="5" fillId="40"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7" fillId="16"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13" fillId="8" borderId="13" xfId="0" applyFont="1" applyFill="1" applyBorder="1" applyAlignment="1">
      <alignment horizontal="center" vertical="center" wrapText="1"/>
    </xf>
    <xf numFmtId="0" fontId="7" fillId="30" borderId="1" xfId="0" applyFont="1" applyFill="1" applyBorder="1" applyAlignment="1">
      <alignment horizontal="center" vertical="center" wrapText="1"/>
    </xf>
    <xf numFmtId="0" fontId="33" fillId="0" borderId="2" xfId="0" applyFont="1" applyBorder="1" applyAlignment="1">
      <alignment vertical="center" wrapText="1"/>
    </xf>
    <xf numFmtId="0" fontId="31" fillId="44" borderId="1" xfId="0" applyFont="1" applyFill="1" applyBorder="1" applyAlignment="1">
      <alignment horizontal="center" vertical="center" wrapText="1"/>
    </xf>
    <xf numFmtId="0" fontId="5" fillId="45"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27" borderId="1" xfId="0" applyFont="1" applyFill="1" applyBorder="1" applyAlignment="1">
      <alignment horizontal="center" vertical="center" wrapText="1"/>
    </xf>
    <xf numFmtId="0" fontId="34" fillId="0" borderId="1" xfId="0" applyFont="1" applyBorder="1" applyAlignment="1">
      <alignment horizontal="center" vertical="center" wrapText="1"/>
    </xf>
    <xf numFmtId="164" fontId="35" fillId="7" borderId="1" xfId="0" applyNumberFormat="1" applyFont="1" applyFill="1" applyBorder="1"/>
    <xf numFmtId="0" fontId="36" fillId="44"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37" fillId="8" borderId="1"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5" fillId="46" borderId="1" xfId="0" applyFont="1" applyFill="1" applyBorder="1" applyAlignment="1">
      <alignment horizontal="center" vertical="center" wrapText="1"/>
    </xf>
    <xf numFmtId="0" fontId="34" fillId="21" borderId="1" xfId="0" applyFont="1" applyFill="1" applyBorder="1" applyAlignment="1">
      <alignment horizontal="center" vertical="center" wrapText="1"/>
    </xf>
    <xf numFmtId="0" fontId="21" fillId="41" borderId="1" xfId="0" applyFont="1" applyFill="1" applyBorder="1" applyAlignment="1">
      <alignment horizontal="center" vertical="center" wrapText="1"/>
    </xf>
    <xf numFmtId="167" fontId="34" fillId="0" borderId="1" xfId="0" applyNumberFormat="1" applyFont="1" applyBorder="1" applyAlignment="1">
      <alignment horizontal="center" vertical="center" wrapText="1"/>
    </xf>
    <xf numFmtId="167" fontId="7" fillId="0" borderId="1" xfId="0" applyNumberFormat="1" applyFont="1" applyBorder="1" applyAlignment="1">
      <alignment horizontal="center" vertical="center"/>
    </xf>
    <xf numFmtId="167" fontId="5" fillId="0" borderId="1" xfId="0" applyNumberFormat="1" applyFont="1" applyBorder="1" applyAlignment="1">
      <alignment horizontal="center" vertical="center" wrapText="1"/>
    </xf>
    <xf numFmtId="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0" fontId="5" fillId="23" borderId="1" xfId="0" applyFont="1" applyFill="1" applyBorder="1" applyAlignment="1">
      <alignment horizontal="center" vertical="center" wrapText="1"/>
    </xf>
    <xf numFmtId="0" fontId="38" fillId="24" borderId="1" xfId="0" applyFont="1" applyFill="1" applyBorder="1" applyAlignment="1">
      <alignment horizontal="center" vertical="center" wrapText="1"/>
    </xf>
    <xf numFmtId="0" fontId="39" fillId="0" borderId="1" xfId="0" applyFont="1" applyBorder="1" applyAlignment="1">
      <alignment horizontal="center" vertical="center" wrapText="1"/>
    </xf>
    <xf numFmtId="0" fontId="34" fillId="16" borderId="1" xfId="0" applyFont="1" applyFill="1" applyBorder="1" applyAlignment="1">
      <alignment horizontal="center" vertical="center"/>
    </xf>
    <xf numFmtId="165" fontId="7" fillId="6" borderId="1" xfId="0" applyNumberFormat="1" applyFont="1" applyFill="1" applyBorder="1" applyAlignment="1">
      <alignment horizontal="center" vertical="center" wrapText="1"/>
    </xf>
    <xf numFmtId="0" fontId="6" fillId="47"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27" fillId="0" borderId="1" xfId="0" applyFont="1" applyBorder="1" applyAlignment="1">
      <alignment horizontal="center" vertical="center"/>
    </xf>
    <xf numFmtId="1" fontId="6" fillId="0" borderId="1" xfId="0" applyNumberFormat="1" applyFont="1" applyBorder="1" applyAlignment="1">
      <alignment horizontal="center" vertical="center" wrapText="1"/>
    </xf>
    <xf numFmtId="0" fontId="7" fillId="41" borderId="1" xfId="0" applyFont="1" applyFill="1" applyBorder="1" applyAlignment="1">
      <alignment horizontal="center" vertical="center"/>
    </xf>
    <xf numFmtId="0" fontId="25" fillId="16" borderId="1" xfId="0" applyFont="1" applyFill="1" applyBorder="1" applyAlignment="1">
      <alignment horizontal="center" vertical="center" wrapText="1"/>
    </xf>
    <xf numFmtId="0" fontId="20" fillId="7" borderId="1" xfId="0" applyFont="1" applyFill="1" applyBorder="1" applyAlignment="1">
      <alignment horizontal="center" wrapText="1"/>
    </xf>
    <xf numFmtId="0" fontId="7" fillId="6" borderId="1" xfId="0" applyFont="1" applyFill="1" applyBorder="1" applyAlignment="1">
      <alignment horizontal="center" vertical="center" wrapText="1"/>
    </xf>
    <xf numFmtId="0" fontId="6" fillId="16" borderId="1" xfId="0" applyFont="1" applyFill="1" applyBorder="1" applyAlignment="1">
      <alignment horizontal="center"/>
    </xf>
    <xf numFmtId="0" fontId="7" fillId="21" borderId="1" xfId="0" applyFont="1" applyFill="1" applyBorder="1" applyAlignment="1">
      <alignment horizontal="center" vertical="center"/>
    </xf>
    <xf numFmtId="0" fontId="6" fillId="6" borderId="1" xfId="0" applyFont="1" applyFill="1" applyBorder="1" applyAlignment="1">
      <alignment horizontal="center" wrapText="1"/>
    </xf>
    <xf numFmtId="0" fontId="20" fillId="18" borderId="1" xfId="0" applyFont="1" applyFill="1" applyBorder="1" applyAlignment="1">
      <alignment horizontal="center" wrapText="1"/>
    </xf>
    <xf numFmtId="0" fontId="26" fillId="48" borderId="1" xfId="0" applyFont="1" applyFill="1" applyBorder="1" applyAlignment="1">
      <alignment horizontal="center" wrapText="1"/>
    </xf>
    <xf numFmtId="0" fontId="6" fillId="30" borderId="1" xfId="0" applyFont="1" applyFill="1" applyBorder="1" applyAlignment="1">
      <alignment horizontal="center" wrapText="1"/>
    </xf>
    <xf numFmtId="0" fontId="6" fillId="21" borderId="1" xfId="0" applyFont="1" applyFill="1" applyBorder="1" applyAlignment="1">
      <alignment horizontal="center" wrapText="1"/>
    </xf>
    <xf numFmtId="14" fontId="6" fillId="0" borderId="1" xfId="0" applyNumberFormat="1" applyFont="1" applyBorder="1" applyAlignment="1">
      <alignment horizontal="center" wrapText="1"/>
    </xf>
    <xf numFmtId="0" fontId="26" fillId="0" borderId="2" xfId="0" applyFont="1" applyBorder="1"/>
    <xf numFmtId="0" fontId="26" fillId="0" borderId="0" xfId="0" applyFont="1"/>
    <xf numFmtId="0" fontId="7" fillId="49" borderId="1" xfId="0" applyFont="1" applyFill="1" applyBorder="1" applyAlignment="1">
      <alignment horizontal="center" vertical="center" wrapText="1"/>
    </xf>
    <xf numFmtId="0" fontId="7" fillId="35" borderId="1" xfId="0" applyFont="1" applyFill="1" applyBorder="1" applyAlignment="1">
      <alignment horizontal="center" vertical="center"/>
    </xf>
    <xf numFmtId="0" fontId="31" fillId="7"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0" fontId="40" fillId="11" borderId="1" xfId="0" applyFont="1" applyFill="1" applyBorder="1" applyAlignment="1">
      <alignment horizontal="center" vertical="center" wrapText="1"/>
    </xf>
    <xf numFmtId="0" fontId="41" fillId="44" borderId="1" xfId="0" applyFont="1" applyFill="1" applyBorder="1" applyAlignment="1">
      <alignment horizontal="center" vertical="center" wrapText="1"/>
    </xf>
    <xf numFmtId="167" fontId="5" fillId="19" borderId="1" xfId="0" applyNumberFormat="1" applyFont="1" applyFill="1" applyBorder="1" applyAlignment="1">
      <alignment horizontal="center" vertical="center" wrapText="1"/>
    </xf>
    <xf numFmtId="0" fontId="5" fillId="34" borderId="1" xfId="0" applyFont="1" applyFill="1" applyBorder="1" applyAlignment="1">
      <alignment horizontal="center" vertical="center"/>
    </xf>
    <xf numFmtId="1" fontId="42" fillId="0" borderId="1" xfId="0" applyNumberFormat="1" applyFont="1" applyBorder="1" applyAlignment="1">
      <alignment horizontal="center" vertical="center" wrapText="1"/>
    </xf>
    <xf numFmtId="0" fontId="6" fillId="11" borderId="7"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27" fillId="21" borderId="1" xfId="0" applyFont="1" applyFill="1" applyBorder="1" applyAlignment="1">
      <alignment horizontal="center" vertical="center"/>
    </xf>
    <xf numFmtId="0" fontId="24" fillId="0" borderId="14" xfId="0" applyFont="1" applyBorder="1" applyAlignment="1">
      <alignment horizontal="center" vertical="center"/>
    </xf>
    <xf numFmtId="0" fontId="8" fillId="0" borderId="15" xfId="0" applyFont="1" applyBorder="1"/>
    <xf numFmtId="0" fontId="5" fillId="38" borderId="1" xfId="0" applyFont="1" applyFill="1" applyBorder="1" applyAlignment="1">
      <alignment horizontal="center" vertical="center" wrapText="1"/>
    </xf>
    <xf numFmtId="0" fontId="7" fillId="37" borderId="1" xfId="0" applyFont="1" applyFill="1" applyBorder="1" applyAlignment="1">
      <alignment horizontal="center" vertical="center" wrapText="1"/>
    </xf>
    <xf numFmtId="167" fontId="7"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0" fontId="33" fillId="0" borderId="0" xfId="0" applyFont="1" applyAlignment="1">
      <alignment vertical="center" wrapText="1"/>
    </xf>
    <xf numFmtId="166" fontId="7" fillId="0" borderId="1" xfId="0" applyNumberFormat="1" applyFont="1" applyBorder="1" applyAlignment="1">
      <alignment horizontal="center" vertical="center" wrapText="1"/>
    </xf>
    <xf numFmtId="165" fontId="4" fillId="6" borderId="1" xfId="0" applyNumberFormat="1" applyFont="1" applyFill="1" applyBorder="1" applyAlignment="1">
      <alignment horizontal="center" vertical="center"/>
    </xf>
    <xf numFmtId="0" fontId="10" fillId="50" borderId="1" xfId="0" applyFont="1" applyFill="1" applyBorder="1" applyAlignment="1">
      <alignment horizontal="center" vertical="center" wrapText="1"/>
    </xf>
    <xf numFmtId="0" fontId="5" fillId="47" borderId="1" xfId="0" applyFont="1" applyFill="1" applyBorder="1" applyAlignment="1">
      <alignment horizontal="center" vertical="center" wrapText="1"/>
    </xf>
    <xf numFmtId="0" fontId="21" fillId="51" borderId="1" xfId="0" applyFont="1" applyFill="1" applyBorder="1" applyAlignment="1">
      <alignment horizontal="center" vertical="center" wrapText="1"/>
    </xf>
    <xf numFmtId="1" fontId="44" fillId="6" borderId="1" xfId="0" applyNumberFormat="1" applyFont="1" applyFill="1" applyBorder="1" applyAlignment="1">
      <alignment horizontal="center" vertical="center" wrapText="1"/>
    </xf>
    <xf numFmtId="0" fontId="10" fillId="52" borderId="1" xfId="0" applyFont="1" applyFill="1" applyBorder="1" applyAlignment="1">
      <alignment horizontal="center" vertical="center" wrapText="1"/>
    </xf>
    <xf numFmtId="165" fontId="45" fillId="6" borderId="1" xfId="0" applyNumberFormat="1" applyFont="1" applyFill="1" applyBorder="1" applyAlignment="1">
      <alignment horizontal="center" vertical="center"/>
    </xf>
    <xf numFmtId="0" fontId="7" fillId="8" borderId="1" xfId="0" applyFont="1" applyFill="1" applyBorder="1" applyAlignment="1">
      <alignment horizontal="center" vertical="center" wrapText="1"/>
    </xf>
    <xf numFmtId="0" fontId="46" fillId="8" borderId="1" xfId="0" applyFont="1" applyFill="1" applyBorder="1" applyAlignment="1">
      <alignment horizontal="center" vertical="center" wrapText="1"/>
    </xf>
    <xf numFmtId="0" fontId="7" fillId="22" borderId="1" xfId="0" applyFont="1" applyFill="1" applyBorder="1" applyAlignment="1">
      <alignment horizontal="center" vertical="center" wrapText="1"/>
    </xf>
    <xf numFmtId="165" fontId="47" fillId="6"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7" fillId="37" borderId="1" xfId="0" applyFont="1" applyFill="1" applyBorder="1" applyAlignment="1">
      <alignment horizontal="center" vertical="center"/>
    </xf>
    <xf numFmtId="0" fontId="4" fillId="0" borderId="1" xfId="0" applyFont="1" applyBorder="1" applyAlignment="1">
      <alignment horizontal="center" wrapText="1"/>
    </xf>
    <xf numFmtId="0" fontId="8" fillId="0" borderId="2" xfId="0" applyFont="1" applyBorder="1"/>
    <xf numFmtId="0" fontId="21" fillId="0" borderId="4" xfId="0" applyFont="1" applyBorder="1" applyAlignment="1">
      <alignment horizontal="center" vertical="center" wrapText="1"/>
    </xf>
    <xf numFmtId="0" fontId="5" fillId="12" borderId="1" xfId="0" applyFont="1" applyFill="1" applyBorder="1" applyAlignment="1">
      <alignment horizontal="center" vertical="center" wrapText="1"/>
    </xf>
    <xf numFmtId="0" fontId="8" fillId="0" borderId="0" xfId="0" applyFont="1" applyAlignment="1">
      <alignment horizontal="center" vertical="center" wrapText="1"/>
    </xf>
    <xf numFmtId="0" fontId="6" fillId="51" borderId="1" xfId="0" applyFont="1" applyFill="1" applyBorder="1" applyAlignment="1">
      <alignment horizontal="center" vertical="center"/>
    </xf>
    <xf numFmtId="0" fontId="5" fillId="53" borderId="1" xfId="0" applyFont="1" applyFill="1" applyBorder="1" applyAlignment="1">
      <alignment horizontal="center" vertical="center" wrapText="1"/>
    </xf>
    <xf numFmtId="0" fontId="6" fillId="0" borderId="1" xfId="0" applyFont="1" applyBorder="1" applyAlignment="1">
      <alignment horizontal="center" vertical="center"/>
    </xf>
    <xf numFmtId="165" fontId="48" fillId="6" borderId="1" xfId="0" applyNumberFormat="1" applyFont="1" applyFill="1" applyBorder="1" applyAlignment="1">
      <alignment horizontal="center" vertical="center"/>
    </xf>
    <xf numFmtId="0" fontId="34" fillId="0" borderId="0" xfId="0" applyFont="1" applyAlignment="1">
      <alignment horizontal="center" vertical="center" wrapText="1"/>
    </xf>
    <xf numFmtId="0" fontId="49" fillId="0" borderId="1" xfId="0" applyFont="1" applyBorder="1"/>
    <xf numFmtId="0" fontId="5" fillId="16" borderId="1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8" xfId="0" applyFont="1" applyBorder="1" applyAlignment="1">
      <alignment horizontal="center" vertical="center" wrapText="1"/>
    </xf>
    <xf numFmtId="0" fontId="19" fillId="47" borderId="1" xfId="0" applyFont="1" applyFill="1" applyBorder="1" applyAlignment="1">
      <alignment horizontal="center" vertical="center" wrapText="1"/>
    </xf>
    <xf numFmtId="0" fontId="50" fillId="0" borderId="1"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 xfId="0" applyFont="1" applyBorder="1"/>
    <xf numFmtId="0" fontId="5" fillId="0" borderId="9" xfId="0" applyFont="1" applyBorder="1" applyAlignment="1">
      <alignment horizontal="center" vertical="center" wrapText="1"/>
    </xf>
    <xf numFmtId="0" fontId="5" fillId="0" borderId="7" xfId="0" applyFont="1" applyBorder="1" applyAlignment="1">
      <alignment horizontal="center" vertical="center" wrapText="1"/>
    </xf>
    <xf numFmtId="0" fontId="21" fillId="9" borderId="9" xfId="0" applyFont="1" applyFill="1" applyBorder="1" applyAlignment="1">
      <alignment horizontal="center" vertical="center" wrapText="1"/>
    </xf>
    <xf numFmtId="0" fontId="16" fillId="0" borderId="11" xfId="0" applyFont="1" applyBorder="1" applyAlignment="1">
      <alignment horizontal="center" vertical="center" wrapText="1"/>
    </xf>
    <xf numFmtId="0" fontId="26" fillId="0" borderId="5" xfId="0" applyFont="1" applyBorder="1" applyAlignment="1">
      <alignment vertical="center"/>
    </xf>
    <xf numFmtId="0" fontId="26" fillId="0" borderId="0" xfId="0" applyFont="1" applyAlignment="1">
      <alignment vertical="center"/>
    </xf>
    <xf numFmtId="0" fontId="5" fillId="0" borderId="1" xfId="0" applyFont="1" applyBorder="1" applyAlignment="1">
      <alignment horizontal="center" vertical="center"/>
    </xf>
    <xf numFmtId="0" fontId="51" fillId="0" borderId="1" xfId="0" applyFont="1" applyBorder="1" applyAlignment="1">
      <alignment horizontal="center" vertical="center" wrapText="1"/>
    </xf>
    <xf numFmtId="0" fontId="5" fillId="16" borderId="14" xfId="0" applyFont="1" applyFill="1" applyBorder="1" applyAlignment="1">
      <alignment horizontal="center" vertical="center"/>
    </xf>
    <xf numFmtId="165" fontId="52" fillId="6" borderId="1" xfId="0" applyNumberFormat="1" applyFont="1" applyFill="1" applyBorder="1" applyAlignment="1">
      <alignment horizontal="center" vertical="center"/>
    </xf>
    <xf numFmtId="0" fontId="53" fillId="8" borderId="1"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33" fillId="0" borderId="15" xfId="0" applyFont="1" applyBorder="1" applyAlignment="1">
      <alignment wrapText="1"/>
    </xf>
    <xf numFmtId="0" fontId="21" fillId="21" borderId="1" xfId="0" applyFont="1" applyFill="1" applyBorder="1" applyAlignment="1">
      <alignment horizontal="center" vertical="center" wrapText="1"/>
    </xf>
    <xf numFmtId="0" fontId="5" fillId="0" borderId="15" xfId="0" applyFont="1" applyBorder="1" applyAlignment="1">
      <alignment horizontal="center" vertical="center" wrapText="1"/>
    </xf>
    <xf numFmtId="0" fontId="7" fillId="6" borderId="1" xfId="0" applyFont="1" applyFill="1" applyBorder="1" applyAlignment="1">
      <alignment horizontal="center" vertical="center"/>
    </xf>
    <xf numFmtId="0" fontId="6" fillId="0" borderId="8" xfId="0" applyFont="1" applyBorder="1" applyAlignment="1">
      <alignment horizontal="center" vertical="center" wrapText="1"/>
    </xf>
    <xf numFmtId="0" fontId="33" fillId="0" borderId="15" xfId="0" applyFont="1" applyBorder="1" applyAlignment="1">
      <alignment vertical="center" wrapText="1"/>
    </xf>
    <xf numFmtId="1" fontId="54" fillId="6" borderId="4" xfId="0" applyNumberFormat="1" applyFont="1" applyFill="1" applyBorder="1" applyAlignment="1">
      <alignment horizontal="center" vertical="center" wrapText="1"/>
    </xf>
    <xf numFmtId="0" fontId="17" fillId="8" borderId="1" xfId="0" applyFont="1" applyFill="1" applyBorder="1" applyAlignment="1">
      <alignment horizontal="center" wrapText="1"/>
    </xf>
    <xf numFmtId="0" fontId="6" fillId="55" borderId="1" xfId="0" applyFont="1" applyFill="1" applyBorder="1" applyAlignment="1">
      <alignment horizontal="center" vertical="center" wrapText="1"/>
    </xf>
    <xf numFmtId="0" fontId="10" fillId="41" borderId="1" xfId="0" applyFont="1" applyFill="1" applyBorder="1" applyAlignment="1">
      <alignment horizontal="center" vertical="center" wrapText="1"/>
    </xf>
    <xf numFmtId="0" fontId="10" fillId="7" borderId="4" xfId="0" applyFont="1" applyFill="1" applyBorder="1" applyAlignment="1">
      <alignment horizontal="center" vertical="center" wrapText="1"/>
    </xf>
    <xf numFmtId="14" fontId="5" fillId="0" borderId="8" xfId="0" applyNumberFormat="1" applyFont="1" applyBorder="1" applyAlignment="1">
      <alignment horizontal="center" vertical="center" wrapText="1"/>
    </xf>
    <xf numFmtId="165" fontId="55" fillId="6" borderId="1" xfId="0" applyNumberFormat="1" applyFont="1" applyFill="1" applyBorder="1" applyAlignment="1">
      <alignment horizontal="center" vertical="center"/>
    </xf>
    <xf numFmtId="0" fontId="4" fillId="56" borderId="1" xfId="0" applyFont="1" applyFill="1" applyBorder="1" applyAlignment="1">
      <alignment horizontal="center" vertical="center" wrapText="1"/>
    </xf>
    <xf numFmtId="0" fontId="46" fillId="0" borderId="1" xfId="0" applyFont="1" applyBorder="1" applyAlignment="1">
      <alignment horizontal="center" vertical="center" wrapText="1"/>
    </xf>
    <xf numFmtId="0" fontId="6" fillId="20" borderId="1" xfId="0" applyFont="1" applyFill="1" applyBorder="1" applyAlignment="1">
      <alignment horizontal="center" vertical="center" wrapText="1"/>
    </xf>
    <xf numFmtId="0" fontId="6" fillId="56" borderId="4" xfId="0" applyFont="1" applyFill="1" applyBorder="1" applyAlignment="1">
      <alignment horizontal="center" vertical="center" wrapText="1"/>
    </xf>
    <xf numFmtId="0" fontId="4" fillId="0" borderId="1" xfId="0" applyFont="1" applyBorder="1" applyAlignment="1">
      <alignment horizontal="center" vertical="center"/>
    </xf>
    <xf numFmtId="0" fontId="57" fillId="50" borderId="1" xfId="0" applyFont="1" applyFill="1" applyBorder="1" applyAlignment="1">
      <alignment horizontal="center" vertical="center"/>
    </xf>
    <xf numFmtId="0" fontId="58" fillId="0" borderId="1" xfId="0" applyFont="1" applyBorder="1" applyAlignment="1">
      <alignment horizontal="center" vertical="center" wrapText="1"/>
    </xf>
    <xf numFmtId="0" fontId="28" fillId="21" borderId="1" xfId="0" applyFont="1" applyFill="1" applyBorder="1" applyAlignment="1">
      <alignment horizontal="center" vertical="center"/>
    </xf>
    <xf numFmtId="0" fontId="5" fillId="0" borderId="14" xfId="0" applyFont="1" applyBorder="1" applyAlignment="1">
      <alignment horizontal="center" vertical="center" wrapText="1"/>
    </xf>
    <xf numFmtId="0" fontId="5" fillId="11" borderId="14" xfId="0" applyFont="1" applyFill="1" applyBorder="1" applyAlignment="1">
      <alignment horizontal="center" vertical="center" wrapText="1"/>
    </xf>
    <xf numFmtId="0" fontId="7" fillId="0" borderId="8" xfId="0" applyFont="1" applyBorder="1" applyAlignment="1">
      <alignment horizontal="center" vertical="center"/>
    </xf>
    <xf numFmtId="0" fontId="7" fillId="7" borderId="1" xfId="0" applyFont="1" applyFill="1" applyBorder="1" applyAlignment="1">
      <alignment horizontal="center" vertical="center"/>
    </xf>
    <xf numFmtId="167" fontId="7" fillId="0" borderId="8" xfId="0" applyNumberFormat="1" applyFont="1" applyBorder="1" applyAlignment="1">
      <alignment horizontal="center" vertical="center" wrapText="1"/>
    </xf>
    <xf numFmtId="0" fontId="19" fillId="18"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7" fillId="46" borderId="1" xfId="0" applyFont="1" applyFill="1" applyBorder="1" applyAlignment="1">
      <alignment horizontal="center" vertical="center"/>
    </xf>
    <xf numFmtId="0" fontId="26" fillId="0" borderId="1" xfId="0" applyFont="1" applyBorder="1" applyAlignment="1">
      <alignment horizontal="center" vertical="center"/>
    </xf>
    <xf numFmtId="14" fontId="26" fillId="0" borderId="1" xfId="0" applyNumberFormat="1" applyFont="1" applyBorder="1" applyAlignment="1">
      <alignment horizontal="center" vertical="center"/>
    </xf>
    <xf numFmtId="0" fontId="60" fillId="6" borderId="1" xfId="0" applyFont="1" applyFill="1" applyBorder="1" applyAlignment="1">
      <alignment horizontal="center" vertical="center" wrapText="1"/>
    </xf>
    <xf numFmtId="0" fontId="5" fillId="31" borderId="1" xfId="0" applyFont="1" applyFill="1" applyBorder="1" applyAlignment="1">
      <alignment horizontal="center" vertical="center" wrapText="1"/>
    </xf>
    <xf numFmtId="0" fontId="6" fillId="45" borderId="1" xfId="0" applyFont="1" applyFill="1" applyBorder="1" applyAlignment="1">
      <alignment horizontal="center" vertical="center" wrapText="1"/>
    </xf>
    <xf numFmtId="0" fontId="13" fillId="8" borderId="16" xfId="0" applyFont="1" applyFill="1" applyBorder="1" applyAlignment="1">
      <alignment horizontal="center" vertical="center" wrapText="1"/>
    </xf>
    <xf numFmtId="0" fontId="13" fillId="8" borderId="17" xfId="0" applyFont="1" applyFill="1" applyBorder="1" applyAlignment="1">
      <alignment horizontal="center" vertical="center" wrapText="1"/>
    </xf>
    <xf numFmtId="0" fontId="6" fillId="55" borderId="4"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24" fillId="0" borderId="18" xfId="0" applyFont="1" applyBorder="1" applyAlignment="1">
      <alignment horizontal="center" vertical="center"/>
    </xf>
    <xf numFmtId="0" fontId="62" fillId="8" borderId="1" xfId="0" applyFont="1" applyFill="1" applyBorder="1" applyAlignment="1">
      <alignment horizontal="center" vertical="center" wrapText="1"/>
    </xf>
    <xf numFmtId="0" fontId="5" fillId="19" borderId="19" xfId="0" applyFont="1" applyFill="1" applyBorder="1" applyAlignment="1">
      <alignment horizontal="center" vertical="center" wrapText="1"/>
    </xf>
    <xf numFmtId="0" fontId="25" fillId="27" borderId="4" xfId="0" applyFont="1" applyFill="1" applyBorder="1" applyAlignment="1">
      <alignment horizontal="center" vertical="center" wrapText="1"/>
    </xf>
    <xf numFmtId="14" fontId="6" fillId="0" borderId="20" xfId="0" applyNumberFormat="1" applyFont="1" applyBorder="1" applyAlignment="1">
      <alignment horizontal="center" vertical="center" wrapText="1"/>
    </xf>
    <xf numFmtId="0" fontId="4" fillId="16"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8" borderId="1" xfId="0" applyFont="1" applyFill="1" applyBorder="1" applyAlignment="1">
      <alignment horizontal="center" vertical="center" wrapText="1"/>
    </xf>
    <xf numFmtId="0" fontId="4" fillId="30" borderId="1" xfId="0" applyFont="1" applyFill="1" applyBorder="1" applyAlignment="1">
      <alignment horizontal="center" vertical="center"/>
    </xf>
    <xf numFmtId="167" fontId="6" fillId="0" borderId="1" xfId="0" applyNumberFormat="1" applyFont="1" applyBorder="1" applyAlignment="1">
      <alignment horizontal="center" vertical="center" wrapText="1"/>
    </xf>
    <xf numFmtId="0" fontId="63" fillId="8" borderId="1" xfId="0" applyFont="1" applyFill="1" applyBorder="1" applyAlignment="1">
      <alignment horizontal="center" vertical="center" wrapText="1"/>
    </xf>
    <xf numFmtId="0" fontId="64" fillId="8" borderId="1" xfId="0" applyFont="1" applyFill="1" applyBorder="1" applyAlignment="1">
      <alignment horizontal="center" vertical="center" wrapText="1"/>
    </xf>
    <xf numFmtId="0" fontId="6" fillId="57" borderId="1" xfId="0" applyFont="1" applyFill="1" applyBorder="1" applyAlignment="1">
      <alignment horizontal="center" vertical="center" wrapText="1"/>
    </xf>
    <xf numFmtId="0" fontId="8" fillId="0" borderId="0" xfId="0" applyFont="1" applyAlignment="1">
      <alignment horizontal="center" vertical="center"/>
    </xf>
    <xf numFmtId="0" fontId="25" fillId="0" borderId="1" xfId="0" applyFont="1" applyBorder="1" applyAlignment="1">
      <alignment horizontal="center" vertical="center" wrapText="1"/>
    </xf>
    <xf numFmtId="0" fontId="7" fillId="33" borderId="1" xfId="0" applyFont="1" applyFill="1" applyBorder="1" applyAlignment="1">
      <alignment horizontal="center" vertical="center"/>
    </xf>
    <xf numFmtId="0" fontId="5" fillId="58" borderId="1" xfId="0" applyFont="1" applyFill="1" applyBorder="1" applyAlignment="1">
      <alignment horizontal="center" vertical="center" wrapText="1"/>
    </xf>
    <xf numFmtId="0" fontId="65" fillId="21" borderId="1" xfId="0" applyFont="1" applyFill="1" applyBorder="1" applyAlignment="1">
      <alignment horizontal="center" vertical="center" wrapText="1"/>
    </xf>
    <xf numFmtId="0" fontId="10" fillId="0" borderId="4" xfId="0" applyFont="1" applyBorder="1" applyAlignment="1">
      <alignment horizontal="center" vertical="center" wrapText="1"/>
    </xf>
    <xf numFmtId="0" fontId="21" fillId="0" borderId="14" xfId="0" applyFont="1" applyBorder="1" applyAlignment="1">
      <alignment horizontal="center" vertical="center" wrapText="1"/>
    </xf>
    <xf numFmtId="0" fontId="13" fillId="8" borderId="7" xfId="0" applyFont="1" applyFill="1" applyBorder="1" applyAlignment="1">
      <alignment horizontal="center" vertical="center" wrapText="1"/>
    </xf>
    <xf numFmtId="0" fontId="6" fillId="18" borderId="7" xfId="0" applyFont="1" applyFill="1" applyBorder="1" applyAlignment="1">
      <alignment horizontal="center" vertical="center" wrapText="1"/>
    </xf>
    <xf numFmtId="166" fontId="5" fillId="0" borderId="14" xfId="0" applyNumberFormat="1" applyFont="1" applyBorder="1" applyAlignment="1">
      <alignment horizontal="center" vertical="center" wrapText="1"/>
    </xf>
    <xf numFmtId="0" fontId="5" fillId="59" borderId="1" xfId="0" applyFont="1" applyFill="1" applyBorder="1" applyAlignment="1">
      <alignment horizontal="center" vertical="center" wrapText="1"/>
    </xf>
    <xf numFmtId="0" fontId="7" fillId="35" borderId="1" xfId="0" applyFont="1" applyFill="1" applyBorder="1" applyAlignment="1">
      <alignment horizontal="center" vertical="center" wrapText="1"/>
    </xf>
    <xf numFmtId="0" fontId="13" fillId="33" borderId="1" xfId="0" applyFont="1" applyFill="1" applyBorder="1" applyAlignment="1">
      <alignment horizontal="center" vertical="center" wrapText="1"/>
    </xf>
    <xf numFmtId="0" fontId="13" fillId="8" borderId="12" xfId="0" applyFont="1" applyFill="1" applyBorder="1" applyAlignment="1">
      <alignment horizontal="center" vertical="center" wrapText="1"/>
    </xf>
    <xf numFmtId="0" fontId="5" fillId="0" borderId="12" xfId="0" applyFont="1" applyBorder="1" applyAlignment="1">
      <alignment horizontal="center" vertical="center" wrapText="1"/>
    </xf>
    <xf numFmtId="0" fontId="8" fillId="0" borderId="0" xfId="0" applyFont="1" applyAlignment="1">
      <alignment vertical="center" wrapText="1"/>
    </xf>
    <xf numFmtId="0" fontId="5" fillId="13" borderId="12" xfId="0" applyFont="1" applyFill="1" applyBorder="1" applyAlignment="1">
      <alignment horizontal="center" vertical="center" wrapText="1"/>
    </xf>
    <xf numFmtId="0" fontId="6" fillId="18" borderId="12"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26" borderId="1" xfId="0" applyFont="1" applyFill="1" applyBorder="1" applyAlignment="1">
      <alignment horizontal="center" vertical="center" wrapText="1"/>
    </xf>
    <xf numFmtId="0" fontId="7" fillId="60" borderId="1" xfId="0" applyFont="1" applyFill="1" applyBorder="1" applyAlignment="1">
      <alignment horizontal="center" vertical="center"/>
    </xf>
    <xf numFmtId="0" fontId="7" fillId="40" borderId="1" xfId="0" applyFont="1" applyFill="1" applyBorder="1" applyAlignment="1">
      <alignment horizontal="center" vertical="center"/>
    </xf>
    <xf numFmtId="0" fontId="7" fillId="36" borderId="1" xfId="0" applyFont="1" applyFill="1" applyBorder="1" applyAlignment="1">
      <alignment horizontal="center" vertical="center" wrapText="1"/>
    </xf>
    <xf numFmtId="165" fontId="66" fillId="6" borderId="1" xfId="0" applyNumberFormat="1" applyFont="1" applyFill="1" applyBorder="1" applyAlignment="1">
      <alignment horizontal="center" vertical="center"/>
    </xf>
    <xf numFmtId="166" fontId="5" fillId="21" borderId="1" xfId="0" applyNumberFormat="1" applyFont="1" applyFill="1" applyBorder="1" applyAlignment="1">
      <alignment horizontal="center" vertical="center" wrapText="1"/>
    </xf>
    <xf numFmtId="0" fontId="6" fillId="43" borderId="1" xfId="0" applyFont="1" applyFill="1" applyBorder="1" applyAlignment="1">
      <alignment horizontal="center" vertical="center" wrapText="1"/>
    </xf>
    <xf numFmtId="0" fontId="21" fillId="0" borderId="9" xfId="0" applyFont="1" applyBorder="1" applyAlignment="1">
      <alignment horizontal="center" vertical="center" wrapText="1"/>
    </xf>
    <xf numFmtId="164" fontId="6" fillId="0" borderId="8" xfId="0" applyNumberFormat="1" applyFont="1" applyBorder="1" applyAlignment="1">
      <alignment horizontal="center" vertical="center" wrapText="1"/>
    </xf>
    <xf numFmtId="0" fontId="5" fillId="9" borderId="4" xfId="0" applyFont="1" applyFill="1" applyBorder="1" applyAlignment="1">
      <alignment horizontal="center" vertical="center" wrapText="1"/>
    </xf>
    <xf numFmtId="0" fontId="5" fillId="0" borderId="11" xfId="0" applyFont="1" applyBorder="1" applyAlignment="1">
      <alignment horizontal="center" vertical="center" wrapText="1"/>
    </xf>
    <xf numFmtId="0" fontId="21" fillId="48" borderId="1" xfId="0" applyFont="1" applyFill="1" applyBorder="1" applyAlignment="1">
      <alignment horizontal="center" vertical="center" wrapText="1"/>
    </xf>
    <xf numFmtId="164" fontId="5" fillId="19" borderId="1" xfId="0" applyNumberFormat="1" applyFont="1" applyFill="1" applyBorder="1" applyAlignment="1">
      <alignment horizontal="center" vertical="center" wrapText="1"/>
    </xf>
    <xf numFmtId="165" fontId="5" fillId="6" borderId="1" xfId="0" applyNumberFormat="1" applyFont="1" applyFill="1" applyBorder="1" applyAlignment="1">
      <alignment horizontal="center" vertical="center" wrapText="1"/>
    </xf>
    <xf numFmtId="1" fontId="67" fillId="6" borderId="1"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0" fontId="68" fillId="0" borderId="1" xfId="0" applyFont="1" applyBorder="1" applyAlignment="1">
      <alignment horizontal="center" vertical="center" wrapText="1"/>
    </xf>
    <xf numFmtId="0" fontId="5" fillId="56"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164" fontId="69" fillId="7" borderId="1" xfId="0" applyNumberFormat="1" applyFont="1" applyFill="1" applyBorder="1" applyAlignment="1">
      <alignment horizontal="center" vertical="center" wrapText="1"/>
    </xf>
    <xf numFmtId="0" fontId="6" fillId="35" borderId="1" xfId="0" applyFont="1" applyFill="1" applyBorder="1" applyAlignment="1">
      <alignment horizontal="center" vertical="center" wrapText="1"/>
    </xf>
    <xf numFmtId="165" fontId="13" fillId="8" borderId="1" xfId="0" applyNumberFormat="1" applyFont="1" applyFill="1" applyBorder="1" applyAlignment="1">
      <alignment horizontal="center" vertical="center" wrapText="1"/>
    </xf>
    <xf numFmtId="0" fontId="8" fillId="48"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49" fillId="0" borderId="1" xfId="0" applyFont="1" applyBorder="1" applyAlignment="1">
      <alignment horizontal="center" vertical="center"/>
    </xf>
    <xf numFmtId="0" fontId="6" fillId="36"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10" fillId="61" borderId="1" xfId="0" applyFont="1" applyFill="1" applyBorder="1" applyAlignment="1">
      <alignment horizontal="center" vertical="center" wrapText="1"/>
    </xf>
    <xf numFmtId="0" fontId="71" fillId="0" borderId="1" xfId="0" applyFont="1" applyBorder="1" applyAlignment="1">
      <alignment horizontal="center" vertical="center" wrapText="1"/>
    </xf>
    <xf numFmtId="0" fontId="68" fillId="42" borderId="1" xfId="0" applyFont="1" applyFill="1" applyBorder="1" applyAlignment="1">
      <alignment horizontal="center" vertical="center" wrapText="1"/>
    </xf>
    <xf numFmtId="1" fontId="5" fillId="0" borderId="1" xfId="0" applyNumberFormat="1" applyFont="1" applyBorder="1" applyAlignment="1">
      <alignment horizontal="center" vertical="center" wrapText="1"/>
    </xf>
    <xf numFmtId="0" fontId="72" fillId="57" borderId="1" xfId="0" applyFont="1" applyFill="1" applyBorder="1" applyAlignment="1">
      <alignment horizontal="center" vertical="center" wrapText="1"/>
    </xf>
    <xf numFmtId="0" fontId="8" fillId="26" borderId="1" xfId="0" applyFont="1" applyFill="1" applyBorder="1" applyAlignment="1">
      <alignment horizontal="center" vertical="center" wrapText="1"/>
    </xf>
    <xf numFmtId="49" fontId="13" fillId="0" borderId="1" xfId="0" applyNumberFormat="1" applyFont="1" applyBorder="1" applyAlignment="1">
      <alignment horizontal="center" vertical="center" wrapText="1"/>
    </xf>
    <xf numFmtId="0" fontId="73" fillId="7"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7" fillId="41" borderId="1" xfId="0" applyFont="1" applyFill="1" applyBorder="1" applyAlignment="1">
      <alignment horizontal="center" vertical="center" wrapText="1"/>
    </xf>
    <xf numFmtId="0" fontId="5" fillId="57" borderId="1" xfId="0" applyFont="1" applyFill="1" applyBorder="1" applyAlignment="1">
      <alignment horizontal="center" vertical="center" wrapText="1"/>
    </xf>
    <xf numFmtId="0" fontId="15" fillId="14" borderId="4" xfId="0" applyFont="1" applyFill="1" applyBorder="1" applyAlignment="1">
      <alignment horizontal="center" vertical="center" wrapText="1"/>
    </xf>
    <xf numFmtId="0" fontId="5" fillId="0" borderId="22" xfId="0" applyFont="1" applyBorder="1" applyAlignment="1">
      <alignment horizontal="center" vertical="center" wrapText="1"/>
    </xf>
    <xf numFmtId="0" fontId="21" fillId="6" borderId="1" xfId="0" applyFont="1" applyFill="1" applyBorder="1" applyAlignment="1">
      <alignment horizontal="center" vertical="center" wrapText="1"/>
    </xf>
    <xf numFmtId="0" fontId="7" fillId="62" borderId="1" xfId="0" applyFont="1" applyFill="1" applyBorder="1" applyAlignment="1">
      <alignment horizontal="center" vertical="center"/>
    </xf>
    <xf numFmtId="0" fontId="6" fillId="58" borderId="1" xfId="0" applyFont="1" applyFill="1" applyBorder="1" applyAlignment="1">
      <alignment horizontal="center" vertical="center" wrapText="1"/>
    </xf>
    <xf numFmtId="0" fontId="5" fillId="63" borderId="1" xfId="0" applyFont="1" applyFill="1" applyBorder="1" applyAlignment="1">
      <alignment horizontal="center" vertical="center" wrapText="1"/>
    </xf>
    <xf numFmtId="0" fontId="68" fillId="7" borderId="1" xfId="0" applyFont="1" applyFill="1" applyBorder="1" applyAlignment="1">
      <alignment horizontal="center" vertical="center" wrapText="1"/>
    </xf>
    <xf numFmtId="166" fontId="6" fillId="0" borderId="1" xfId="0" applyNumberFormat="1" applyFont="1" applyBorder="1" applyAlignment="1">
      <alignment horizontal="center" vertical="center" wrapText="1"/>
    </xf>
    <xf numFmtId="0" fontId="5" fillId="13" borderId="4" xfId="0" applyFont="1" applyFill="1" applyBorder="1" applyAlignment="1">
      <alignment horizontal="center" vertical="center" wrapText="1"/>
    </xf>
    <xf numFmtId="0" fontId="75" fillId="7" borderId="1" xfId="0" applyFont="1" applyFill="1" applyBorder="1" applyAlignment="1">
      <alignment horizontal="center" vertical="center" wrapText="1"/>
    </xf>
    <xf numFmtId="1" fontId="76" fillId="6" borderId="4" xfId="0" applyNumberFormat="1" applyFont="1" applyFill="1" applyBorder="1" applyAlignment="1">
      <alignment horizontal="center" vertical="center" wrapText="1"/>
    </xf>
    <xf numFmtId="1" fontId="5" fillId="6" borderId="4" xfId="0" applyNumberFormat="1" applyFont="1" applyFill="1" applyBorder="1" applyAlignment="1">
      <alignment horizontal="center" vertical="center" wrapText="1"/>
    </xf>
    <xf numFmtId="0" fontId="5" fillId="43" borderId="4" xfId="0" applyFont="1" applyFill="1" applyBorder="1" applyAlignment="1">
      <alignment horizontal="center" vertical="center" wrapText="1"/>
    </xf>
    <xf numFmtId="0" fontId="19" fillId="6" borderId="12" xfId="0" applyFont="1" applyFill="1" applyBorder="1" applyAlignment="1">
      <alignment horizontal="center" vertical="center" wrapText="1"/>
    </xf>
    <xf numFmtId="0" fontId="6" fillId="0" borderId="23" xfId="0" applyFont="1" applyBorder="1" applyAlignment="1">
      <alignment horizontal="center" vertical="center" wrapText="1"/>
    </xf>
    <xf numFmtId="0" fontId="33" fillId="0" borderId="1" xfId="0" applyFont="1" applyBorder="1" applyAlignment="1">
      <alignment horizontal="center" vertical="center" wrapText="1"/>
    </xf>
    <xf numFmtId="0" fontId="68" fillId="4" borderId="1" xfId="0" applyFont="1" applyFill="1" applyBorder="1" applyAlignment="1">
      <alignment horizontal="center" vertical="center" wrapText="1"/>
    </xf>
    <xf numFmtId="0" fontId="5" fillId="23" borderId="4" xfId="0" applyFont="1" applyFill="1" applyBorder="1" applyAlignment="1">
      <alignment horizontal="center" vertical="center" wrapText="1"/>
    </xf>
    <xf numFmtId="0" fontId="5" fillId="37" borderId="4" xfId="0" applyFont="1" applyFill="1" applyBorder="1" applyAlignment="1">
      <alignment horizontal="center" vertical="center" wrapText="1"/>
    </xf>
    <xf numFmtId="0" fontId="5" fillId="31" borderId="4" xfId="0" applyFont="1" applyFill="1" applyBorder="1" applyAlignment="1">
      <alignment horizontal="center" vertical="center" wrapText="1"/>
    </xf>
    <xf numFmtId="0" fontId="5" fillId="52" borderId="1" xfId="0" applyFont="1" applyFill="1" applyBorder="1" applyAlignment="1">
      <alignment horizontal="center" vertical="center" wrapText="1"/>
    </xf>
    <xf numFmtId="0" fontId="21" fillId="41" borderId="4" xfId="0" applyFont="1" applyFill="1" applyBorder="1" applyAlignment="1">
      <alignment horizontal="center" vertical="center" wrapText="1"/>
    </xf>
    <xf numFmtId="0" fontId="8" fillId="18" borderId="12" xfId="0" applyFont="1" applyFill="1" applyBorder="1" applyAlignment="1">
      <alignment horizontal="center" vertical="center" wrapText="1"/>
    </xf>
    <xf numFmtId="0" fontId="33" fillId="0" borderId="15" xfId="0" applyFont="1" applyBorder="1" applyAlignment="1">
      <alignment horizontal="center" vertical="center" wrapText="1"/>
    </xf>
    <xf numFmtId="0" fontId="49" fillId="0" borderId="0" xfId="0" applyFont="1" applyAlignment="1">
      <alignment horizontal="center" vertical="center" wrapText="1"/>
    </xf>
    <xf numFmtId="0" fontId="18" fillId="14" borderId="4" xfId="0" applyFont="1" applyFill="1" applyBorder="1" applyAlignment="1">
      <alignment horizontal="center" vertical="center" wrapText="1"/>
    </xf>
    <xf numFmtId="0" fontId="6" fillId="0" borderId="10" xfId="0" applyFont="1" applyBorder="1" applyAlignment="1">
      <alignment horizontal="center" vertical="center" wrapText="1"/>
    </xf>
    <xf numFmtId="0" fontId="8" fillId="18" borderId="7" xfId="0" applyFont="1" applyFill="1" applyBorder="1" applyAlignment="1">
      <alignment horizontal="center" vertical="center" wrapText="1"/>
    </xf>
    <xf numFmtId="0" fontId="49" fillId="57" borderId="1" xfId="0" applyFont="1" applyFill="1" applyBorder="1" applyAlignment="1">
      <alignment horizontal="center" vertical="center"/>
    </xf>
    <xf numFmtId="0" fontId="4" fillId="15" borderId="1" xfId="0" applyFont="1" applyFill="1" applyBorder="1" applyAlignment="1">
      <alignment horizontal="center" vertical="center" wrapText="1"/>
    </xf>
    <xf numFmtId="0" fontId="27" fillId="41" borderId="1" xfId="0" applyFont="1" applyFill="1" applyBorder="1" applyAlignment="1">
      <alignment horizontal="center" vertical="center" wrapText="1"/>
    </xf>
    <xf numFmtId="0" fontId="34" fillId="0" borderId="12" xfId="0" applyFont="1" applyBorder="1" applyAlignment="1">
      <alignment horizontal="center" vertical="center" wrapText="1"/>
    </xf>
    <xf numFmtId="0" fontId="7" fillId="65" borderId="1" xfId="0" applyFont="1" applyFill="1" applyBorder="1" applyAlignment="1">
      <alignment horizontal="center" vertical="center" wrapText="1"/>
    </xf>
    <xf numFmtId="0" fontId="34" fillId="43" borderId="1" xfId="0" applyFont="1" applyFill="1" applyBorder="1" applyAlignment="1">
      <alignment horizontal="center" vertical="center" wrapText="1"/>
    </xf>
    <xf numFmtId="0" fontId="34" fillId="11"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5" fillId="11" borderId="9" xfId="0" applyFont="1" applyFill="1" applyBorder="1" applyAlignment="1">
      <alignment horizontal="center" vertical="center" wrapText="1"/>
    </xf>
    <xf numFmtId="0" fontId="26" fillId="0" borderId="2" xfId="0" applyFont="1" applyBorder="1" applyAlignment="1">
      <alignment vertical="center" wrapText="1"/>
    </xf>
    <xf numFmtId="0" fontId="26" fillId="0" borderId="0" xfId="0" applyFont="1" applyAlignment="1">
      <alignment vertical="center" wrapText="1"/>
    </xf>
    <xf numFmtId="0" fontId="5" fillId="45" borderId="4" xfId="0" applyFont="1" applyFill="1" applyBorder="1" applyAlignment="1">
      <alignment horizontal="center" vertical="center" wrapText="1"/>
    </xf>
    <xf numFmtId="0" fontId="8" fillId="18" borderId="9" xfId="0" applyFont="1" applyFill="1" applyBorder="1" applyAlignment="1">
      <alignment horizontal="center" vertical="center" wrapText="1"/>
    </xf>
    <xf numFmtId="0" fontId="12" fillId="8" borderId="9" xfId="0" applyFont="1" applyFill="1" applyBorder="1" applyAlignment="1">
      <alignment horizontal="center" vertical="center" wrapText="1"/>
    </xf>
    <xf numFmtId="0" fontId="6" fillId="11" borderId="9"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18" borderId="9" xfId="0" applyFont="1" applyFill="1" applyBorder="1" applyAlignment="1">
      <alignment horizontal="center" vertical="center" wrapText="1"/>
    </xf>
    <xf numFmtId="14" fontId="5" fillId="0" borderId="9" xfId="0" applyNumberFormat="1" applyFont="1" applyBorder="1" applyAlignment="1">
      <alignment horizontal="center" vertical="center" wrapText="1"/>
    </xf>
    <xf numFmtId="0" fontId="16" fillId="0" borderId="22" xfId="0" applyFont="1" applyBorder="1" applyAlignment="1">
      <alignment horizontal="center" vertical="center" wrapText="1"/>
    </xf>
    <xf numFmtId="0" fontId="19" fillId="6" borderId="7" xfId="0" applyFont="1" applyFill="1" applyBorder="1" applyAlignment="1">
      <alignment horizontal="center" vertical="center" wrapText="1"/>
    </xf>
    <xf numFmtId="0" fontId="11" fillId="8" borderId="7" xfId="0" applyFont="1" applyFill="1" applyBorder="1" applyAlignment="1">
      <alignment horizontal="center" vertical="center" wrapText="1"/>
    </xf>
    <xf numFmtId="0" fontId="79" fillId="8" borderId="1"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5" fillId="22" borderId="4" xfId="0" applyFont="1" applyFill="1" applyBorder="1" applyAlignment="1">
      <alignment horizontal="center" vertical="center" wrapText="1"/>
    </xf>
    <xf numFmtId="0" fontId="5" fillId="13" borderId="21" xfId="0" applyFont="1" applyFill="1" applyBorder="1" applyAlignment="1">
      <alignment horizontal="center" vertical="center" wrapText="1"/>
    </xf>
    <xf numFmtId="0" fontId="8" fillId="0" borderId="23" xfId="0" applyFont="1" applyBorder="1"/>
    <xf numFmtId="0" fontId="6" fillId="0" borderId="2" xfId="0" applyFont="1" applyBorder="1" applyAlignment="1">
      <alignment vertical="center" wrapText="1"/>
    </xf>
    <xf numFmtId="0" fontId="26" fillId="0" borderId="0" xfId="0" applyFont="1" applyAlignment="1">
      <alignment horizontal="center" vertical="center" wrapText="1"/>
    </xf>
    <xf numFmtId="0" fontId="5" fillId="3" borderId="1" xfId="0" applyFont="1" applyFill="1" applyBorder="1" applyAlignment="1">
      <alignment horizontal="center" vertical="center" wrapText="1"/>
    </xf>
    <xf numFmtId="0" fontId="6" fillId="66" borderId="1" xfId="0" applyFont="1" applyFill="1" applyBorder="1" applyAlignment="1">
      <alignment horizontal="center" vertical="center" wrapText="1"/>
    </xf>
    <xf numFmtId="1" fontId="6" fillId="33" borderId="1" xfId="0" applyNumberFormat="1" applyFont="1" applyFill="1" applyBorder="1" applyAlignment="1">
      <alignment horizontal="center" vertical="center" wrapText="1"/>
    </xf>
    <xf numFmtId="0" fontId="16" fillId="4" borderId="1" xfId="0" applyFont="1" applyFill="1" applyBorder="1" applyAlignment="1">
      <alignment horizontal="center" vertical="center" wrapText="1"/>
    </xf>
    <xf numFmtId="1" fontId="5" fillId="33" borderId="1" xfId="0" applyNumberFormat="1" applyFont="1" applyFill="1" applyBorder="1" applyAlignment="1">
      <alignment horizontal="center" vertical="center" wrapText="1"/>
    </xf>
    <xf numFmtId="1" fontId="80" fillId="33" borderId="1" xfId="0" applyNumberFormat="1" applyFont="1" applyFill="1" applyBorder="1" applyAlignment="1">
      <alignment horizontal="center" vertical="center" wrapText="1"/>
    </xf>
    <xf numFmtId="0" fontId="21" fillId="45"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2" fillId="0" borderId="6" xfId="0" applyFont="1" applyBorder="1"/>
    <xf numFmtId="1" fontId="54" fillId="6" borderId="1" xfId="0" applyNumberFormat="1" applyFont="1" applyFill="1" applyBorder="1" applyAlignment="1">
      <alignment horizontal="center" vertical="center" wrapText="1"/>
    </xf>
    <xf numFmtId="1" fontId="22" fillId="6" borderId="4" xfId="0" applyNumberFormat="1" applyFont="1" applyFill="1" applyBorder="1" applyAlignment="1">
      <alignment horizontal="center" vertical="center" wrapText="1"/>
    </xf>
    <xf numFmtId="1" fontId="76" fillId="6" borderId="1" xfId="0" applyNumberFormat="1" applyFont="1" applyFill="1" applyBorder="1" applyAlignment="1">
      <alignment horizontal="center" vertical="center" wrapText="1"/>
    </xf>
    <xf numFmtId="1" fontId="9" fillId="6" borderId="4" xfId="0" applyNumberFormat="1" applyFont="1" applyFill="1" applyBorder="1" applyAlignment="1">
      <alignment horizontal="center" vertical="center" wrapText="1"/>
    </xf>
    <xf numFmtId="1" fontId="78" fillId="6" borderId="1" xfId="0" applyNumberFormat="1" applyFont="1" applyFill="1" applyBorder="1" applyAlignment="1">
      <alignment horizontal="center" vertical="center" wrapText="1"/>
    </xf>
    <xf numFmtId="1" fontId="43" fillId="6" borderId="4" xfId="0" applyNumberFormat="1" applyFont="1" applyFill="1" applyBorder="1" applyAlignment="1">
      <alignment horizontal="center" vertical="center" wrapText="1"/>
    </xf>
    <xf numFmtId="165" fontId="7" fillId="6" borderId="0" xfId="0" applyNumberFormat="1" applyFont="1" applyFill="1" applyBorder="1" applyAlignment="1">
      <alignment horizontal="center" vertical="center" wrapText="1"/>
    </xf>
    <xf numFmtId="1" fontId="43" fillId="6" borderId="1" xfId="0" applyNumberFormat="1" applyFont="1" applyFill="1" applyBorder="1" applyAlignment="1">
      <alignment horizontal="center" vertical="center" wrapText="1"/>
    </xf>
    <xf numFmtId="165" fontId="61" fillId="6" borderId="0" xfId="0" applyNumberFormat="1" applyFont="1" applyFill="1" applyBorder="1" applyAlignment="1">
      <alignment horizontal="center" vertical="center"/>
    </xf>
    <xf numFmtId="165" fontId="7" fillId="6" borderId="0" xfId="0" applyNumberFormat="1" applyFont="1" applyFill="1" applyBorder="1" applyAlignment="1">
      <alignment horizontal="center" vertical="center"/>
    </xf>
    <xf numFmtId="1" fontId="6" fillId="33" borderId="4" xfId="0" applyNumberFormat="1" applyFont="1" applyFill="1" applyBorder="1" applyAlignment="1">
      <alignment horizontal="center" vertical="center" wrapText="1"/>
    </xf>
    <xf numFmtId="1" fontId="9" fillId="6" borderId="0" xfId="0" applyNumberFormat="1" applyFont="1" applyFill="1" applyBorder="1" applyAlignment="1">
      <alignment horizontal="center" vertical="center" wrapText="1"/>
    </xf>
    <xf numFmtId="0" fontId="6" fillId="56" borderId="1" xfId="0" applyFont="1" applyFill="1" applyBorder="1" applyAlignment="1">
      <alignment horizontal="center" vertical="center" wrapText="1"/>
    </xf>
    <xf numFmtId="0" fontId="6" fillId="54" borderId="1" xfId="0" applyFont="1" applyFill="1" applyBorder="1" applyAlignment="1">
      <alignment horizontal="center" vertical="center" wrapText="1"/>
    </xf>
    <xf numFmtId="1" fontId="22" fillId="6" borderId="0" xfId="0" applyNumberFormat="1" applyFont="1" applyFill="1" applyBorder="1" applyAlignment="1">
      <alignment horizontal="center" vertical="center" wrapText="1"/>
    </xf>
    <xf numFmtId="165" fontId="7" fillId="6" borderId="4" xfId="0" applyNumberFormat="1" applyFont="1" applyFill="1" applyBorder="1" applyAlignment="1">
      <alignment horizontal="center" vertical="center" wrapText="1"/>
    </xf>
    <xf numFmtId="1" fontId="76" fillId="6" borderId="0" xfId="0" applyNumberFormat="1" applyFont="1" applyFill="1" applyBorder="1" applyAlignment="1">
      <alignment horizontal="center" vertical="center" wrapText="1"/>
    </xf>
    <xf numFmtId="1" fontId="5" fillId="6" borderId="0" xfId="0" applyNumberFormat="1" applyFont="1" applyFill="1" applyBorder="1" applyAlignment="1">
      <alignment horizontal="center" vertical="center" wrapText="1"/>
    </xf>
    <xf numFmtId="165" fontId="7" fillId="6" borderId="4" xfId="0" applyNumberFormat="1" applyFont="1" applyFill="1" applyBorder="1" applyAlignment="1">
      <alignment horizontal="center" vertical="center"/>
    </xf>
    <xf numFmtId="0" fontId="10" fillId="0" borderId="0" xfId="0" applyFont="1" applyBorder="1" applyAlignment="1">
      <alignment horizontal="center" vertical="center" wrapText="1"/>
    </xf>
    <xf numFmtId="0" fontId="21" fillId="0" borderId="0" xfId="0" applyFont="1" applyBorder="1" applyAlignment="1">
      <alignment horizontal="center" vertical="center" wrapText="1"/>
    </xf>
    <xf numFmtId="0" fontId="21" fillId="7" borderId="0"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1" fillId="8" borderId="0" xfId="0" applyFont="1" applyFill="1" applyBorder="1" applyAlignment="1">
      <alignment horizontal="center" vertical="center" wrapText="1"/>
    </xf>
    <xf numFmtId="0" fontId="41" fillId="44" borderId="0" xfId="0" applyFont="1" applyFill="1" applyBorder="1" applyAlignment="1">
      <alignment horizontal="center" vertical="center" wrapText="1"/>
    </xf>
    <xf numFmtId="0" fontId="38" fillId="24" borderId="4" xfId="0" applyFont="1" applyFill="1" applyBorder="1" applyAlignment="1">
      <alignment horizontal="center" vertical="center" wrapText="1"/>
    </xf>
    <xf numFmtId="0" fontId="13" fillId="8" borderId="0" xfId="0" applyFont="1" applyFill="1" applyBorder="1" applyAlignment="1">
      <alignment horizontal="center" vertical="center" wrapText="1"/>
    </xf>
    <xf numFmtId="0" fontId="38" fillId="24" borderId="9" xfId="0" applyFont="1" applyFill="1" applyBorder="1" applyAlignment="1">
      <alignment horizontal="center" vertical="center" wrapText="1"/>
    </xf>
    <xf numFmtId="0" fontId="11" fillId="8" borderId="1" xfId="0" applyFont="1" applyFill="1" applyBorder="1" applyAlignment="1">
      <alignment horizontal="center" wrapText="1"/>
    </xf>
    <xf numFmtId="0" fontId="28" fillId="8" borderId="0" xfId="0" applyFont="1" applyFill="1" applyBorder="1" applyAlignment="1">
      <alignment horizontal="center" vertical="center" wrapText="1"/>
    </xf>
    <xf numFmtId="0" fontId="12" fillId="8" borderId="0" xfId="0" applyFont="1" applyFill="1" applyBorder="1" applyAlignment="1">
      <alignment horizontal="center" vertical="center" wrapText="1"/>
    </xf>
    <xf numFmtId="0" fontId="17" fillId="8" borderId="4" xfId="0" applyFont="1" applyFill="1" applyBorder="1" applyAlignment="1">
      <alignment horizontal="center" vertical="center" wrapText="1"/>
    </xf>
    <xf numFmtId="0" fontId="17" fillId="8" borderId="0" xfId="0" applyFont="1" applyFill="1" applyBorder="1" applyAlignment="1">
      <alignment horizontal="center" vertical="center" wrapText="1"/>
    </xf>
    <xf numFmtId="0" fontId="5" fillId="13" borderId="9" xfId="0" applyFont="1" applyFill="1" applyBorder="1" applyAlignment="1">
      <alignment horizontal="center" vertical="center" wrapText="1"/>
    </xf>
    <xf numFmtId="0" fontId="24" fillId="8" borderId="10" xfId="0" applyFont="1" applyFill="1" applyBorder="1" applyAlignment="1">
      <alignment vertical="center" wrapText="1"/>
    </xf>
    <xf numFmtId="0" fontId="5" fillId="13" borderId="0" xfId="0" applyFont="1" applyFill="1" applyBorder="1" applyAlignment="1">
      <alignment horizontal="center" vertical="center" wrapText="1"/>
    </xf>
    <xf numFmtId="0" fontId="6" fillId="13" borderId="4" xfId="0" applyFont="1" applyFill="1" applyBorder="1" applyAlignment="1">
      <alignment horizontal="center" vertical="center" wrapText="1"/>
    </xf>
    <xf numFmtId="0" fontId="7" fillId="13" borderId="9" xfId="0" applyFont="1" applyFill="1" applyBorder="1" applyAlignment="1">
      <alignment horizontal="center" vertical="center" wrapText="1"/>
    </xf>
    <xf numFmtId="0" fontId="5" fillId="9" borderId="0" xfId="0" applyFont="1" applyFill="1" applyBorder="1" applyAlignment="1">
      <alignment horizontal="center" vertical="center" wrapText="1"/>
    </xf>
    <xf numFmtId="0" fontId="24" fillId="8" borderId="13" xfId="0" applyFont="1" applyFill="1" applyBorder="1" applyAlignment="1">
      <alignment vertical="center" wrapText="1"/>
    </xf>
    <xf numFmtId="0" fontId="5" fillId="34" borderId="4" xfId="0" applyFont="1" applyFill="1" applyBorder="1" applyAlignment="1">
      <alignment horizontal="center" vertical="center" wrapText="1"/>
    </xf>
    <xf numFmtId="0" fontId="5" fillId="36" borderId="4"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6" fillId="34" borderId="4" xfId="0" applyFont="1" applyFill="1" applyBorder="1" applyAlignment="1">
      <alignment horizontal="center" vertical="center" wrapText="1"/>
    </xf>
    <xf numFmtId="0" fontId="5" fillId="34" borderId="12" xfId="0" applyFont="1" applyFill="1" applyBorder="1" applyAlignment="1">
      <alignment horizontal="center" vertical="center" wrapText="1"/>
    </xf>
    <xf numFmtId="0" fontId="5" fillId="10" borderId="12" xfId="0" applyFont="1" applyFill="1" applyBorder="1" applyAlignment="1">
      <alignment horizontal="center" vertical="center" wrapText="1"/>
    </xf>
    <xf numFmtId="0" fontId="15" fillId="14" borderId="0" xfId="0" applyFont="1" applyFill="1" applyBorder="1" applyAlignment="1">
      <alignment horizontal="center" vertical="center" wrapText="1"/>
    </xf>
    <xf numFmtId="0" fontId="5" fillId="34" borderId="0" xfId="0" applyFont="1" applyFill="1" applyBorder="1" applyAlignment="1">
      <alignment horizontal="center" vertical="center" wrapText="1"/>
    </xf>
    <xf numFmtId="0" fontId="5" fillId="22" borderId="4" xfId="0" applyFont="1" applyFill="1" applyBorder="1" applyAlignment="1">
      <alignment horizontal="center" vertical="center"/>
    </xf>
    <xf numFmtId="0" fontId="5" fillId="22" borderId="0" xfId="0" applyFont="1" applyFill="1" applyBorder="1" applyAlignment="1">
      <alignment horizontal="center" vertical="center" wrapText="1"/>
    </xf>
    <xf numFmtId="0" fontId="5" fillId="10" borderId="0" xfId="0" applyFont="1" applyFill="1" applyBorder="1" applyAlignment="1">
      <alignment horizontal="center" vertical="center" wrapText="1"/>
    </xf>
    <xf numFmtId="0" fontId="5" fillId="58" borderId="4" xfId="0" applyFont="1" applyFill="1" applyBorder="1" applyAlignment="1">
      <alignment horizontal="center" vertical="center" wrapText="1"/>
    </xf>
    <xf numFmtId="0" fontId="5" fillId="28" borderId="0" xfId="0" applyFont="1" applyFill="1" applyBorder="1" applyAlignment="1">
      <alignment horizontal="center" vertical="center" wrapText="1"/>
    </xf>
    <xf numFmtId="0" fontId="5" fillId="11" borderId="0" xfId="0" applyFont="1" applyFill="1" applyBorder="1" applyAlignment="1">
      <alignment horizontal="center" vertical="center" wrapText="1"/>
    </xf>
    <xf numFmtId="0" fontId="6" fillId="11" borderId="7" xfId="0" applyFont="1" applyFill="1" applyBorder="1" applyAlignment="1">
      <alignment horizontal="center" wrapText="1"/>
    </xf>
    <xf numFmtId="0" fontId="6" fillId="11" borderId="0" xfId="0" applyFont="1" applyFill="1" applyBorder="1" applyAlignment="1">
      <alignment horizontal="center" vertical="center" wrapText="1"/>
    </xf>
    <xf numFmtId="0" fontId="5" fillId="11" borderId="12" xfId="0" applyFont="1" applyFill="1" applyBorder="1" applyAlignment="1">
      <alignment horizontal="center" vertical="center" wrapText="1"/>
    </xf>
    <xf numFmtId="0" fontId="27" fillId="8" borderId="0" xfId="0" applyFont="1" applyFill="1" applyBorder="1" applyAlignment="1">
      <alignment horizontal="center" vertical="center" wrapText="1"/>
    </xf>
    <xf numFmtId="0" fontId="5" fillId="0" borderId="0" xfId="0" applyFont="1" applyBorder="1" applyAlignment="1">
      <alignment horizontal="center" vertical="center" wrapText="1"/>
    </xf>
    <xf numFmtId="0" fontId="7" fillId="0" borderId="0" xfId="0" applyFont="1" applyBorder="1" applyAlignment="1">
      <alignment horizontal="center" vertical="center" wrapText="1"/>
    </xf>
    <xf numFmtId="0" fontId="6" fillId="0" borderId="0"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0" xfId="0" applyFont="1" applyBorder="1" applyAlignment="1">
      <alignment horizontal="center" vertical="center" wrapText="1"/>
    </xf>
    <xf numFmtId="0" fontId="6" fillId="0" borderId="22"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0"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25" xfId="0" applyFont="1" applyBorder="1" applyAlignment="1">
      <alignment horizontal="center" vertical="center" wrapText="1"/>
    </xf>
    <xf numFmtId="0" fontId="33" fillId="0" borderId="11" xfId="0" applyFont="1" applyBorder="1" applyAlignment="1">
      <alignment vertical="center" wrapText="1"/>
    </xf>
    <xf numFmtId="0" fontId="16" fillId="7" borderId="9" xfId="0" applyFont="1" applyFill="1" applyBorder="1" applyAlignment="1">
      <alignment horizontal="center" vertical="center" wrapText="1"/>
    </xf>
    <xf numFmtId="0" fontId="16" fillId="7" borderId="0" xfId="0" applyFont="1" applyFill="1" applyBorder="1" applyAlignment="1">
      <alignment horizontal="center" vertical="center" wrapText="1"/>
    </xf>
    <xf numFmtId="0" fontId="24" fillId="0" borderId="0" xfId="0" applyFont="1" applyBorder="1" applyAlignment="1">
      <alignment horizontal="center" vertical="center"/>
    </xf>
    <xf numFmtId="0" fontId="5" fillId="16" borderId="9" xfId="0" applyFont="1" applyFill="1" applyBorder="1" applyAlignment="1">
      <alignment horizontal="center" vertical="center"/>
    </xf>
    <xf numFmtId="0" fontId="5" fillId="16" borderId="9" xfId="0" applyFont="1" applyFill="1" applyBorder="1" applyAlignment="1">
      <alignment horizontal="center" vertical="center" wrapText="1"/>
    </xf>
    <xf numFmtId="0" fontId="7" fillId="16" borderId="0" xfId="0" applyFont="1" applyFill="1" applyBorder="1" applyAlignment="1">
      <alignment horizontal="center" vertical="center" wrapText="1"/>
    </xf>
    <xf numFmtId="0" fontId="5" fillId="16" borderId="0" xfId="0" applyFont="1" applyFill="1" applyBorder="1" applyAlignment="1">
      <alignment horizontal="center" vertical="center" wrapText="1"/>
    </xf>
    <xf numFmtId="0" fontId="7" fillId="16" borderId="9" xfId="0" applyFont="1" applyFill="1" applyBorder="1" applyAlignment="1">
      <alignment horizontal="center" vertical="center"/>
    </xf>
    <xf numFmtId="0" fontId="34" fillId="16" borderId="9" xfId="0" applyFont="1" applyFill="1" applyBorder="1" applyAlignment="1">
      <alignment horizontal="center" vertical="center"/>
    </xf>
    <xf numFmtId="0" fontId="7" fillId="16" borderId="14" xfId="0" applyFont="1" applyFill="1" applyBorder="1" applyAlignment="1">
      <alignment horizontal="center" vertical="center"/>
    </xf>
    <xf numFmtId="0" fontId="5" fillId="6" borderId="0" xfId="0" applyFont="1" applyFill="1" applyBorder="1" applyAlignment="1">
      <alignment horizontal="center" vertical="center" wrapText="1"/>
    </xf>
    <xf numFmtId="0" fontId="13" fillId="0" borderId="0" xfId="0" applyFont="1" applyBorder="1" applyAlignment="1">
      <alignment horizontal="center" vertical="center" wrapText="1"/>
    </xf>
    <xf numFmtId="0" fontId="7" fillId="0" borderId="0" xfId="0" applyFont="1" applyBorder="1" applyAlignment="1">
      <alignment horizontal="center" vertical="center"/>
    </xf>
    <xf numFmtId="0" fontId="6" fillId="47" borderId="0" xfId="0" applyFont="1" applyFill="1" applyBorder="1" applyAlignment="1">
      <alignment horizontal="center" vertical="center" wrapText="1"/>
    </xf>
    <xf numFmtId="0" fontId="7" fillId="0" borderId="10" xfId="0" applyFont="1" applyBorder="1" applyAlignment="1">
      <alignment horizontal="center" vertical="center" wrapText="1"/>
    </xf>
    <xf numFmtId="0" fontId="7" fillId="0" borderId="10" xfId="0" applyFont="1" applyBorder="1" applyAlignment="1">
      <alignment horizontal="center" vertical="center"/>
    </xf>
    <xf numFmtId="0" fontId="20" fillId="18" borderId="0" xfId="0" applyFont="1" applyFill="1" applyBorder="1" applyAlignment="1">
      <alignment horizontal="center" vertical="center" wrapText="1"/>
    </xf>
    <xf numFmtId="0" fontId="6" fillId="18" borderId="0" xfId="0" applyFont="1" applyFill="1" applyBorder="1" applyAlignment="1">
      <alignment horizontal="center" vertical="center" wrapText="1"/>
    </xf>
    <xf numFmtId="0" fontId="20" fillId="18" borderId="4" xfId="0" applyFont="1" applyFill="1" applyBorder="1" applyAlignment="1">
      <alignment horizontal="center" vertical="center" wrapText="1"/>
    </xf>
    <xf numFmtId="0" fontId="20" fillId="18" borderId="9" xfId="0" applyFont="1" applyFill="1" applyBorder="1" applyAlignment="1">
      <alignment horizontal="center" vertical="center" wrapText="1"/>
    </xf>
    <xf numFmtId="0" fontId="19" fillId="0" borderId="7" xfId="0" applyFont="1" applyBorder="1" applyAlignment="1">
      <alignment horizontal="center" vertical="center" wrapText="1"/>
    </xf>
    <xf numFmtId="0" fontId="6" fillId="6" borderId="0" xfId="0" applyFont="1" applyFill="1" applyBorder="1" applyAlignment="1">
      <alignment horizontal="center" vertical="center" wrapText="1"/>
    </xf>
    <xf numFmtId="0" fontId="19" fillId="0" borderId="0" xfId="0" applyFont="1" applyBorder="1" applyAlignment="1">
      <alignment horizontal="center" vertical="center" wrapText="1"/>
    </xf>
    <xf numFmtId="0" fontId="8" fillId="18" borderId="0" xfId="0" applyFont="1" applyFill="1" applyBorder="1" applyAlignment="1">
      <alignment horizontal="center" vertical="center" wrapText="1"/>
    </xf>
    <xf numFmtId="0" fontId="6" fillId="6" borderId="0" xfId="0" applyFont="1" applyFill="1" applyBorder="1" applyAlignment="1">
      <alignment horizontal="center" wrapText="1"/>
    </xf>
    <xf numFmtId="0" fontId="19" fillId="47" borderId="12" xfId="0" applyFont="1" applyFill="1" applyBorder="1" applyAlignment="1">
      <alignment horizontal="center" vertical="center" wrapText="1"/>
    </xf>
    <xf numFmtId="0" fontId="19" fillId="6" borderId="0" xfId="0" applyFont="1" applyFill="1" applyBorder="1" applyAlignment="1">
      <alignment horizontal="center" vertical="center" wrapText="1"/>
    </xf>
    <xf numFmtId="0" fontId="6" fillId="0" borderId="7" xfId="0" applyFont="1" applyBorder="1" applyAlignment="1">
      <alignment horizontal="center" vertical="center" wrapText="1"/>
    </xf>
    <xf numFmtId="0" fontId="19" fillId="6" borderId="4" xfId="0" applyFont="1" applyFill="1" applyBorder="1" applyAlignment="1">
      <alignment horizontal="center" vertical="center" wrapText="1"/>
    </xf>
    <xf numFmtId="0" fontId="26" fillId="6" borderId="1" xfId="0" applyFont="1" applyFill="1" applyBorder="1"/>
    <xf numFmtId="0" fontId="8" fillId="18" borderId="24" xfId="0" applyFont="1" applyFill="1" applyBorder="1" applyAlignment="1">
      <alignment horizontal="center" vertical="center" wrapText="1"/>
    </xf>
    <xf numFmtId="0" fontId="8" fillId="18" borderId="10" xfId="0" applyFont="1" applyFill="1" applyBorder="1" applyAlignment="1">
      <alignment horizontal="center" vertical="center" wrapText="1"/>
    </xf>
    <xf numFmtId="0" fontId="7" fillId="0" borderId="7" xfId="0" applyFont="1" applyBorder="1" applyAlignment="1">
      <alignment horizontal="center" vertical="center"/>
    </xf>
    <xf numFmtId="0" fontId="59" fillId="7" borderId="7" xfId="0" applyFont="1" applyFill="1" applyBorder="1" applyAlignment="1">
      <alignment horizontal="center" vertical="center"/>
    </xf>
    <xf numFmtId="0" fontId="19" fillId="47" borderId="7" xfId="0" applyFont="1" applyFill="1" applyBorder="1" applyAlignment="1">
      <alignment horizontal="center" vertical="center" wrapText="1"/>
    </xf>
    <xf numFmtId="0" fontId="7" fillId="6" borderId="12" xfId="0" applyFont="1" applyFill="1" applyBorder="1" applyAlignment="1">
      <alignment horizontal="center" vertical="center"/>
    </xf>
    <xf numFmtId="0" fontId="6" fillId="6" borderId="12" xfId="0" applyFont="1" applyFill="1" applyBorder="1" applyAlignment="1">
      <alignment horizontal="center" vertical="center" wrapText="1"/>
    </xf>
    <xf numFmtId="0" fontId="13" fillId="8" borderId="4" xfId="0" applyFont="1" applyFill="1" applyBorder="1" applyAlignment="1">
      <alignment horizontal="center" wrapText="1"/>
    </xf>
    <xf numFmtId="0" fontId="7" fillId="19" borderId="0" xfId="0" applyFont="1" applyFill="1" applyBorder="1" applyAlignment="1">
      <alignment horizontal="center" vertical="center" wrapText="1"/>
    </xf>
    <xf numFmtId="0" fontId="6" fillId="19" borderId="0" xfId="0" applyFont="1" applyFill="1" applyBorder="1" applyAlignment="1">
      <alignment horizontal="center" vertical="center" wrapText="1"/>
    </xf>
    <xf numFmtId="0" fontId="5" fillId="19" borderId="0" xfId="0" applyFont="1" applyFill="1" applyBorder="1" applyAlignment="1">
      <alignment horizontal="center" vertical="center" wrapText="1"/>
    </xf>
    <xf numFmtId="0" fontId="6" fillId="19" borderId="7" xfId="0" applyFont="1" applyFill="1" applyBorder="1" applyAlignment="1">
      <alignment horizontal="center" vertical="center" wrapText="1"/>
    </xf>
    <xf numFmtId="0" fontId="5" fillId="19" borderId="12" xfId="0" applyFont="1" applyFill="1" applyBorder="1" applyAlignment="1">
      <alignment horizontal="center" vertical="center" wrapText="1"/>
    </xf>
    <xf numFmtId="0" fontId="5" fillId="12" borderId="0" xfId="0" applyFont="1" applyFill="1" applyBorder="1" applyAlignment="1">
      <alignment horizontal="center" vertical="center" wrapText="1"/>
    </xf>
    <xf numFmtId="0" fontId="77" fillId="0" borderId="1" xfId="0" applyFont="1" applyBorder="1" applyAlignment="1">
      <alignment horizontal="center" vertical="center" wrapText="1"/>
    </xf>
    <xf numFmtId="0" fontId="7" fillId="30" borderId="0" xfId="0" applyFont="1" applyFill="1" applyBorder="1" applyAlignment="1">
      <alignment horizontal="center" vertical="center" wrapText="1"/>
    </xf>
    <xf numFmtId="0" fontId="7" fillId="30" borderId="0" xfId="0" applyFont="1" applyFill="1" applyBorder="1" applyAlignment="1">
      <alignment horizontal="center" vertical="center"/>
    </xf>
    <xf numFmtId="0" fontId="6" fillId="33" borderId="0" xfId="0" applyFont="1" applyFill="1" applyBorder="1" applyAlignment="1">
      <alignment horizontal="center" vertical="center" wrapText="1"/>
    </xf>
    <xf numFmtId="0" fontId="5" fillId="27" borderId="0" xfId="0" applyFont="1" applyFill="1" applyBorder="1" applyAlignment="1">
      <alignment horizontal="center" vertical="center" wrapText="1"/>
    </xf>
    <xf numFmtId="0" fontId="5" fillId="35" borderId="12" xfId="0" applyFont="1" applyFill="1" applyBorder="1" applyAlignment="1">
      <alignment horizontal="center" vertical="center" wrapText="1"/>
    </xf>
    <xf numFmtId="0" fontId="5" fillId="18" borderId="0" xfId="0" applyFont="1" applyFill="1" applyBorder="1" applyAlignment="1">
      <alignment horizontal="center" vertical="center" wrapText="1"/>
    </xf>
    <xf numFmtId="0" fontId="5" fillId="14" borderId="0" xfId="0" applyFont="1" applyFill="1" applyBorder="1" applyAlignment="1">
      <alignment horizontal="center" vertical="center" wrapText="1"/>
    </xf>
    <xf numFmtId="0" fontId="5" fillId="30" borderId="0" xfId="0" applyFont="1" applyFill="1" applyBorder="1" applyAlignment="1">
      <alignment horizontal="center" vertical="center" wrapText="1"/>
    </xf>
    <xf numFmtId="166" fontId="5" fillId="0" borderId="8" xfId="0" applyNumberFormat="1" applyFont="1" applyBorder="1" applyAlignment="1">
      <alignment horizontal="center" vertical="center" wrapText="1"/>
    </xf>
    <xf numFmtId="167" fontId="5" fillId="0" borderId="8" xfId="0" applyNumberFormat="1" applyFont="1" applyBorder="1" applyAlignment="1">
      <alignment horizontal="center" vertical="center" wrapText="1"/>
    </xf>
    <xf numFmtId="166" fontId="5" fillId="0" borderId="0" xfId="0" applyNumberFormat="1" applyFont="1" applyBorder="1" applyAlignment="1">
      <alignment horizontal="center" vertical="center" wrapText="1"/>
    </xf>
    <xf numFmtId="167" fontId="5" fillId="19" borderId="0" xfId="0" applyNumberFormat="1" applyFont="1" applyFill="1" applyBorder="1" applyAlignment="1">
      <alignment horizontal="center" vertical="center" wrapText="1"/>
    </xf>
    <xf numFmtId="164" fontId="5" fillId="0" borderId="0" xfId="0" applyNumberFormat="1" applyFont="1" applyBorder="1" applyAlignment="1">
      <alignment horizontal="center" vertical="center" wrapText="1"/>
    </xf>
    <xf numFmtId="167" fontId="5" fillId="0" borderId="11" xfId="0" applyNumberFormat="1" applyFont="1" applyBorder="1" applyAlignment="1">
      <alignment horizontal="center" vertical="center" wrapText="1"/>
    </xf>
    <xf numFmtId="164" fontId="6" fillId="0" borderId="0" xfId="0" applyNumberFormat="1" applyFont="1" applyBorder="1" applyAlignment="1">
      <alignment horizontal="center" vertical="center" wrapText="1"/>
    </xf>
    <xf numFmtId="14" fontId="6" fillId="0" borderId="0" xfId="0" applyNumberFormat="1" applyFont="1" applyBorder="1" applyAlignment="1">
      <alignment horizontal="center" vertical="center" wrapText="1"/>
    </xf>
    <xf numFmtId="0" fontId="6" fillId="64" borderId="1" xfId="0" applyFont="1" applyFill="1" applyBorder="1" applyAlignment="1">
      <alignment horizontal="center" vertical="center" wrapText="1"/>
    </xf>
    <xf numFmtId="14" fontId="5" fillId="0" borderId="26" xfId="0" applyNumberFormat="1" applyFont="1" applyBorder="1" applyAlignment="1">
      <alignment horizontal="center" vertical="center" wrapText="1"/>
    </xf>
    <xf numFmtId="166" fontId="5" fillId="0" borderId="6" xfId="0" applyNumberFormat="1" applyFont="1" applyBorder="1" applyAlignment="1">
      <alignment horizontal="center" vertical="center" wrapText="1"/>
    </xf>
    <xf numFmtId="14" fontId="5" fillId="0" borderId="0" xfId="0" applyNumberFormat="1" applyFont="1" applyBorder="1" applyAlignment="1">
      <alignment horizontal="center" vertical="center" wrapText="1"/>
    </xf>
    <xf numFmtId="164" fontId="6" fillId="0" borderId="6" xfId="0" applyNumberFormat="1" applyFont="1" applyBorder="1" applyAlignment="1">
      <alignment horizontal="center" vertical="center" wrapText="1"/>
    </xf>
    <xf numFmtId="0" fontId="11" fillId="8" borderId="9" xfId="0" applyFont="1" applyFill="1" applyBorder="1" applyAlignment="1">
      <alignment horizontal="center" vertical="center" wrapText="1"/>
    </xf>
    <xf numFmtId="0" fontId="6" fillId="7" borderId="0"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 fontId="43" fillId="6" borderId="0" xfId="0" applyNumberFormat="1" applyFont="1" applyFill="1" applyBorder="1" applyAlignment="1">
      <alignment horizontal="center" vertical="center" wrapText="1"/>
    </xf>
    <xf numFmtId="0" fontId="31" fillId="44" borderId="9" xfId="0" applyFont="1" applyFill="1" applyBorder="1" applyAlignment="1">
      <alignment horizontal="center" vertical="center" wrapText="1"/>
    </xf>
    <xf numFmtId="0" fontId="5" fillId="40" borderId="4" xfId="0" applyFont="1" applyFill="1" applyBorder="1" applyAlignment="1">
      <alignment horizontal="center" vertical="center" wrapText="1"/>
    </xf>
    <xf numFmtId="0" fontId="8" fillId="0" borderId="0" xfId="0" applyFont="1" applyBorder="1" applyAlignment="1">
      <alignment horizontal="center" vertical="center" wrapText="1"/>
    </xf>
    <xf numFmtId="1" fontId="10" fillId="50" borderId="1" xfId="0" applyNumberFormat="1" applyFont="1" applyFill="1" applyBorder="1" applyAlignment="1">
      <alignment horizontal="center" vertical="center" wrapText="1"/>
    </xf>
  </cellXfs>
  <cellStyles count="1">
    <cellStyle name="Обычный" xfId="0" builtinId="0"/>
  </cellStyles>
  <dxfs count="3925">
    <dxf>
      <fill>
        <patternFill patternType="solid">
          <fgColor rgb="FFB7E1CD"/>
          <bgColor rgb="FFB7E1CD"/>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B7E1CD"/>
          <bgColor rgb="FFB7E1CD"/>
        </patternFill>
      </fill>
    </dxf>
    <dxf>
      <font>
        <color rgb="FF9C0006"/>
      </font>
      <fill>
        <patternFill patternType="solid">
          <fgColor rgb="FFFFC7CE"/>
          <bgColor rgb="FFFFC7CE"/>
        </patternFill>
      </fill>
    </dxf>
    <dxf>
      <fill>
        <patternFill patternType="solid">
          <fgColor rgb="FFE06666"/>
          <bgColor rgb="FFE06666"/>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900FF"/>
          <bgColor rgb="FF9900FF"/>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FF9900"/>
          <bgColor rgb="FFFF9900"/>
        </patternFill>
      </fill>
    </dxf>
    <dxf>
      <fill>
        <patternFill patternType="solid">
          <fgColor rgb="FF9900FF"/>
          <bgColor rgb="FF9900FF"/>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2D050"/>
          <bgColor rgb="FF92D05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FF9900"/>
          <bgColor rgb="FFFF9900"/>
        </patternFill>
      </fill>
    </dxf>
    <dxf>
      <fill>
        <patternFill patternType="solid">
          <fgColor rgb="FF9900FF"/>
          <bgColor rgb="FF9900FF"/>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900FF"/>
          <bgColor rgb="FF9900FF"/>
        </patternFill>
      </fill>
    </dxf>
    <dxf>
      <fill>
        <patternFill patternType="solid">
          <fgColor rgb="FFFF9900"/>
          <bgColor rgb="FFFF9900"/>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9900FF"/>
          <bgColor rgb="FF9900FF"/>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9900FF"/>
          <bgColor rgb="FF9900FF"/>
        </patternFill>
      </fill>
    </dxf>
    <dxf>
      <fill>
        <patternFill patternType="solid">
          <fgColor rgb="FF9900FF"/>
          <bgColor rgb="FF9900FF"/>
        </patternFill>
      </fill>
    </dxf>
    <dxf>
      <fill>
        <patternFill patternType="solid">
          <fgColor rgb="FF9900FF"/>
          <bgColor rgb="FF9900FF"/>
        </patternFill>
      </fill>
    </dxf>
    <dxf>
      <fill>
        <patternFill patternType="solid">
          <fgColor rgb="FF9900FF"/>
          <bgColor rgb="FF9900FF"/>
        </patternFill>
      </fill>
    </dxf>
    <dxf>
      <fill>
        <patternFill patternType="solid">
          <fgColor rgb="FF9900FF"/>
          <bgColor rgb="FF9900FF"/>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92D050"/>
          <bgColor rgb="FF92D05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900FF"/>
          <bgColor rgb="FF9900FF"/>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C27BA0"/>
          <bgColor rgb="FFC27BA0"/>
        </patternFill>
      </fill>
    </dxf>
    <dxf>
      <fill>
        <patternFill patternType="solid">
          <fgColor rgb="FF92D050"/>
          <bgColor rgb="FF92D050"/>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9900FF"/>
          <bgColor rgb="FF9900FF"/>
        </patternFill>
      </fill>
    </dxf>
    <dxf>
      <fill>
        <patternFill patternType="solid">
          <fgColor rgb="FFFF9900"/>
          <bgColor rgb="FFFF9900"/>
        </patternFill>
      </fill>
    </dxf>
    <dxf>
      <fill>
        <patternFill patternType="solid">
          <fgColor rgb="FF9900FF"/>
          <bgColor rgb="FF9900FF"/>
        </patternFill>
      </fill>
    </dxf>
    <dxf>
      <fill>
        <patternFill patternType="solid">
          <fgColor rgb="FF9900FF"/>
          <bgColor rgb="FF9900FF"/>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92D050"/>
          <bgColor rgb="FF92D050"/>
        </patternFill>
      </fill>
    </dxf>
    <dxf>
      <fill>
        <patternFill patternType="solid">
          <fgColor rgb="FFC27BA0"/>
          <bgColor rgb="FFC27BA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92D050"/>
          <bgColor rgb="FF92D050"/>
        </patternFill>
      </fill>
    </dxf>
    <dxf>
      <fill>
        <patternFill patternType="solid">
          <fgColor rgb="FFC27BA0"/>
          <bgColor rgb="FFC27BA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F2CC"/>
          <bgColor rgb="FFFFF2CC"/>
        </patternFill>
      </fill>
    </dxf>
    <dxf>
      <fill>
        <patternFill patternType="solid">
          <fgColor rgb="FF9C5700"/>
          <bgColor rgb="FF9C5700"/>
        </patternFill>
      </fill>
    </dxf>
    <dxf>
      <fill>
        <patternFill patternType="solid">
          <fgColor rgb="FFFFD966"/>
          <bgColor rgb="FFFFD966"/>
        </patternFill>
      </fill>
    </dxf>
    <dxf>
      <fill>
        <patternFill patternType="solid">
          <fgColor rgb="FF6D9EEB"/>
          <bgColor rgb="FF6D9EEB"/>
        </patternFill>
      </fill>
    </dxf>
    <dxf>
      <fill>
        <patternFill patternType="solid">
          <fgColor rgb="FFC27BA0"/>
          <bgColor rgb="FFC27BA0"/>
        </patternFill>
      </fill>
    </dxf>
    <dxf>
      <fill>
        <patternFill patternType="solid">
          <fgColor rgb="FF92D050"/>
          <bgColor rgb="FF92D050"/>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C27BA0"/>
          <bgColor rgb="FFC27BA0"/>
        </patternFill>
      </fill>
    </dxf>
    <dxf>
      <fill>
        <patternFill patternType="solid">
          <fgColor rgb="FF92D050"/>
          <bgColor rgb="FF92D050"/>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C27BA0"/>
          <bgColor rgb="FFC27BA0"/>
        </patternFill>
      </fill>
    </dxf>
    <dxf>
      <fill>
        <patternFill patternType="solid">
          <fgColor rgb="FF92D050"/>
          <bgColor rgb="FF92D05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900FF"/>
          <bgColor rgb="FF9900FF"/>
        </patternFill>
      </fill>
    </dxf>
    <dxf>
      <fill>
        <patternFill patternType="solid">
          <fgColor rgb="FFFF9900"/>
          <bgColor rgb="FFFF9900"/>
        </patternFill>
      </fill>
    </dxf>
    <dxf>
      <fill>
        <patternFill patternType="solid">
          <fgColor rgb="FF9900FF"/>
          <bgColor rgb="FF9900FF"/>
        </patternFill>
      </fill>
    </dxf>
    <dxf>
      <fill>
        <patternFill patternType="solid">
          <fgColor rgb="FF9900FF"/>
          <bgColor rgb="FF9900F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C27BA0"/>
          <bgColor rgb="FFC27BA0"/>
        </patternFill>
      </fill>
    </dxf>
    <dxf>
      <fill>
        <patternFill patternType="solid">
          <fgColor rgb="FF92D050"/>
          <bgColor rgb="FF92D050"/>
        </patternFill>
      </fill>
    </dxf>
    <dxf>
      <fill>
        <patternFill patternType="solid">
          <fgColor rgb="FF6D9EEB"/>
          <bgColor rgb="FF6D9EEB"/>
        </patternFill>
      </fill>
    </dxf>
    <dxf>
      <fill>
        <patternFill patternType="solid">
          <fgColor rgb="FFFFD966"/>
          <bgColor rgb="FFFFD966"/>
        </patternFill>
      </fill>
    </dxf>
    <dxf>
      <fill>
        <patternFill patternType="solid">
          <fgColor rgb="FF9C5700"/>
          <bgColor rgb="FF9C5700"/>
        </patternFill>
      </fill>
    </dxf>
    <dxf>
      <fill>
        <patternFill patternType="solid">
          <fgColor rgb="FFFFF2CC"/>
          <bgColor rgb="FFFFF2CC"/>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00FFFF"/>
          <bgColor rgb="FF00FFFF"/>
        </patternFill>
      </fill>
    </dxf>
    <dxf>
      <font>
        <sz val="11"/>
        <color rgb="FF006100"/>
        <name val="Calibri"/>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006100"/>
        <name val="Calibri"/>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006100"/>
        <name val="Calibri"/>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ont>
        <color rgb="FF006100"/>
      </font>
      <fill>
        <patternFill patternType="solid">
          <fgColor rgb="FFC6EFCE"/>
          <bgColor rgb="FFC6EFCE"/>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006100"/>
        <name val="Calibri"/>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9C6500"/>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006100"/>
        <name val="Calibri"/>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006100"/>
        <name val="Calibri"/>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006100"/>
        <name val="Calibri"/>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006100"/>
        <name val="Calibri"/>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sz val="11"/>
        <color rgb="FF9C6500"/>
        <name val="Calibri"/>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0</xdr:col>
      <xdr:colOff>790575</xdr:colOff>
      <xdr:row>1</xdr:row>
      <xdr:rowOff>95250</xdr:rowOff>
    </xdr:from>
    <xdr:to>
      <xdr:col>3</xdr:col>
      <xdr:colOff>3724275</xdr:colOff>
      <xdr:row>9</xdr:row>
      <xdr:rowOff>38100</xdr:rowOff>
    </xdr:to>
    <xdr:sp macro="" textlink="">
      <xdr:nvSpPr>
        <xdr:cNvPr id="2052" name="Text Box 4" hidden="1">
          <a:extLst>
            <a:ext uri="{FF2B5EF4-FFF2-40B4-BE49-F238E27FC236}">
              <a16:creationId xmlns:a16="http://schemas.microsoft.com/office/drawing/2014/main" id="{026A1933-82F8-DDA5-3E12-FFB05E727B82}"/>
            </a:ext>
          </a:extLst>
        </xdr:cNvPr>
        <xdr:cNvSpPr txBox="1">
          <a:spLocks noChangeArrowheads="1"/>
        </xdr:cNvSpPr>
      </xdr:nvSpPr>
      <xdr:spPr bwMode="auto">
        <a:xfrm>
          <a:off x="790575" y="1304925"/>
          <a:ext cx="9467850" cy="2990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790575</xdr:colOff>
      <xdr:row>1</xdr:row>
      <xdr:rowOff>95250</xdr:rowOff>
    </xdr:from>
    <xdr:to>
      <xdr:col>3</xdr:col>
      <xdr:colOff>3724275</xdr:colOff>
      <xdr:row>7</xdr:row>
      <xdr:rowOff>38100</xdr:rowOff>
    </xdr:to>
    <xdr:sp macro="" textlink="">
      <xdr:nvSpPr>
        <xdr:cNvPr id="2049" name="Text Box 1" hidden="1">
          <a:extLst>
            <a:ext uri="{FF2B5EF4-FFF2-40B4-BE49-F238E27FC236}">
              <a16:creationId xmlns:a16="http://schemas.microsoft.com/office/drawing/2014/main" id="{88C1838D-1D2A-A98C-AA47-8E6AF9D565D4}"/>
            </a:ext>
          </a:extLst>
        </xdr:cNvPr>
        <xdr:cNvSpPr txBox="1">
          <a:spLocks noChangeArrowheads="1"/>
        </xdr:cNvSpPr>
      </xdr:nvSpPr>
      <xdr:spPr bwMode="auto">
        <a:xfrm>
          <a:off x="790575" y="1304925"/>
          <a:ext cx="9467850" cy="2228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banksu 0042" id="{87c9fc6d-ea1f-4be8-9ece-7f980053b1ff}"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23T20:15:38.00" personId="{87c9fc6d-ea1f-4be8-9ece-7f980053b1ff}" id="{516b9c06-3640-4f9e-9c29-a972f889147c}" done="0">
    <x18tc:text xml:space="preserve">Со слов Линяева "Работал я, Шумейко А., Тетерин Д. тоже наверное работал , возможно еще Кошарский И."</x18tc:text>
  </x18tc:threadedComment>
  <x18tc:threadedComment ref="A1" dT="2026-04-23T20:16:21.00" personId="{87c9fc6d-ea1f-4be8-9ece-7f980053b1ff}" id="{78f2bf51-233e-43ca-9219-e052a12ad21a}" parentId="{516b9c06-3640-4f9e-9c29-a972f889147c}">
    <x18tc:text xml:space="preserve">Инфы нет, что за бред..</x18tc:text>
  </x18tc:threadedComment>
  <x18tc:threadedComment ref="C944" dT="2026-06-11T06:54:24.00" personId="{87c9fc6d-ea1f-4be8-9ece-7f980053b1ff}" id="{840bfa74-e77a-48a2-8835-1d295b6e5879}" done="1">
    <x18tc:text xml:space="preserve">не умерла</x18tc:text>
  </x18tc:threadedComment>
  <x18tc:threadedComment ref="A1" dT="2026-07-16T19:06:52.00" personId="{87c9fc6d-ea1f-4be8-9ece-7f980053b1ff}" id="{4219194d-1928-44c5-bad4-ccd2898fb55d}" done="0">
    <x18tc:text xml:space="preserve">Кто должен расписаться за акт?</x18tc:text>
  </x18tc:threadedComment>
  <x18tc:threadedComment ref="A1" dT="2026-07-16T19:14:42.00" personId="{87c9fc6d-ea1f-4be8-9ece-7f980053b1ff}" id="{c35b3d08-d28c-45fe-a489-c94f92db0536}" done="1">
    <x18tc:text xml:space="preserve">Кто должен расписаться за акт?</x18tc:text>
  </x18tc:threadedComment>
  <x18tc:threadedComment ref="C926" dT="2026-08-27T05:45:14.00" personId="{87c9fc6d-ea1f-4be8-9ece-7f980053b1ff}" id="{91ed6142-0c4a-4832-9441-340bac0f54ea}" done="1">
    <x18tc:text xml:space="preserve">Сообщил её руководителю, Придёт в начале сентября</x18tc:text>
  </x18tc:threadedComment>
  <x18tc:threadedComment ref="C979" dT="2026-08-27T06:06:36.00" personId="{87c9fc6d-ea1f-4be8-9ece-7f980053b1ff}" id="{02fddb60-7c87-4cd6-ad1c-29ace2dc5761}" done="0">
    <x18tc:text xml:space="preserve">Уточнил у Сухачёвой по переносу данных, жду ответ.</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hyperlink" Target="https://rs-gwm.ru/record/employee/170193349797460995" TargetMode="External"/><Relationship Id="rId13" Type="http://schemas.openxmlformats.org/officeDocument/2006/relationships/hyperlink" Target="https://rs-gwm.ru/record/c_sys_cmdb_ci_asset/174187326594183798" TargetMode="External"/><Relationship Id="rId3" Type="http://schemas.openxmlformats.org/officeDocument/2006/relationships/hyperlink" Target="https://rs-gwm.ru/record/employee/170193391495618989" TargetMode="External"/><Relationship Id="rId7" Type="http://schemas.openxmlformats.org/officeDocument/2006/relationships/hyperlink" Target="https://rs-gwm.ru/record/employee/170193382891892590" TargetMode="External"/><Relationship Id="rId12" Type="http://schemas.openxmlformats.org/officeDocument/2006/relationships/hyperlink" Target="https://rs-gwm.ru/record/employee/170193313097844498" TargetMode="External"/><Relationship Id="rId2" Type="http://schemas.openxmlformats.org/officeDocument/2006/relationships/hyperlink" Target="https://rs-gwm.ru/record/employee/170193347392055175" TargetMode="External"/><Relationship Id="rId1" Type="http://schemas.openxmlformats.org/officeDocument/2006/relationships/hyperlink" Target="https://rs-gwm.ru/record/employee/170193326096389331" TargetMode="External"/><Relationship Id="rId6" Type="http://schemas.openxmlformats.org/officeDocument/2006/relationships/hyperlink" Target="https://rs-gwm.ru/record/employee/170193366996081870" TargetMode="External"/><Relationship Id="rId11" Type="http://schemas.openxmlformats.org/officeDocument/2006/relationships/hyperlink" Target="https://rs-gwm.ru/record/employee/170193349294846903" TargetMode="External"/><Relationship Id="rId5" Type="http://schemas.openxmlformats.org/officeDocument/2006/relationships/hyperlink" Target="https://rs-gwm.ru/record/employee/174061497196708557" TargetMode="External"/><Relationship Id="rId10" Type="http://schemas.openxmlformats.org/officeDocument/2006/relationships/hyperlink" Target="https://rs-gwm.ru/record/employee/170193298694658787" TargetMode="External"/><Relationship Id="rId4" Type="http://schemas.openxmlformats.org/officeDocument/2006/relationships/hyperlink" Target="https://rs-gwm.ru/record/employee/170193326295652073" TargetMode="External"/><Relationship Id="rId9" Type="http://schemas.openxmlformats.org/officeDocument/2006/relationships/hyperlink" Target="https://rs-gwm.ru/record/employee/170193326295652011" TargetMode="External"/><Relationship Id="rId14" Type="http://schemas.openxmlformats.org/officeDocument/2006/relationships/drawing" Target="../drawings/drawing1.xml"/><Relationship Id="rId56"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E1228"/>
  <sheetViews>
    <sheetView tabSelected="1" topLeftCell="A179" workbookViewId="0">
      <pane xSplit="3" topLeftCell="D1" activePane="topRight" state="frozen"/>
      <selection pane="topRight" activeCell="A191" sqref="A191"/>
    </sheetView>
  </sheetViews>
  <sheetFormatPr defaultColWidth="14.42578125" defaultRowHeight="15" customHeight="1" x14ac:dyDescent="0.25"/>
  <cols>
    <col min="1" max="1" width="24.140625" style="578" customWidth="1"/>
    <col min="2" max="2" width="21.42578125" customWidth="1"/>
    <col min="3" max="3" width="52.42578125" customWidth="1"/>
    <col min="4" max="4" width="57.42578125" customWidth="1"/>
    <col min="5" max="5" width="10.7109375" customWidth="1"/>
    <col min="6" max="6" width="26.5703125" customWidth="1"/>
    <col min="7" max="7" width="40.5703125" customWidth="1"/>
    <col min="8" max="8" width="20.7109375" customWidth="1"/>
    <col min="9" max="9" width="36.42578125" customWidth="1"/>
    <col min="10" max="10" width="38" customWidth="1"/>
    <col min="11" max="11" width="37.7109375" customWidth="1"/>
    <col min="12" max="12" width="25.28515625" customWidth="1"/>
    <col min="13" max="13" width="27.42578125" customWidth="1"/>
    <col min="14" max="14" width="32.7109375" customWidth="1"/>
    <col min="15" max="15" width="43.140625" customWidth="1"/>
    <col min="16" max="16" width="33.7109375" customWidth="1"/>
    <col min="17" max="17" width="42.85546875" customWidth="1"/>
    <col min="18" max="18" width="21.140625" customWidth="1"/>
    <col min="19" max="19" width="28.85546875" customWidth="1"/>
    <col min="20" max="20" width="15.85546875" customWidth="1"/>
    <col min="21" max="21" width="41.5703125" customWidth="1"/>
    <col min="22" max="22" width="20.5703125" customWidth="1"/>
    <col min="23" max="23" width="35.42578125" customWidth="1"/>
    <col min="24" max="24" width="33" customWidth="1"/>
    <col min="25" max="135" width="8.7109375" customWidth="1"/>
  </cols>
  <sheetData>
    <row r="1" spans="1:135" ht="95.25" customHeight="1" x14ac:dyDescent="0.25">
      <c r="A1" s="573" t="s">
        <v>9</v>
      </c>
      <c r="B1" s="1" t="s">
        <v>0</v>
      </c>
      <c r="C1" s="1" t="s">
        <v>1</v>
      </c>
      <c r="D1" s="1" t="s">
        <v>2</v>
      </c>
      <c r="E1" s="1" t="s">
        <v>3</v>
      </c>
      <c r="F1" s="1" t="s">
        <v>4</v>
      </c>
      <c r="G1" s="1" t="s">
        <v>5</v>
      </c>
      <c r="H1" s="1" t="s">
        <v>6</v>
      </c>
      <c r="I1" s="1" t="s">
        <v>7</v>
      </c>
      <c r="J1" s="1" t="s">
        <v>8</v>
      </c>
      <c r="K1" s="2" t="s">
        <v>10</v>
      </c>
      <c r="L1" s="1" t="s">
        <v>11</v>
      </c>
      <c r="M1" s="1" t="s">
        <v>12</v>
      </c>
      <c r="N1" s="1" t="s">
        <v>13</v>
      </c>
      <c r="O1" s="1" t="s">
        <v>14</v>
      </c>
      <c r="P1" s="1" t="s">
        <v>15</v>
      </c>
      <c r="Q1" s="3" t="s">
        <v>16</v>
      </c>
      <c r="R1" s="1" t="s">
        <v>17</v>
      </c>
      <c r="S1" s="1" t="s">
        <v>18</v>
      </c>
      <c r="T1" s="1" t="s">
        <v>19</v>
      </c>
      <c r="U1" s="1" t="s">
        <v>20</v>
      </c>
      <c r="V1" s="4" t="s">
        <v>21</v>
      </c>
      <c r="W1" s="4" t="s">
        <v>22</v>
      </c>
      <c r="X1" s="433"/>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row>
    <row r="2" spans="1:135" ht="30" customHeight="1" thickBot="1" x14ac:dyDescent="0.3">
      <c r="A2" s="578">
        <v>140000191</v>
      </c>
      <c r="B2" s="217" t="s">
        <v>929</v>
      </c>
      <c r="C2" s="219" t="s">
        <v>934</v>
      </c>
      <c r="D2" s="10" t="s">
        <v>24</v>
      </c>
      <c r="E2" s="28" t="s">
        <v>25</v>
      </c>
      <c r="F2" s="62"/>
      <c r="G2" s="62"/>
      <c r="H2" s="102" t="s">
        <v>97</v>
      </c>
      <c r="I2" s="24" t="s">
        <v>939</v>
      </c>
      <c r="J2" s="24" t="s">
        <v>941</v>
      </c>
      <c r="K2" s="33" t="s">
        <v>942</v>
      </c>
      <c r="L2" s="25" t="str">
        <f>"RUTL-"&amp;RIGHT(K2,8)</f>
        <v>RUTL-S4HP0649</v>
      </c>
      <c r="M2" s="507"/>
      <c r="N2" s="493"/>
      <c r="O2" s="493"/>
      <c r="P2" s="501"/>
      <c r="Q2" s="515"/>
      <c r="R2" s="15"/>
      <c r="S2" s="37"/>
      <c r="T2" s="64"/>
      <c r="U2" s="23"/>
      <c r="V2" s="48"/>
      <c r="W2" s="23"/>
      <c r="X2" s="434"/>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row>
    <row r="3" spans="1:135" ht="30" customHeight="1" thickBot="1" x14ac:dyDescent="0.3">
      <c r="A3" s="578">
        <v>140000240</v>
      </c>
      <c r="B3" s="217" t="s">
        <v>965</v>
      </c>
      <c r="C3" s="219" t="s">
        <v>934</v>
      </c>
      <c r="D3" s="10" t="s">
        <v>24</v>
      </c>
      <c r="E3" s="28" t="s">
        <v>25</v>
      </c>
      <c r="F3" s="62"/>
      <c r="G3" s="62"/>
      <c r="H3" s="102" t="s">
        <v>97</v>
      </c>
      <c r="I3" s="24" t="s">
        <v>939</v>
      </c>
      <c r="J3" s="24" t="s">
        <v>969</v>
      </c>
      <c r="K3" s="33" t="s">
        <v>971</v>
      </c>
      <c r="L3" s="25" t="str">
        <f>"RUTL-"&amp;RIGHT(K3,8)</f>
        <v>RUTL-PC0ZVQPT</v>
      </c>
      <c r="M3" s="109"/>
      <c r="N3" s="23" t="s">
        <v>43</v>
      </c>
      <c r="O3" s="23"/>
      <c r="P3" s="33"/>
      <c r="Q3" s="39"/>
      <c r="R3" s="15"/>
      <c r="S3" s="37"/>
      <c r="T3" s="64"/>
      <c r="U3" s="23"/>
      <c r="V3" s="48"/>
      <c r="W3" s="23"/>
      <c r="X3" s="66"/>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row>
    <row r="4" spans="1:135" ht="30" customHeight="1" thickBot="1" x14ac:dyDescent="0.3">
      <c r="A4" s="578">
        <v>140000244</v>
      </c>
      <c r="B4" s="217" t="s">
        <v>991</v>
      </c>
      <c r="C4" s="221" t="s">
        <v>994</v>
      </c>
      <c r="D4" s="10" t="s">
        <v>24</v>
      </c>
      <c r="E4" s="28" t="s">
        <v>25</v>
      </c>
      <c r="F4" s="20" t="s">
        <v>1005</v>
      </c>
      <c r="G4" s="62"/>
      <c r="H4" s="102" t="s">
        <v>97</v>
      </c>
      <c r="I4" s="24" t="s">
        <v>939</v>
      </c>
      <c r="J4" s="24" t="s">
        <v>315</v>
      </c>
      <c r="K4" s="33" t="s">
        <v>1014</v>
      </c>
      <c r="L4" s="25" t="str">
        <f>"RUTL-"&amp;RIGHT(K4,8)</f>
        <v>RUTL-PC10AS8Z</v>
      </c>
      <c r="M4" s="109"/>
      <c r="N4" s="23"/>
      <c r="O4" s="23"/>
      <c r="P4" s="110" t="s">
        <v>90</v>
      </c>
      <c r="Q4" s="39" t="s">
        <v>1019</v>
      </c>
      <c r="R4" s="15"/>
      <c r="S4" s="37"/>
      <c r="T4" s="64"/>
      <c r="U4" s="23"/>
      <c r="V4" s="48"/>
      <c r="W4" s="23"/>
      <c r="X4" s="66"/>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row>
    <row r="5" spans="1:135" ht="30" customHeight="1" thickBot="1" x14ac:dyDescent="0.3">
      <c r="A5" s="578">
        <v>140000249</v>
      </c>
      <c r="B5" s="90" t="s">
        <v>1849</v>
      </c>
      <c r="C5" s="90" t="s">
        <v>1849</v>
      </c>
      <c r="D5" s="15" t="s">
        <v>2033</v>
      </c>
      <c r="E5" s="11" t="s">
        <v>25</v>
      </c>
      <c r="F5" s="15" t="s">
        <v>1911</v>
      </c>
      <c r="G5" s="15" t="s">
        <v>661</v>
      </c>
      <c r="H5" s="267" t="s">
        <v>1646</v>
      </c>
      <c r="I5" s="24" t="s">
        <v>939</v>
      </c>
      <c r="J5" s="24" t="s">
        <v>2042</v>
      </c>
      <c r="K5" s="106" t="s">
        <v>2045</v>
      </c>
      <c r="L5" s="106" t="s">
        <v>2049</v>
      </c>
      <c r="M5" s="109"/>
      <c r="N5" s="23"/>
      <c r="O5" s="23"/>
      <c r="P5" s="110"/>
      <c r="Q5" s="39"/>
      <c r="R5" s="15"/>
      <c r="S5" s="37"/>
      <c r="T5" s="64"/>
      <c r="U5" s="23"/>
      <c r="V5" s="48"/>
      <c r="W5" s="23" t="s">
        <v>1979</v>
      </c>
      <c r="X5" s="66"/>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row>
    <row r="6" spans="1:135" ht="30" customHeight="1" thickBot="1" x14ac:dyDescent="0.3">
      <c r="A6" s="578">
        <v>10000001584</v>
      </c>
      <c r="B6" s="51" t="s">
        <v>1265</v>
      </c>
      <c r="C6" s="99" t="s">
        <v>1267</v>
      </c>
      <c r="D6" s="10" t="s">
        <v>24</v>
      </c>
      <c r="E6" s="28" t="s">
        <v>25</v>
      </c>
      <c r="F6" s="20" t="s">
        <v>1269</v>
      </c>
      <c r="G6" s="12" t="s">
        <v>1270</v>
      </c>
      <c r="H6" s="53" t="s">
        <v>1273</v>
      </c>
      <c r="I6" s="18" t="s">
        <v>1274</v>
      </c>
      <c r="J6" s="18" t="s">
        <v>1276</v>
      </c>
      <c r="K6" s="23" t="s">
        <v>1285</v>
      </c>
      <c r="L6" s="21" t="str">
        <f>"RUTL-"&amp;RIGHT(K6,8)</f>
        <v>RUTL-PC1SQYK7</v>
      </c>
      <c r="M6" s="34" t="s">
        <v>40</v>
      </c>
      <c r="N6" s="39" t="s">
        <v>94</v>
      </c>
      <c r="O6" s="39" t="s">
        <v>1287</v>
      </c>
      <c r="P6" s="39" t="s">
        <v>864</v>
      </c>
      <c r="Q6" s="23"/>
      <c r="R6" s="23"/>
      <c r="S6" s="23"/>
      <c r="T6" s="41" t="s">
        <v>1291</v>
      </c>
      <c r="U6" s="23" t="s">
        <v>1294</v>
      </c>
      <c r="V6" s="23"/>
      <c r="W6" s="23"/>
      <c r="X6" s="66"/>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row>
    <row r="7" spans="1:135" ht="30" customHeight="1" thickBot="1" x14ac:dyDescent="0.3">
      <c r="A7" s="578">
        <v>10000001588</v>
      </c>
      <c r="B7" s="23"/>
      <c r="C7" s="99" t="s">
        <v>1306</v>
      </c>
      <c r="D7" s="10" t="s">
        <v>24</v>
      </c>
      <c r="E7" s="28" t="s">
        <v>25</v>
      </c>
      <c r="F7" s="20" t="s">
        <v>1308</v>
      </c>
      <c r="G7" s="12" t="s">
        <v>1270</v>
      </c>
      <c r="H7" s="53" t="s">
        <v>1273</v>
      </c>
      <c r="I7" s="18" t="s">
        <v>1310</v>
      </c>
      <c r="J7" s="18" t="s">
        <v>1276</v>
      </c>
      <c r="K7" s="23" t="s">
        <v>1320</v>
      </c>
      <c r="L7" s="21" t="str">
        <f>"RUTL-"&amp;RIGHT(K7,8)</f>
        <v>RUTL-PC1SQYJW</v>
      </c>
      <c r="M7" s="34" t="s">
        <v>40</v>
      </c>
      <c r="N7" s="39" t="s">
        <v>87</v>
      </c>
      <c r="O7" s="39" t="s">
        <v>1325</v>
      </c>
      <c r="P7" s="39" t="s">
        <v>864</v>
      </c>
      <c r="Q7" s="23"/>
      <c r="R7" s="23"/>
      <c r="S7" s="23"/>
      <c r="T7" s="41" t="s">
        <v>65</v>
      </c>
      <c r="U7" s="23" t="s">
        <v>1327</v>
      </c>
      <c r="V7" s="23"/>
      <c r="W7" s="23"/>
      <c r="X7" s="66"/>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row>
    <row r="8" spans="1:135" ht="30" customHeight="1" thickBot="1" x14ac:dyDescent="0.3">
      <c r="A8" s="578">
        <v>10000001589</v>
      </c>
      <c r="B8" s="51" t="s">
        <v>1731</v>
      </c>
      <c r="C8" s="69" t="s">
        <v>1734</v>
      </c>
      <c r="D8" s="10" t="s">
        <v>24</v>
      </c>
      <c r="E8" s="28" t="s">
        <v>25</v>
      </c>
      <c r="F8" s="20" t="s">
        <v>1737</v>
      </c>
      <c r="G8" s="12" t="s">
        <v>1270</v>
      </c>
      <c r="H8" s="53" t="s">
        <v>1273</v>
      </c>
      <c r="I8" s="18" t="s">
        <v>1274</v>
      </c>
      <c r="J8" s="18" t="s">
        <v>1276</v>
      </c>
      <c r="K8" s="23" t="s">
        <v>1746</v>
      </c>
      <c r="L8" s="21" t="str">
        <f>"RUTL-"&amp;RIGHT(K8,8)</f>
        <v>RUTL-PC1SQYHK</v>
      </c>
      <c r="M8" s="34" t="s">
        <v>40</v>
      </c>
      <c r="N8" s="39" t="s">
        <v>87</v>
      </c>
      <c r="O8" s="39" t="s">
        <v>1749</v>
      </c>
      <c r="P8" s="39" t="s">
        <v>864</v>
      </c>
      <c r="Q8" s="23"/>
      <c r="R8" s="15" t="s">
        <v>56</v>
      </c>
      <c r="S8" s="37" t="s">
        <v>57</v>
      </c>
      <c r="T8" s="107" t="s">
        <v>1753</v>
      </c>
      <c r="U8" s="47" t="s">
        <v>1757</v>
      </c>
      <c r="V8" s="23"/>
      <c r="W8" s="23"/>
      <c r="X8" s="66"/>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row>
    <row r="9" spans="1:135" ht="30" customHeight="1" thickBot="1" x14ac:dyDescent="0.3">
      <c r="A9" s="578">
        <v>10000001730</v>
      </c>
      <c r="B9" s="8">
        <v>119</v>
      </c>
      <c r="C9" s="69" t="s">
        <v>334</v>
      </c>
      <c r="D9" s="10" t="s">
        <v>24</v>
      </c>
      <c r="E9" s="11" t="s">
        <v>25</v>
      </c>
      <c r="F9" s="29" t="s">
        <v>335</v>
      </c>
      <c r="G9" s="15" t="s">
        <v>285</v>
      </c>
      <c r="H9" s="125" t="s">
        <v>337</v>
      </c>
      <c r="I9" s="18" t="s">
        <v>257</v>
      </c>
      <c r="J9" s="24" t="s">
        <v>338</v>
      </c>
      <c r="K9" s="23" t="s">
        <v>339</v>
      </c>
      <c r="L9" s="25" t="str">
        <f>"RUTL-"&amp;RIGHT(K9,8)</f>
        <v>RUTL-5E20911A</v>
      </c>
      <c r="M9" s="34" t="s">
        <v>40</v>
      </c>
      <c r="N9" s="32" t="s">
        <v>43</v>
      </c>
      <c r="O9" s="32"/>
      <c r="P9" s="90" t="s">
        <v>90</v>
      </c>
      <c r="Q9" s="100"/>
      <c r="R9" s="15" t="s">
        <v>235</v>
      </c>
      <c r="S9" s="126" t="s">
        <v>340</v>
      </c>
      <c r="T9" s="32"/>
      <c r="U9" s="39" t="s">
        <v>344</v>
      </c>
      <c r="V9" s="32"/>
      <c r="W9" s="32"/>
      <c r="X9" s="66"/>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row>
    <row r="10" spans="1:135" ht="30" customHeight="1" thickBot="1" x14ac:dyDescent="0.3">
      <c r="A10" s="578">
        <v>10000001757</v>
      </c>
      <c r="B10" s="90" t="s">
        <v>1849</v>
      </c>
      <c r="C10" s="90" t="s">
        <v>1849</v>
      </c>
      <c r="D10" s="27" t="s">
        <v>1763</v>
      </c>
      <c r="E10" s="11" t="s">
        <v>25</v>
      </c>
      <c r="F10" s="12" t="s">
        <v>1973</v>
      </c>
      <c r="G10" s="15" t="s">
        <v>285</v>
      </c>
      <c r="H10" s="267" t="s">
        <v>1646</v>
      </c>
      <c r="I10" s="24" t="s">
        <v>185</v>
      </c>
      <c r="J10" s="24" t="s">
        <v>1974</v>
      </c>
      <c r="K10" s="106" t="s">
        <v>1975</v>
      </c>
      <c r="L10" s="106" t="s">
        <v>1976</v>
      </c>
      <c r="M10" s="109"/>
      <c r="N10" s="23" t="s">
        <v>1977</v>
      </c>
      <c r="O10" s="23"/>
      <c r="P10" s="110"/>
      <c r="Q10" s="39"/>
      <c r="R10" s="15"/>
      <c r="S10" s="37"/>
      <c r="T10" s="64"/>
      <c r="U10" s="23" t="s">
        <v>1978</v>
      </c>
      <c r="V10" s="48"/>
      <c r="W10" s="23" t="s">
        <v>1979</v>
      </c>
      <c r="X10" s="66"/>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row>
    <row r="11" spans="1:135" ht="30" customHeight="1" thickBot="1" x14ac:dyDescent="0.3">
      <c r="A11" s="578">
        <v>10000001758</v>
      </c>
      <c r="B11" s="8">
        <v>8143</v>
      </c>
      <c r="C11" s="72" t="s">
        <v>4342</v>
      </c>
      <c r="D11" s="10" t="s">
        <v>4343</v>
      </c>
      <c r="E11" s="11" t="s">
        <v>25</v>
      </c>
      <c r="F11" s="20" t="s">
        <v>4344</v>
      </c>
      <c r="G11" s="15" t="s">
        <v>4282</v>
      </c>
      <c r="H11" s="119" t="s">
        <v>370</v>
      </c>
      <c r="I11" s="18" t="s">
        <v>772</v>
      </c>
      <c r="J11" s="24" t="s">
        <v>1974</v>
      </c>
      <c r="K11" s="33" t="s">
        <v>4345</v>
      </c>
      <c r="L11" s="25" t="str">
        <f>"RUTL-"&amp;RIGHT(K11,8)</f>
        <v>RUTL-1GS51B3</v>
      </c>
      <c r="M11" s="34" t="s">
        <v>40</v>
      </c>
      <c r="N11" s="32" t="s">
        <v>54</v>
      </c>
      <c r="O11" s="23"/>
      <c r="P11" s="90" t="s">
        <v>90</v>
      </c>
      <c r="Q11" s="63" t="s">
        <v>3384</v>
      </c>
      <c r="R11" s="15" t="s">
        <v>56</v>
      </c>
      <c r="S11" s="232" t="s">
        <v>296</v>
      </c>
      <c r="T11" s="96" t="s">
        <v>148</v>
      </c>
      <c r="U11" s="39" t="s">
        <v>4346</v>
      </c>
      <c r="V11" s="48"/>
      <c r="W11" s="23"/>
      <c r="X11" s="66"/>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row>
    <row r="12" spans="1:135" ht="30" customHeight="1" thickBot="1" x14ac:dyDescent="0.3">
      <c r="A12" s="578">
        <v>10000001761</v>
      </c>
      <c r="B12" s="217" t="s">
        <v>1079</v>
      </c>
      <c r="C12" s="221" t="s">
        <v>1080</v>
      </c>
      <c r="D12" s="10" t="s">
        <v>24</v>
      </c>
      <c r="E12" s="28" t="s">
        <v>25</v>
      </c>
      <c r="F12" s="62"/>
      <c r="G12" s="62"/>
      <c r="H12" s="102" t="s">
        <v>97</v>
      </c>
      <c r="I12" s="24" t="s">
        <v>350</v>
      </c>
      <c r="J12" s="24" t="s">
        <v>1081</v>
      </c>
      <c r="K12" s="33" t="s">
        <v>1083</v>
      </c>
      <c r="L12" s="25" t="str">
        <f>"RUTL-"&amp;RIGHT(K12,8)</f>
        <v>RUTL-S1019GMA</v>
      </c>
      <c r="M12" s="109"/>
      <c r="N12" s="23"/>
      <c r="O12" s="23"/>
      <c r="P12" s="33"/>
      <c r="Q12" s="39"/>
      <c r="R12" s="15"/>
      <c r="S12" s="37"/>
      <c r="T12" s="64"/>
      <c r="U12" s="23"/>
      <c r="V12" s="48"/>
      <c r="W12" s="23"/>
      <c r="X12" s="66"/>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row>
    <row r="13" spans="1:135" ht="30" customHeight="1" thickBot="1" x14ac:dyDescent="0.3">
      <c r="A13" s="578">
        <v>10000001778</v>
      </c>
      <c r="B13" s="51">
        <v>15289</v>
      </c>
      <c r="C13" s="72" t="s">
        <v>6157</v>
      </c>
      <c r="D13" s="10" t="s">
        <v>24</v>
      </c>
      <c r="E13" s="11" t="s">
        <v>25</v>
      </c>
      <c r="F13" s="29" t="s">
        <v>6158</v>
      </c>
      <c r="G13" s="15" t="s">
        <v>2764</v>
      </c>
      <c r="H13" s="336" t="s">
        <v>1109</v>
      </c>
      <c r="I13" s="24" t="s">
        <v>135</v>
      </c>
      <c r="J13" s="24" t="s">
        <v>359</v>
      </c>
      <c r="K13" s="23" t="s">
        <v>6162</v>
      </c>
      <c r="L13" s="25" t="str">
        <f>"RUTL-"&amp;RIGHT(K13,8)</f>
        <v>RUTL-PF24AA0A</v>
      </c>
      <c r="M13" s="34" t="s">
        <v>40</v>
      </c>
      <c r="N13" s="32" t="s">
        <v>87</v>
      </c>
      <c r="O13" s="32"/>
      <c r="P13" s="90" t="s">
        <v>90</v>
      </c>
      <c r="Q13" s="100"/>
      <c r="R13" s="15" t="s">
        <v>56</v>
      </c>
      <c r="S13" s="37" t="s">
        <v>57</v>
      </c>
      <c r="T13" s="107" t="s">
        <v>453</v>
      </c>
      <c r="U13" s="39" t="s">
        <v>6027</v>
      </c>
      <c r="V13" s="44">
        <v>44551</v>
      </c>
      <c r="W13" s="32" t="s">
        <v>1021</v>
      </c>
      <c r="X13" s="66"/>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row>
    <row r="14" spans="1:135" ht="30" customHeight="1" thickBot="1" x14ac:dyDescent="0.3">
      <c r="A14" s="578">
        <v>10000001791</v>
      </c>
      <c r="B14" s="8">
        <v>120</v>
      </c>
      <c r="C14" s="128" t="s">
        <v>353</v>
      </c>
      <c r="D14" s="10" t="s">
        <v>24</v>
      </c>
      <c r="E14" s="11" t="s">
        <v>25</v>
      </c>
      <c r="F14" s="29" t="s">
        <v>354</v>
      </c>
      <c r="G14" s="15" t="s">
        <v>355</v>
      </c>
      <c r="H14" s="131" t="s">
        <v>356</v>
      </c>
      <c r="I14" s="24" t="s">
        <v>117</v>
      </c>
      <c r="J14" s="24" t="s">
        <v>359</v>
      </c>
      <c r="K14" s="23" t="s">
        <v>360</v>
      </c>
      <c r="L14" s="25" t="str">
        <f>"RUTL-"&amp;RIGHT(K14,8)</f>
        <v>RUTL-PF24A8SV</v>
      </c>
      <c r="M14" s="34" t="s">
        <v>40</v>
      </c>
      <c r="N14" s="90" t="s">
        <v>87</v>
      </c>
      <c r="O14" s="32"/>
      <c r="P14" s="90" t="s">
        <v>90</v>
      </c>
      <c r="Q14" s="100"/>
      <c r="R14" s="15" t="s">
        <v>235</v>
      </c>
      <c r="S14" s="126" t="s">
        <v>340</v>
      </c>
      <c r="T14" s="32"/>
      <c r="U14" s="39" t="s">
        <v>361</v>
      </c>
      <c r="V14" s="32"/>
      <c r="W14" s="32"/>
      <c r="X14" s="66"/>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row>
    <row r="15" spans="1:135" ht="30" customHeight="1" thickBot="1" x14ac:dyDescent="0.3">
      <c r="A15" s="578">
        <v>10000001793</v>
      </c>
      <c r="B15" s="90" t="s">
        <v>1849</v>
      </c>
      <c r="C15" s="90" t="s">
        <v>1849</v>
      </c>
      <c r="D15" s="27" t="s">
        <v>1959</v>
      </c>
      <c r="E15" s="11" t="s">
        <v>25</v>
      </c>
      <c r="F15" s="12" t="s">
        <v>1960</v>
      </c>
      <c r="G15" s="15" t="s">
        <v>1961</v>
      </c>
      <c r="H15" s="267" t="s">
        <v>1646</v>
      </c>
      <c r="I15" s="24" t="s">
        <v>185</v>
      </c>
      <c r="J15" s="24" t="s">
        <v>359</v>
      </c>
      <c r="K15" s="106" t="s">
        <v>1963</v>
      </c>
      <c r="L15" s="106" t="s">
        <v>1964</v>
      </c>
      <c r="M15" s="109"/>
      <c r="N15" s="23" t="s">
        <v>410</v>
      </c>
      <c r="O15" s="23" t="s">
        <v>1965</v>
      </c>
      <c r="P15" s="110" t="s">
        <v>90</v>
      </c>
      <c r="Q15" s="39"/>
      <c r="R15" s="15" t="s">
        <v>56</v>
      </c>
      <c r="S15" s="37" t="s">
        <v>57</v>
      </c>
      <c r="T15" s="64" t="s">
        <v>148</v>
      </c>
      <c r="U15" s="23" t="s">
        <v>819</v>
      </c>
      <c r="V15" s="48"/>
      <c r="W15" s="23"/>
      <c r="X15" s="66"/>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row>
    <row r="16" spans="1:135" ht="30" customHeight="1" thickBot="1" x14ac:dyDescent="0.35">
      <c r="A16" s="578">
        <v>10000001797</v>
      </c>
      <c r="B16" s="90" t="s">
        <v>1849</v>
      </c>
      <c r="C16" s="90" t="s">
        <v>1849</v>
      </c>
      <c r="D16" s="27" t="s">
        <v>1936</v>
      </c>
      <c r="E16" s="266" t="s">
        <v>25</v>
      </c>
      <c r="F16" s="12" t="s">
        <v>1937</v>
      </c>
      <c r="G16" s="15" t="s">
        <v>1939</v>
      </c>
      <c r="H16" s="267" t="s">
        <v>1646</v>
      </c>
      <c r="I16" s="24" t="s">
        <v>185</v>
      </c>
      <c r="J16" s="24" t="s">
        <v>359</v>
      </c>
      <c r="K16" s="106" t="s">
        <v>1943</v>
      </c>
      <c r="L16" s="106" t="s">
        <v>1944</v>
      </c>
      <c r="M16" s="109"/>
      <c r="N16" s="23" t="s">
        <v>319</v>
      </c>
      <c r="O16" s="23"/>
      <c r="P16" s="110" t="s">
        <v>90</v>
      </c>
      <c r="Q16" s="39" t="s">
        <v>1947</v>
      </c>
      <c r="R16" s="15" t="s">
        <v>235</v>
      </c>
      <c r="S16" s="37" t="s">
        <v>57</v>
      </c>
      <c r="T16" s="64" t="s">
        <v>148</v>
      </c>
      <c r="U16" s="23" t="s">
        <v>1948</v>
      </c>
      <c r="V16" s="48"/>
      <c r="W16" s="23"/>
      <c r="X16" s="66"/>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row>
    <row r="17" spans="1:135" ht="30" customHeight="1" thickBot="1" x14ac:dyDescent="0.3">
      <c r="A17" s="578">
        <v>100000001592</v>
      </c>
      <c r="B17" s="23" t="s">
        <v>1692</v>
      </c>
      <c r="C17" s="99" t="s">
        <v>1693</v>
      </c>
      <c r="D17" s="10" t="s">
        <v>24</v>
      </c>
      <c r="E17" s="28" t="s">
        <v>25</v>
      </c>
      <c r="F17" s="20"/>
      <c r="G17" s="12" t="s">
        <v>1270</v>
      </c>
      <c r="H17" s="53" t="s">
        <v>1273</v>
      </c>
      <c r="I17" s="18" t="s">
        <v>1274</v>
      </c>
      <c r="J17" s="18" t="s">
        <v>1276</v>
      </c>
      <c r="K17" s="23" t="s">
        <v>1701</v>
      </c>
      <c r="L17" s="21" t="str">
        <f>"RUTL-"&amp;RIGHT(K17,8)</f>
        <v>RUTL-PC1SQYHA</v>
      </c>
      <c r="M17" s="34" t="s">
        <v>40</v>
      </c>
      <c r="N17" s="39" t="s">
        <v>87</v>
      </c>
      <c r="O17" s="39" t="s">
        <v>1713</v>
      </c>
      <c r="P17" s="39" t="s">
        <v>864</v>
      </c>
      <c r="Q17" s="23"/>
      <c r="R17" s="15" t="s">
        <v>56</v>
      </c>
      <c r="S17" s="37" t="s">
        <v>57</v>
      </c>
      <c r="T17" s="107" t="s">
        <v>1716</v>
      </c>
      <c r="U17" s="47" t="s">
        <v>1717</v>
      </c>
      <c r="V17" s="23"/>
      <c r="W17" s="23"/>
      <c r="X17" s="66"/>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row>
    <row r="18" spans="1:135" ht="30" customHeight="1" thickBot="1" x14ac:dyDescent="0.3">
      <c r="A18" s="578">
        <v>100000001690</v>
      </c>
      <c r="B18" s="16">
        <v>8233</v>
      </c>
      <c r="C18" s="9" t="s">
        <v>4386</v>
      </c>
      <c r="D18" s="10" t="s">
        <v>24</v>
      </c>
      <c r="E18" s="11" t="s">
        <v>25</v>
      </c>
      <c r="F18" s="29" t="s">
        <v>4387</v>
      </c>
      <c r="G18" s="15" t="s">
        <v>3219</v>
      </c>
      <c r="H18" s="292" t="s">
        <v>1573</v>
      </c>
      <c r="I18" s="24" t="s">
        <v>48</v>
      </c>
      <c r="J18" s="24" t="s">
        <v>1574</v>
      </c>
      <c r="K18" s="33" t="s">
        <v>4388</v>
      </c>
      <c r="L18" s="25" t="str">
        <f>"RUTL-"&amp;RIGHT(K18,8)</f>
        <v>RUTL-6J4HDF2</v>
      </c>
      <c r="M18" s="34" t="s">
        <v>40</v>
      </c>
      <c r="N18" s="32"/>
      <c r="O18" s="32"/>
      <c r="P18" s="90" t="s">
        <v>90</v>
      </c>
      <c r="Q18" s="91" t="s">
        <v>4389</v>
      </c>
      <c r="R18" s="15" t="s">
        <v>56</v>
      </c>
      <c r="S18" s="32"/>
      <c r="T18" s="101" t="s">
        <v>96</v>
      </c>
      <c r="U18" s="39" t="s">
        <v>4390</v>
      </c>
      <c r="V18" s="48">
        <v>44551</v>
      </c>
      <c r="W18" s="32" t="s">
        <v>1585</v>
      </c>
      <c r="X18" s="66"/>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row>
    <row r="19" spans="1:135" ht="30" customHeight="1" thickBot="1" x14ac:dyDescent="0.3">
      <c r="A19" s="578">
        <v>100000002686</v>
      </c>
      <c r="B19" s="51">
        <v>7450</v>
      </c>
      <c r="C19" s="72" t="s">
        <v>4171</v>
      </c>
      <c r="D19" s="10" t="s">
        <v>24</v>
      </c>
      <c r="E19" s="11" t="s">
        <v>25</v>
      </c>
      <c r="F19" s="20" t="s">
        <v>4172</v>
      </c>
      <c r="G19" s="15" t="s">
        <v>4153</v>
      </c>
      <c r="H19" s="17" t="s">
        <v>470</v>
      </c>
      <c r="I19" s="18" t="s">
        <v>135</v>
      </c>
      <c r="J19" s="18" t="s">
        <v>382</v>
      </c>
      <c r="K19" s="33" t="s">
        <v>4173</v>
      </c>
      <c r="L19" s="25" t="str">
        <f>"RUTL-"&amp;RIGHT(K19,8)</f>
        <v>RUTL-8A053400</v>
      </c>
      <c r="M19" s="34" t="s">
        <v>40</v>
      </c>
      <c r="N19" s="23" t="s">
        <v>43</v>
      </c>
      <c r="O19" s="23"/>
      <c r="P19" s="23" t="s">
        <v>1231</v>
      </c>
      <c r="Q19" s="364" t="s">
        <v>4174</v>
      </c>
      <c r="R19" s="15" t="s">
        <v>56</v>
      </c>
      <c r="S19" s="17" t="s">
        <v>669</v>
      </c>
      <c r="T19" s="105" t="s">
        <v>148</v>
      </c>
      <c r="U19" s="39" t="s">
        <v>1541</v>
      </c>
      <c r="V19" s="32">
        <v>2024</v>
      </c>
      <c r="W19" s="32" t="s">
        <v>386</v>
      </c>
      <c r="X19" s="66"/>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row>
    <row r="20" spans="1:135" ht="30" customHeight="1" thickBot="1" x14ac:dyDescent="0.3">
      <c r="A20" s="578">
        <v>100000002687</v>
      </c>
      <c r="B20" s="405" t="s">
        <v>6208</v>
      </c>
      <c r="C20" s="99" t="s">
        <v>6224</v>
      </c>
      <c r="D20" s="10" t="s">
        <v>24</v>
      </c>
      <c r="E20" s="122" t="s">
        <v>6174</v>
      </c>
      <c r="F20" s="20" t="s">
        <v>6225</v>
      </c>
      <c r="G20" s="15" t="s">
        <v>6226</v>
      </c>
      <c r="H20" s="147" t="s">
        <v>1882</v>
      </c>
      <c r="I20" s="18" t="s">
        <v>4490</v>
      </c>
      <c r="J20" s="18" t="s">
        <v>382</v>
      </c>
      <c r="K20" s="23" t="s">
        <v>6228</v>
      </c>
      <c r="L20" s="21" t="str">
        <f>"RUTL-"&amp;RIGHT(K20,8)</f>
        <v>RUTL-89093400</v>
      </c>
      <c r="M20" s="34" t="s">
        <v>40</v>
      </c>
      <c r="N20" s="39" t="s">
        <v>473</v>
      </c>
      <c r="O20" s="23"/>
      <c r="P20" s="39" t="s">
        <v>90</v>
      </c>
      <c r="Q20" s="39" t="s">
        <v>6229</v>
      </c>
      <c r="R20" s="15" t="s">
        <v>56</v>
      </c>
      <c r="S20" s="40" t="s">
        <v>57</v>
      </c>
      <c r="T20" s="107" t="s">
        <v>148</v>
      </c>
      <c r="U20" s="39" t="s">
        <v>2463</v>
      </c>
      <c r="V20" s="23">
        <v>2024</v>
      </c>
      <c r="W20" s="23" t="s">
        <v>386</v>
      </c>
      <c r="X20" s="66"/>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row>
    <row r="21" spans="1:135" ht="30" customHeight="1" thickBot="1" x14ac:dyDescent="0.3">
      <c r="A21" s="578">
        <v>100000002688</v>
      </c>
      <c r="B21" s="51"/>
      <c r="C21" s="72" t="s">
        <v>2013</v>
      </c>
      <c r="D21" s="15" t="s">
        <v>24</v>
      </c>
      <c r="E21" s="11" t="s">
        <v>25</v>
      </c>
      <c r="F21" s="20" t="s">
        <v>2014</v>
      </c>
      <c r="G21" s="15" t="s">
        <v>2015</v>
      </c>
      <c r="H21" s="17" t="s">
        <v>470</v>
      </c>
      <c r="I21" s="18" t="s">
        <v>38</v>
      </c>
      <c r="J21" s="18" t="s">
        <v>382</v>
      </c>
      <c r="K21" s="33" t="s">
        <v>2016</v>
      </c>
      <c r="L21" s="25" t="str">
        <f>"RUTL-"&amp;RIGHT(K21,8)</f>
        <v>RUTL-8A093400</v>
      </c>
      <c r="M21" s="144" t="s">
        <v>40</v>
      </c>
      <c r="N21" s="23" t="s">
        <v>43</v>
      </c>
      <c r="O21" s="23"/>
      <c r="P21" s="39" t="s">
        <v>90</v>
      </c>
      <c r="Q21" s="39" t="s">
        <v>2017</v>
      </c>
      <c r="R21" s="15" t="s">
        <v>56</v>
      </c>
      <c r="S21" s="37" t="s">
        <v>57</v>
      </c>
      <c r="T21" s="107" t="s">
        <v>2018</v>
      </c>
      <c r="U21" s="47" t="s">
        <v>2019</v>
      </c>
      <c r="V21" s="170">
        <v>2024</v>
      </c>
      <c r="W21" s="23" t="s">
        <v>386</v>
      </c>
      <c r="X21" s="66"/>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row>
    <row r="22" spans="1:135" ht="30" customHeight="1" thickBot="1" x14ac:dyDescent="0.3">
      <c r="A22" s="578">
        <v>100000002689</v>
      </c>
      <c r="B22" s="8">
        <v>4345</v>
      </c>
      <c r="C22" s="72" t="s">
        <v>3554</v>
      </c>
      <c r="D22" s="15" t="s">
        <v>24</v>
      </c>
      <c r="E22" s="11" t="s">
        <v>25</v>
      </c>
      <c r="F22" s="20" t="s">
        <v>3555</v>
      </c>
      <c r="G22" s="15" t="s">
        <v>3556</v>
      </c>
      <c r="H22" s="17" t="s">
        <v>29</v>
      </c>
      <c r="I22" s="18" t="s">
        <v>135</v>
      </c>
      <c r="J22" s="18" t="s">
        <v>382</v>
      </c>
      <c r="K22" s="33" t="s">
        <v>3557</v>
      </c>
      <c r="L22" s="25" t="str">
        <f>"RUTL-"&amp;RIGHT(K22,8)</f>
        <v>RUTL-8DC83400</v>
      </c>
      <c r="M22" s="34" t="s">
        <v>40</v>
      </c>
      <c r="N22" s="39" t="s">
        <v>94</v>
      </c>
      <c r="O22" s="23"/>
      <c r="P22" s="39" t="s">
        <v>90</v>
      </c>
      <c r="Q22" s="243" t="s">
        <v>3558</v>
      </c>
      <c r="R22" s="15" t="s">
        <v>56</v>
      </c>
      <c r="S22" s="37" t="s">
        <v>57</v>
      </c>
      <c r="T22" s="107" t="s">
        <v>453</v>
      </c>
      <c r="U22" s="39" t="s">
        <v>1176</v>
      </c>
      <c r="V22" s="170">
        <v>45385</v>
      </c>
      <c r="W22" s="23" t="s">
        <v>386</v>
      </c>
      <c r="X22" s="66"/>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row>
    <row r="23" spans="1:135" ht="30" customHeight="1" thickBot="1" x14ac:dyDescent="0.3">
      <c r="A23" s="578">
        <v>100000002700</v>
      </c>
      <c r="B23" s="442">
        <v>11053</v>
      </c>
      <c r="C23" s="72" t="s">
        <v>4932</v>
      </c>
      <c r="D23" s="10" t="s">
        <v>24</v>
      </c>
      <c r="E23" s="10" t="s">
        <v>25</v>
      </c>
      <c r="F23" s="20" t="s">
        <v>4933</v>
      </c>
      <c r="G23" s="15" t="s">
        <v>4544</v>
      </c>
      <c r="H23" s="53" t="s">
        <v>337</v>
      </c>
      <c r="I23" s="18" t="s">
        <v>117</v>
      </c>
      <c r="J23" s="24" t="s">
        <v>4934</v>
      </c>
      <c r="K23" s="23" t="s">
        <v>4935</v>
      </c>
      <c r="L23" s="25" t="str">
        <f>"RUTL-"&amp;RIGHT(K23,8)</f>
        <v>RUTL-MP2KDZYH</v>
      </c>
      <c r="M23" s="34" t="s">
        <v>40</v>
      </c>
      <c r="N23" s="15" t="s">
        <v>4936</v>
      </c>
      <c r="O23" s="227"/>
      <c r="P23" s="39" t="s">
        <v>90</v>
      </c>
      <c r="Q23" s="63" t="s">
        <v>4937</v>
      </c>
      <c r="R23" s="15" t="s">
        <v>56</v>
      </c>
      <c r="S23" s="37" t="s">
        <v>57</v>
      </c>
      <c r="T23" s="105" t="s">
        <v>148</v>
      </c>
      <c r="U23" s="39" t="s">
        <v>4754</v>
      </c>
      <c r="V23" s="23"/>
      <c r="W23" s="23"/>
      <c r="X23" s="66"/>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row>
    <row r="24" spans="1:135" ht="30" customHeight="1" thickBot="1" x14ac:dyDescent="0.3">
      <c r="A24" s="578">
        <v>100000003372</v>
      </c>
      <c r="B24" s="8">
        <v>15253</v>
      </c>
      <c r="C24" s="72" t="s">
        <v>6142</v>
      </c>
      <c r="D24" s="10" t="s">
        <v>24</v>
      </c>
      <c r="E24" s="11" t="s">
        <v>25</v>
      </c>
      <c r="F24" s="20" t="s">
        <v>6143</v>
      </c>
      <c r="G24" s="15" t="s">
        <v>3455</v>
      </c>
      <c r="H24" s="102" t="s">
        <v>287</v>
      </c>
      <c r="I24" s="18" t="s">
        <v>135</v>
      </c>
      <c r="J24" s="18" t="s">
        <v>382</v>
      </c>
      <c r="K24" s="23" t="s">
        <v>6144</v>
      </c>
      <c r="L24" s="25" t="str">
        <f>"RUTL-"&amp;RIGHT(K24,8)</f>
        <v>RUTL-8A5D3400</v>
      </c>
      <c r="M24" s="34" t="s">
        <v>40</v>
      </c>
      <c r="N24" s="23" t="s">
        <v>54</v>
      </c>
      <c r="O24" s="23"/>
      <c r="P24" s="39" t="s">
        <v>90</v>
      </c>
      <c r="Q24" s="328"/>
      <c r="R24" s="15" t="s">
        <v>56</v>
      </c>
      <c r="S24" s="232" t="s">
        <v>296</v>
      </c>
      <c r="T24" s="107" t="s">
        <v>453</v>
      </c>
      <c r="U24" s="39" t="s">
        <v>538</v>
      </c>
      <c r="V24" s="32">
        <v>2024</v>
      </c>
      <c r="W24" s="23" t="s">
        <v>386</v>
      </c>
      <c r="X24" s="66"/>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row>
    <row r="25" spans="1:135" ht="30" customHeight="1" thickBot="1" x14ac:dyDescent="0.3">
      <c r="A25" s="578">
        <v>100000003373</v>
      </c>
      <c r="B25" s="16">
        <v>8336</v>
      </c>
      <c r="C25" s="72" t="s">
        <v>4416</v>
      </c>
      <c r="D25" s="10" t="s">
        <v>24</v>
      </c>
      <c r="E25" s="11" t="s">
        <v>25</v>
      </c>
      <c r="F25" s="20" t="s">
        <v>4417</v>
      </c>
      <c r="G25" s="15" t="s">
        <v>3387</v>
      </c>
      <c r="H25" s="291" t="s">
        <v>3087</v>
      </c>
      <c r="I25" s="18" t="s">
        <v>135</v>
      </c>
      <c r="J25" s="18" t="s">
        <v>382</v>
      </c>
      <c r="K25" s="33" t="s">
        <v>4418</v>
      </c>
      <c r="L25" s="25" t="str">
        <f>"RUTL-"&amp;RIGHT(K25,8)</f>
        <v>RUTL-8BB23400</v>
      </c>
      <c r="M25" s="34" t="s">
        <v>40</v>
      </c>
      <c r="N25" s="23"/>
      <c r="O25" s="23"/>
      <c r="P25" s="23"/>
      <c r="Q25" s="113"/>
      <c r="R25" s="15" t="s">
        <v>56</v>
      </c>
      <c r="S25" s="37" t="s">
        <v>57</v>
      </c>
      <c r="T25" s="107" t="s">
        <v>453</v>
      </c>
      <c r="U25" s="39" t="s">
        <v>4419</v>
      </c>
      <c r="V25" s="23">
        <v>2024</v>
      </c>
      <c r="W25" s="23" t="s">
        <v>386</v>
      </c>
      <c r="X25" s="66"/>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row>
    <row r="26" spans="1:135" ht="30" customHeight="1" thickBot="1" x14ac:dyDescent="0.3">
      <c r="A26" s="578">
        <v>100000003639</v>
      </c>
      <c r="B26" s="16">
        <v>849</v>
      </c>
      <c r="C26" s="9" t="s">
        <v>2038</v>
      </c>
      <c r="D26" s="15" t="s">
        <v>24</v>
      </c>
      <c r="E26" s="11" t="s">
        <v>25</v>
      </c>
      <c r="F26" s="29" t="s">
        <v>2039</v>
      </c>
      <c r="G26" s="15" t="s">
        <v>2040</v>
      </c>
      <c r="H26" s="22" t="s">
        <v>2041</v>
      </c>
      <c r="I26" s="24" t="s">
        <v>135</v>
      </c>
      <c r="J26" s="24" t="s">
        <v>412</v>
      </c>
      <c r="K26" s="32" t="s">
        <v>2043</v>
      </c>
      <c r="L26" s="25" t="str">
        <f>"RUTL-"&amp;RIGHT(K26,8)</f>
        <v>RUTL-60820202</v>
      </c>
      <c r="M26" s="34" t="s">
        <v>40</v>
      </c>
      <c r="N26" s="32" t="s">
        <v>43</v>
      </c>
      <c r="O26" s="32"/>
      <c r="P26" s="88" t="s">
        <v>2044</v>
      </c>
      <c r="Q26" s="116" t="s">
        <v>2047</v>
      </c>
      <c r="R26" s="15" t="s">
        <v>56</v>
      </c>
      <c r="S26" s="40" t="s">
        <v>57</v>
      </c>
      <c r="T26" s="105" t="s">
        <v>148</v>
      </c>
      <c r="U26" s="39" t="s">
        <v>2051</v>
      </c>
      <c r="V26" s="32"/>
      <c r="W26" s="32"/>
      <c r="X26" s="66"/>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row>
    <row r="27" spans="1:135" ht="30" customHeight="1" thickBot="1" x14ac:dyDescent="0.3">
      <c r="A27" s="578">
        <v>100000003649</v>
      </c>
      <c r="B27" s="120" t="s">
        <v>2357</v>
      </c>
      <c r="C27" s="52" t="s">
        <v>2359</v>
      </c>
      <c r="D27" s="10" t="s">
        <v>24</v>
      </c>
      <c r="E27" s="11" t="s">
        <v>25</v>
      </c>
      <c r="F27" s="12" t="s">
        <v>2361</v>
      </c>
      <c r="G27" s="15" t="s">
        <v>606</v>
      </c>
      <c r="H27" s="53" t="s">
        <v>76</v>
      </c>
      <c r="I27" s="18" t="s">
        <v>38</v>
      </c>
      <c r="J27" s="18" t="s">
        <v>412</v>
      </c>
      <c r="K27" s="124" t="s">
        <v>2363</v>
      </c>
      <c r="L27" s="127" t="s">
        <v>2364</v>
      </c>
      <c r="M27" s="129" t="s">
        <v>40</v>
      </c>
      <c r="N27" s="39" t="s">
        <v>2365</v>
      </c>
      <c r="O27" s="39"/>
      <c r="P27" s="39" t="s">
        <v>90</v>
      </c>
      <c r="Q27" s="39" t="s">
        <v>2367</v>
      </c>
      <c r="R27" s="121" t="s">
        <v>56</v>
      </c>
      <c r="S27" s="151" t="s">
        <v>57</v>
      </c>
      <c r="T27" s="153" t="s">
        <v>453</v>
      </c>
      <c r="U27" s="138" t="s">
        <v>2368</v>
      </c>
      <c r="V27" s="23" t="s">
        <v>281</v>
      </c>
      <c r="W27" s="23"/>
      <c r="X27" s="66"/>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row>
    <row r="28" spans="1:135" ht="30" customHeight="1" thickBot="1" x14ac:dyDescent="0.3">
      <c r="A28" s="578">
        <v>100000004298</v>
      </c>
      <c r="B28" s="8">
        <v>2597</v>
      </c>
      <c r="C28" s="52" t="s">
        <v>3052</v>
      </c>
      <c r="D28" s="10" t="s">
        <v>24</v>
      </c>
      <c r="E28" s="11" t="s">
        <v>25</v>
      </c>
      <c r="F28" s="12" t="s">
        <v>3053</v>
      </c>
      <c r="G28" s="15" t="s">
        <v>3054</v>
      </c>
      <c r="H28" s="108" t="s">
        <v>225</v>
      </c>
      <c r="I28" s="18" t="s">
        <v>135</v>
      </c>
      <c r="J28" s="18" t="s">
        <v>121</v>
      </c>
      <c r="K28" s="33" t="s">
        <v>3055</v>
      </c>
      <c r="L28" s="25" t="str">
        <f>"RUTL-"&amp;RIGHT(K28,8)</f>
        <v>RUTL-02103196</v>
      </c>
      <c r="M28" s="34" t="s">
        <v>40</v>
      </c>
      <c r="N28" s="23" t="s">
        <v>43</v>
      </c>
      <c r="O28" s="32"/>
      <c r="P28" s="39" t="s">
        <v>90</v>
      </c>
      <c r="Q28" s="63" t="s">
        <v>3056</v>
      </c>
      <c r="R28" s="15" t="s">
        <v>56</v>
      </c>
      <c r="S28" s="37" t="s">
        <v>57</v>
      </c>
      <c r="T28" s="107" t="s">
        <v>453</v>
      </c>
      <c r="U28" s="39" t="s">
        <v>819</v>
      </c>
      <c r="V28" s="32"/>
      <c r="W28" s="32"/>
      <c r="X28" s="66"/>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row>
    <row r="29" spans="1:135" ht="30" customHeight="1" thickBot="1" x14ac:dyDescent="0.3">
      <c r="A29" s="578">
        <v>100000004325</v>
      </c>
      <c r="B29" s="8">
        <v>13839</v>
      </c>
      <c r="C29" s="72" t="s">
        <v>5778</v>
      </c>
      <c r="D29" s="10" t="s">
        <v>24</v>
      </c>
      <c r="E29" s="11" t="s">
        <v>25</v>
      </c>
      <c r="F29" s="345" t="s">
        <v>5779</v>
      </c>
      <c r="G29" s="15" t="s">
        <v>651</v>
      </c>
      <c r="H29" s="97" t="s">
        <v>960</v>
      </c>
      <c r="I29" s="18" t="s">
        <v>135</v>
      </c>
      <c r="J29" s="24" t="s">
        <v>412</v>
      </c>
      <c r="K29" s="23" t="s">
        <v>5780</v>
      </c>
      <c r="L29" s="25" t="str">
        <f>"RUTL-"&amp;RIGHT(K29,8)</f>
        <v>RUTL-60821006</v>
      </c>
      <c r="M29" s="34" t="s">
        <v>40</v>
      </c>
      <c r="N29" s="32" t="s">
        <v>5781</v>
      </c>
      <c r="O29" s="32"/>
      <c r="P29" s="39" t="s">
        <v>90</v>
      </c>
      <c r="Q29" s="63" t="s">
        <v>5782</v>
      </c>
      <c r="R29" s="15" t="s">
        <v>56</v>
      </c>
      <c r="S29" s="37" t="s">
        <v>57</v>
      </c>
      <c r="T29" s="107" t="s">
        <v>148</v>
      </c>
      <c r="U29" s="32" t="s">
        <v>2387</v>
      </c>
      <c r="V29" s="32"/>
      <c r="W29" s="32"/>
      <c r="X29" s="66"/>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row>
    <row r="30" spans="1:135" ht="30" customHeight="1" thickBot="1" x14ac:dyDescent="0.3">
      <c r="A30" s="578">
        <v>100000004350</v>
      </c>
      <c r="B30" s="8">
        <v>2156</v>
      </c>
      <c r="C30" s="167" t="s">
        <v>2962</v>
      </c>
      <c r="D30" s="10" t="s">
        <v>24</v>
      </c>
      <c r="E30" s="11" t="s">
        <v>25</v>
      </c>
      <c r="F30" s="12" t="s">
        <v>2963</v>
      </c>
      <c r="G30" s="15" t="s">
        <v>2964</v>
      </c>
      <c r="H30" s="119" t="s">
        <v>370</v>
      </c>
      <c r="I30" s="18" t="s">
        <v>135</v>
      </c>
      <c r="J30" s="18" t="s">
        <v>121</v>
      </c>
      <c r="K30" s="33" t="s">
        <v>2965</v>
      </c>
      <c r="L30" s="25" t="str">
        <f>"RUTL-"&amp;RIGHT(K30,8)</f>
        <v>RUTL-02103085</v>
      </c>
      <c r="M30" s="34" t="s">
        <v>40</v>
      </c>
      <c r="N30" s="23" t="s">
        <v>43</v>
      </c>
      <c r="O30" s="23"/>
      <c r="P30" s="39" t="s">
        <v>90</v>
      </c>
      <c r="Q30" s="113"/>
      <c r="R30" s="15" t="s">
        <v>56</v>
      </c>
      <c r="S30" s="37" t="s">
        <v>57</v>
      </c>
      <c r="T30" s="105" t="s">
        <v>148</v>
      </c>
      <c r="U30" s="39" t="s">
        <v>2966</v>
      </c>
      <c r="V30" s="23"/>
      <c r="W30" s="23"/>
      <c r="X30" s="66"/>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row>
    <row r="31" spans="1:135" ht="30" customHeight="1" thickBot="1" x14ac:dyDescent="0.3">
      <c r="A31" s="578">
        <v>100000004352</v>
      </c>
      <c r="B31" s="405" t="s">
        <v>6208</v>
      </c>
      <c r="C31" s="72" t="s">
        <v>6211</v>
      </c>
      <c r="D31" s="163" t="s">
        <v>24</v>
      </c>
      <c r="E31" s="122" t="s">
        <v>6174</v>
      </c>
      <c r="F31" s="20" t="s">
        <v>6213</v>
      </c>
      <c r="G31" s="15" t="s">
        <v>3721</v>
      </c>
      <c r="H31" s="147" t="s">
        <v>1882</v>
      </c>
      <c r="I31" s="18" t="s">
        <v>135</v>
      </c>
      <c r="J31" s="18" t="s">
        <v>412</v>
      </c>
      <c r="K31" s="23" t="s">
        <v>6214</v>
      </c>
      <c r="L31" s="21" t="str">
        <f>"RUTL-"&amp;RIGHT(K31,8)</f>
        <v>RUTL-60820179</v>
      </c>
      <c r="M31" s="34" t="s">
        <v>40</v>
      </c>
      <c r="N31" s="39" t="s">
        <v>5830</v>
      </c>
      <c r="O31" s="23" t="s">
        <v>6217</v>
      </c>
      <c r="P31" s="39" t="s">
        <v>90</v>
      </c>
      <c r="Q31" s="63" t="s">
        <v>6218</v>
      </c>
      <c r="R31" s="15" t="s">
        <v>56</v>
      </c>
      <c r="S31" s="37" t="s">
        <v>57</v>
      </c>
      <c r="T31" s="107" t="s">
        <v>148</v>
      </c>
      <c r="U31" s="23" t="s">
        <v>5981</v>
      </c>
      <c r="V31" s="23"/>
      <c r="W31" s="23"/>
      <c r="X31" s="66"/>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row>
    <row r="32" spans="1:135" ht="30" customHeight="1" thickBot="1" x14ac:dyDescent="0.3">
      <c r="A32" s="578">
        <v>100000004498</v>
      </c>
      <c r="B32" s="16">
        <v>15778</v>
      </c>
      <c r="C32" s="69" t="s">
        <v>6371</v>
      </c>
      <c r="D32" s="10" t="s">
        <v>24</v>
      </c>
      <c r="E32" s="11" t="s">
        <v>25</v>
      </c>
      <c r="F32" s="29" t="s">
        <v>6372</v>
      </c>
      <c r="G32" s="15" t="s">
        <v>6373</v>
      </c>
      <c r="H32" s="104" t="s">
        <v>5082</v>
      </c>
      <c r="I32" s="24" t="s">
        <v>135</v>
      </c>
      <c r="J32" s="24" t="s">
        <v>121</v>
      </c>
      <c r="K32" s="23" t="s">
        <v>6374</v>
      </c>
      <c r="L32" s="25" t="str">
        <f>"RUTL-"&amp;RIGHT(K32,8)</f>
        <v>RUTL-02103008</v>
      </c>
      <c r="M32" s="34" t="s">
        <v>40</v>
      </c>
      <c r="N32" s="23" t="s">
        <v>54</v>
      </c>
      <c r="O32" s="32"/>
      <c r="P32" s="90" t="s">
        <v>90</v>
      </c>
      <c r="Q32" s="91" t="s">
        <v>6375</v>
      </c>
      <c r="R32" s="15" t="s">
        <v>56</v>
      </c>
      <c r="S32" s="40" t="s">
        <v>57</v>
      </c>
      <c r="T32" s="118" t="s">
        <v>65</v>
      </c>
      <c r="U32" s="39" t="s">
        <v>4346</v>
      </c>
      <c r="V32" s="44"/>
      <c r="W32" s="32" t="s">
        <v>441</v>
      </c>
      <c r="X32" s="66"/>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row>
    <row r="33" spans="1:135" ht="30" customHeight="1" thickBot="1" x14ac:dyDescent="0.3">
      <c r="A33" s="578">
        <v>100000004658</v>
      </c>
      <c r="B33" s="8">
        <v>13036</v>
      </c>
      <c r="C33" s="72" t="s">
        <v>5504</v>
      </c>
      <c r="D33" s="10" t="s">
        <v>5505</v>
      </c>
      <c r="E33" s="11" t="s">
        <v>25</v>
      </c>
      <c r="F33" s="20" t="s">
        <v>5506</v>
      </c>
      <c r="G33" s="15" t="s">
        <v>4991</v>
      </c>
      <c r="H33" s="156" t="s">
        <v>1573</v>
      </c>
      <c r="I33" s="18" t="s">
        <v>5507</v>
      </c>
      <c r="J33" s="18" t="s">
        <v>121</v>
      </c>
      <c r="K33" s="23" t="s">
        <v>5508</v>
      </c>
      <c r="L33" s="25" t="str">
        <f>"RUTL-"&amp;RIGHT(K33,8)</f>
        <v>RUTL-02103121</v>
      </c>
      <c r="M33" s="34" t="s">
        <v>40</v>
      </c>
      <c r="N33" s="23" t="s">
        <v>43</v>
      </c>
      <c r="O33" s="23"/>
      <c r="P33" s="39" t="s">
        <v>90</v>
      </c>
      <c r="Q33" s="63" t="s">
        <v>5509</v>
      </c>
      <c r="R33" s="15" t="s">
        <v>56</v>
      </c>
      <c r="S33" s="37" t="s">
        <v>57</v>
      </c>
      <c r="T33" s="114" t="s">
        <v>273</v>
      </c>
      <c r="U33" s="39" t="s">
        <v>5510</v>
      </c>
      <c r="V33" s="23"/>
      <c r="W33" s="23"/>
      <c r="X33" s="66"/>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row>
    <row r="34" spans="1:135" ht="30" customHeight="1" thickBot="1" x14ac:dyDescent="0.3">
      <c r="A34" s="578">
        <v>100000005186</v>
      </c>
      <c r="B34" s="49" t="s">
        <v>233</v>
      </c>
      <c r="C34" s="56" t="s">
        <v>179</v>
      </c>
      <c r="D34" s="10" t="s">
        <v>24</v>
      </c>
      <c r="E34" s="28" t="s">
        <v>25</v>
      </c>
      <c r="F34" s="15"/>
      <c r="G34" s="15"/>
      <c r="H34" s="102" t="s">
        <v>97</v>
      </c>
      <c r="I34" s="18" t="s">
        <v>185</v>
      </c>
      <c r="J34" s="18" t="s">
        <v>170</v>
      </c>
      <c r="K34" s="33" t="s">
        <v>238</v>
      </c>
      <c r="L34" s="25" t="str">
        <f>"RUTL-"&amp;RIGHT(K34,8)</f>
        <v>RUTL-N0002757</v>
      </c>
      <c r="M34" s="109"/>
      <c r="N34" s="23"/>
      <c r="O34" s="23"/>
      <c r="P34" s="45" t="s">
        <v>46</v>
      </c>
      <c r="Q34" s="39"/>
      <c r="R34" s="46" t="s">
        <v>56</v>
      </c>
      <c r="S34" s="37"/>
      <c r="T34" s="64"/>
      <c r="U34" s="23"/>
      <c r="V34" s="48">
        <v>45989</v>
      </c>
      <c r="W34" s="23" t="s">
        <v>184</v>
      </c>
      <c r="X34" s="66"/>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row>
    <row r="35" spans="1:135" ht="30" customHeight="1" thickBot="1" x14ac:dyDescent="0.3">
      <c r="A35" s="578">
        <v>100000005197</v>
      </c>
      <c r="B35" s="49" t="s">
        <v>267</v>
      </c>
      <c r="C35" s="56" t="s">
        <v>179</v>
      </c>
      <c r="D35" s="10" t="s">
        <v>24</v>
      </c>
      <c r="E35" s="28" t="s">
        <v>25</v>
      </c>
      <c r="F35" s="15"/>
      <c r="G35" s="15"/>
      <c r="H35" s="102" t="s">
        <v>97</v>
      </c>
      <c r="I35" s="18" t="s">
        <v>185</v>
      </c>
      <c r="J35" s="18" t="s">
        <v>170</v>
      </c>
      <c r="K35" s="33" t="s">
        <v>269</v>
      </c>
      <c r="L35" s="25" t="str">
        <f>"RUTL-"&amp;RIGHT(K35,8)</f>
        <v>RUTL-N0002775</v>
      </c>
      <c r="M35" s="109"/>
      <c r="N35" s="23"/>
      <c r="O35" s="23"/>
      <c r="P35" s="45" t="s">
        <v>46</v>
      </c>
      <c r="Q35" s="39"/>
      <c r="R35" s="46" t="s">
        <v>56</v>
      </c>
      <c r="S35" s="37"/>
      <c r="T35" s="64"/>
      <c r="U35" s="23"/>
      <c r="V35" s="48">
        <v>45989</v>
      </c>
      <c r="W35" s="23" t="s">
        <v>184</v>
      </c>
      <c r="X35" s="66"/>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row>
    <row r="36" spans="1:135" ht="30" customHeight="1" thickBot="1" x14ac:dyDescent="0.3">
      <c r="A36" s="578">
        <v>100000005478</v>
      </c>
      <c r="B36" s="49" t="s">
        <v>299</v>
      </c>
      <c r="C36" s="56" t="s">
        <v>179</v>
      </c>
      <c r="D36" s="10" t="s">
        <v>24</v>
      </c>
      <c r="E36" s="28" t="s">
        <v>25</v>
      </c>
      <c r="F36" s="15"/>
      <c r="G36" s="15"/>
      <c r="H36" s="102" t="s">
        <v>97</v>
      </c>
      <c r="I36" s="18" t="s">
        <v>185</v>
      </c>
      <c r="J36" s="18" t="s">
        <v>170</v>
      </c>
      <c r="K36" s="33" t="s">
        <v>304</v>
      </c>
      <c r="L36" s="25" t="str">
        <f>"RUTL-"&amp;RIGHT(K36,8)</f>
        <v>RUTL-N0002774</v>
      </c>
      <c r="M36" s="109"/>
      <c r="N36" s="23"/>
      <c r="O36" s="23"/>
      <c r="P36" s="45" t="s">
        <v>46</v>
      </c>
      <c r="Q36" s="39"/>
      <c r="R36" s="46" t="s">
        <v>56</v>
      </c>
      <c r="S36" s="37"/>
      <c r="T36" s="64"/>
      <c r="U36" s="23"/>
      <c r="V36" s="48">
        <v>45989</v>
      </c>
      <c r="W36" s="23" t="s">
        <v>184</v>
      </c>
      <c r="X36" s="66"/>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row>
    <row r="37" spans="1:135" ht="30" customHeight="1" thickBot="1" x14ac:dyDescent="0.3">
      <c r="A37" s="578">
        <v>100000006140</v>
      </c>
      <c r="B37" s="51">
        <v>13337</v>
      </c>
      <c r="C37" s="72" t="s">
        <v>5588</v>
      </c>
      <c r="D37" s="10" t="s">
        <v>24</v>
      </c>
      <c r="E37" s="11" t="s">
        <v>25</v>
      </c>
      <c r="F37" s="29" t="s">
        <v>5589</v>
      </c>
      <c r="G37" s="15" t="s">
        <v>1436</v>
      </c>
      <c r="H37" s="206" t="s">
        <v>1154</v>
      </c>
      <c r="I37" s="18" t="s">
        <v>135</v>
      </c>
      <c r="J37" s="24" t="s">
        <v>32</v>
      </c>
      <c r="K37" s="124" t="s">
        <v>5590</v>
      </c>
      <c r="L37" s="25" t="str">
        <f>"RUTL-"&amp;RIGHT(K37,8)</f>
        <v>RUTL-PW0LW3GV</v>
      </c>
      <c r="M37" s="34" t="s">
        <v>40</v>
      </c>
      <c r="N37" s="32" t="s">
        <v>43</v>
      </c>
      <c r="O37" s="303"/>
      <c r="P37" s="35" t="s">
        <v>46</v>
      </c>
      <c r="Q37" s="35" t="s">
        <v>5591</v>
      </c>
      <c r="R37" s="121" t="s">
        <v>56</v>
      </c>
      <c r="S37" s="40" t="s">
        <v>57</v>
      </c>
      <c r="T37" s="309" t="s">
        <v>273</v>
      </c>
      <c r="U37" s="39" t="s">
        <v>59</v>
      </c>
      <c r="V37" s="44">
        <v>46108</v>
      </c>
      <c r="W37" s="23" t="s">
        <v>63</v>
      </c>
      <c r="X37" s="66"/>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row>
    <row r="38" spans="1:135" ht="30" customHeight="1" thickBot="1" x14ac:dyDescent="0.3">
      <c r="A38" s="578">
        <v>100000006502</v>
      </c>
      <c r="B38" s="8">
        <v>6375</v>
      </c>
      <c r="C38" s="72" t="s">
        <v>3900</v>
      </c>
      <c r="D38" s="10" t="s">
        <v>24</v>
      </c>
      <c r="E38" s="11" t="s">
        <v>25</v>
      </c>
      <c r="F38" s="12" t="s">
        <v>3901</v>
      </c>
      <c r="G38" s="15" t="s">
        <v>2390</v>
      </c>
      <c r="H38" s="22" t="s">
        <v>3902</v>
      </c>
      <c r="I38" s="18" t="s">
        <v>135</v>
      </c>
      <c r="J38" s="18" t="s">
        <v>32</v>
      </c>
      <c r="K38" s="33" t="s">
        <v>3903</v>
      </c>
      <c r="L38" s="25" t="str">
        <f>"RUTL-"&amp;RIGHT(K38,8)</f>
        <v>RUTL-PW0K0D9Z</v>
      </c>
      <c r="M38" s="34" t="s">
        <v>40</v>
      </c>
      <c r="N38" s="23" t="s">
        <v>54</v>
      </c>
      <c r="O38" s="32"/>
      <c r="P38" s="35" t="s">
        <v>46</v>
      </c>
      <c r="Q38" s="36" t="s">
        <v>3904</v>
      </c>
      <c r="R38" s="15" t="s">
        <v>56</v>
      </c>
      <c r="S38" s="37" t="s">
        <v>57</v>
      </c>
      <c r="T38" s="41" t="s">
        <v>65</v>
      </c>
      <c r="U38" s="39" t="s">
        <v>478</v>
      </c>
      <c r="V38" s="43">
        <v>46122</v>
      </c>
      <c r="W38" s="32" t="s">
        <v>62</v>
      </c>
      <c r="X38" s="66"/>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row>
    <row r="39" spans="1:135" ht="30" customHeight="1" thickBot="1" x14ac:dyDescent="0.3">
      <c r="A39" s="578">
        <v>100000006507</v>
      </c>
      <c r="B39" s="90" t="s">
        <v>79</v>
      </c>
      <c r="C39" s="27" t="s">
        <v>80</v>
      </c>
      <c r="D39" s="46" t="s">
        <v>24</v>
      </c>
      <c r="E39" s="60" t="s">
        <v>25</v>
      </c>
      <c r="F39" s="29" t="s">
        <v>88</v>
      </c>
      <c r="G39" s="12" t="s">
        <v>91</v>
      </c>
      <c r="H39" s="31" t="s">
        <v>92</v>
      </c>
      <c r="I39" s="67" t="s">
        <v>48</v>
      </c>
      <c r="J39" s="67" t="s">
        <v>49</v>
      </c>
      <c r="K39" s="33" t="s">
        <v>107</v>
      </c>
      <c r="L39" s="70" t="str">
        <f>"RUTL-"&amp;RIGHT(K39,8)</f>
        <v>RUTL-1D066N02</v>
      </c>
      <c r="M39" s="73" t="s">
        <v>40</v>
      </c>
      <c r="N39" s="77" t="s">
        <v>54</v>
      </c>
      <c r="O39" s="79"/>
      <c r="P39" s="81" t="s">
        <v>46</v>
      </c>
      <c r="Q39" s="84" t="s">
        <v>127</v>
      </c>
      <c r="R39" s="46" t="s">
        <v>56</v>
      </c>
      <c r="S39" s="85" t="s">
        <v>57</v>
      </c>
      <c r="T39" s="81" t="s">
        <v>65</v>
      </c>
      <c r="U39" s="47" t="s">
        <v>128</v>
      </c>
      <c r="V39" s="86"/>
      <c r="W39" s="77" t="s">
        <v>99</v>
      </c>
      <c r="X39" s="66"/>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row>
    <row r="40" spans="1:135" ht="30" customHeight="1" thickBot="1" x14ac:dyDescent="0.3">
      <c r="A40" s="578">
        <v>100000006681</v>
      </c>
      <c r="B40" s="449">
        <v>17714</v>
      </c>
      <c r="C40" s="456" t="s">
        <v>7186</v>
      </c>
      <c r="D40" s="458" t="s">
        <v>24</v>
      </c>
      <c r="E40" s="467" t="s">
        <v>25</v>
      </c>
      <c r="F40" s="12" t="s">
        <v>7187</v>
      </c>
      <c r="G40" s="461" t="s">
        <v>3536</v>
      </c>
      <c r="H40" s="481" t="s">
        <v>4594</v>
      </c>
      <c r="I40" s="24" t="s">
        <v>135</v>
      </c>
      <c r="J40" s="490" t="s">
        <v>32</v>
      </c>
      <c r="K40" s="501" t="s">
        <v>7188</v>
      </c>
      <c r="L40" s="25" t="str">
        <f>"RUTL-"&amp;RIGHT(K40,8)</f>
        <v>RUTL-PW0K0DK3</v>
      </c>
      <c r="M40" s="511" t="s">
        <v>40</v>
      </c>
      <c r="N40" s="493" t="s">
        <v>54</v>
      </c>
      <c r="O40" s="497"/>
      <c r="P40" s="521" t="s">
        <v>46</v>
      </c>
      <c r="Q40" s="522" t="s">
        <v>7189</v>
      </c>
      <c r="R40" s="461" t="s">
        <v>56</v>
      </c>
      <c r="S40" s="544" t="s">
        <v>57</v>
      </c>
      <c r="T40" s="556" t="s">
        <v>65</v>
      </c>
      <c r="U40" s="39" t="s">
        <v>7190</v>
      </c>
      <c r="V40" s="569">
        <v>46122</v>
      </c>
      <c r="W40" s="495" t="s">
        <v>62</v>
      </c>
    </row>
    <row r="41" spans="1:135" ht="30" customHeight="1" thickBot="1" x14ac:dyDescent="0.3">
      <c r="A41" s="578">
        <v>100000006695</v>
      </c>
      <c r="B41" s="51">
        <v>16025</v>
      </c>
      <c r="C41" s="72" t="s">
        <v>6517</v>
      </c>
      <c r="D41" s="10" t="s">
        <v>24</v>
      </c>
      <c r="E41" s="11" t="s">
        <v>25</v>
      </c>
      <c r="F41" s="20" t="s">
        <v>6518</v>
      </c>
      <c r="G41" s="15" t="s">
        <v>4004</v>
      </c>
      <c r="H41" s="31" t="s">
        <v>3147</v>
      </c>
      <c r="I41" s="18" t="s">
        <v>48</v>
      </c>
      <c r="J41" s="18" t="s">
        <v>49</v>
      </c>
      <c r="K41" s="23" t="s">
        <v>6519</v>
      </c>
      <c r="L41" s="25" t="str">
        <f>"RUTL-"&amp;RIGHT(K41,8)</f>
        <v>RUTL-1A826N02</v>
      </c>
      <c r="M41" s="34" t="s">
        <v>40</v>
      </c>
      <c r="N41" s="39" t="s">
        <v>54</v>
      </c>
      <c r="O41" s="23"/>
      <c r="P41" s="35" t="s">
        <v>46</v>
      </c>
      <c r="Q41" s="35"/>
      <c r="R41" s="15" t="s">
        <v>56</v>
      </c>
      <c r="S41" s="37" t="s">
        <v>57</v>
      </c>
      <c r="T41" s="107" t="s">
        <v>453</v>
      </c>
      <c r="U41" s="39" t="s">
        <v>5802</v>
      </c>
      <c r="V41" s="48">
        <v>46111</v>
      </c>
      <c r="W41" s="23" t="s">
        <v>67</v>
      </c>
      <c r="X41" s="66"/>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row>
    <row r="42" spans="1:135" ht="30" customHeight="1" thickBot="1" x14ac:dyDescent="0.3">
      <c r="A42" s="578" t="s">
        <v>1233</v>
      </c>
      <c r="B42" s="217" t="s">
        <v>1224</v>
      </c>
      <c r="C42" s="221" t="s">
        <v>1227</v>
      </c>
      <c r="D42" s="10" t="s">
        <v>24</v>
      </c>
      <c r="E42" s="28" t="s">
        <v>25</v>
      </c>
      <c r="F42" s="20" t="s">
        <v>1230</v>
      </c>
      <c r="G42" s="217" t="s">
        <v>1224</v>
      </c>
      <c r="H42" s="102" t="s">
        <v>97</v>
      </c>
      <c r="I42" s="18" t="s">
        <v>135</v>
      </c>
      <c r="J42" s="18" t="s">
        <v>1232</v>
      </c>
      <c r="K42" s="33" t="s">
        <v>1235</v>
      </c>
      <c r="L42" s="21" t="str">
        <f>"RUTL-"&amp;RIGHT(K42,10)</f>
        <v>RUTL-CND4434S0B</v>
      </c>
      <c r="M42" s="109"/>
      <c r="N42" s="90" t="s">
        <v>87</v>
      </c>
      <c r="O42" s="90" t="s">
        <v>1236</v>
      </c>
      <c r="P42" s="90" t="s">
        <v>90</v>
      </c>
      <c r="Q42" s="39" t="s">
        <v>1238</v>
      </c>
      <c r="R42" s="15"/>
      <c r="S42" s="37"/>
      <c r="T42" s="64"/>
      <c r="U42" s="23"/>
      <c r="V42" s="48"/>
      <c r="W42" s="23"/>
      <c r="X42" s="66"/>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row>
    <row r="43" spans="1:135" ht="30" customHeight="1" thickBot="1" x14ac:dyDescent="0.3">
      <c r="A43" s="578" t="s">
        <v>4203</v>
      </c>
      <c r="B43" s="8">
        <v>7495</v>
      </c>
      <c r="C43" s="72" t="s">
        <v>4200</v>
      </c>
      <c r="D43" s="10" t="s">
        <v>4201</v>
      </c>
      <c r="E43" s="11" t="s">
        <v>25</v>
      </c>
      <c r="F43" s="20" t="s">
        <v>4202</v>
      </c>
      <c r="G43" s="15" t="s">
        <v>3628</v>
      </c>
      <c r="H43" s="291" t="s">
        <v>3268</v>
      </c>
      <c r="I43" s="18" t="s">
        <v>772</v>
      </c>
      <c r="J43" s="18" t="s">
        <v>2149</v>
      </c>
      <c r="K43" s="33" t="s">
        <v>4204</v>
      </c>
      <c r="L43" s="25" t="str">
        <f>"RUTL-"&amp;RIGHT(K43,8)</f>
        <v>RUTL-20840902</v>
      </c>
      <c r="M43" s="34" t="s">
        <v>40</v>
      </c>
      <c r="N43" s="23"/>
      <c r="O43" s="23"/>
      <c r="P43" s="23"/>
      <c r="Q43" s="243" t="s">
        <v>4205</v>
      </c>
      <c r="R43" s="15" t="s">
        <v>56</v>
      </c>
      <c r="S43" s="37" t="s">
        <v>57</v>
      </c>
      <c r="T43" s="165" t="s">
        <v>1630</v>
      </c>
      <c r="U43" s="39" t="s">
        <v>4206</v>
      </c>
      <c r="V43" s="23"/>
      <c r="W43" s="23"/>
      <c r="X43" s="66"/>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row>
    <row r="44" spans="1:135" ht="30" customHeight="1" thickBot="1" x14ac:dyDescent="0.3">
      <c r="A44" s="578" t="s">
        <v>7244</v>
      </c>
      <c r="B44" s="435">
        <v>18105</v>
      </c>
      <c r="C44" s="52" t="s">
        <v>7241</v>
      </c>
      <c r="D44" s="10" t="s">
        <v>24</v>
      </c>
      <c r="E44" s="28" t="s">
        <v>25</v>
      </c>
      <c r="F44" s="20" t="s">
        <v>7242</v>
      </c>
      <c r="G44" s="15" t="s">
        <v>3528</v>
      </c>
      <c r="H44" s="76" t="s">
        <v>1928</v>
      </c>
      <c r="I44" s="18" t="s">
        <v>48</v>
      </c>
      <c r="J44" s="18" t="s">
        <v>7243</v>
      </c>
      <c r="K44" s="33" t="s">
        <v>7245</v>
      </c>
      <c r="L44" s="25" t="str">
        <f>"RUTL-"&amp;RIGHT(K44,8)</f>
        <v>RUTL-51100129</v>
      </c>
      <c r="M44" s="34" t="s">
        <v>40</v>
      </c>
      <c r="N44" s="39" t="s">
        <v>87</v>
      </c>
      <c r="O44" s="23"/>
      <c r="P44" s="63" t="s">
        <v>90</v>
      </c>
      <c r="Q44" s="63" t="s">
        <v>7246</v>
      </c>
      <c r="R44" s="15" t="s">
        <v>56</v>
      </c>
      <c r="S44" s="40" t="s">
        <v>57</v>
      </c>
      <c r="T44" s="118" t="s">
        <v>65</v>
      </c>
      <c r="U44" s="39" t="s">
        <v>3768</v>
      </c>
      <c r="V44" s="48">
        <v>45753</v>
      </c>
      <c r="W44" s="23" t="s">
        <v>7247</v>
      </c>
      <c r="X44" s="66"/>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row>
    <row r="45" spans="1:135" ht="30" customHeight="1" thickBot="1" x14ac:dyDescent="0.3">
      <c r="A45" s="578" t="s">
        <v>1012</v>
      </c>
      <c r="B45" s="23"/>
      <c r="C45" s="99" t="s">
        <v>1006</v>
      </c>
      <c r="D45" s="15" t="s">
        <v>24</v>
      </c>
      <c r="E45" s="23"/>
      <c r="F45" s="23"/>
      <c r="G45" s="23"/>
      <c r="H45" s="17" t="s">
        <v>1009</v>
      </c>
      <c r="I45" s="18" t="s">
        <v>1010</v>
      </c>
      <c r="J45" s="18" t="s">
        <v>1011</v>
      </c>
      <c r="K45" s="23" t="s">
        <v>1016</v>
      </c>
      <c r="L45" s="21" t="str">
        <f>"RUTL-"&amp;RIGHT(K45,10)</f>
        <v>RUTL-4CH42602VD</v>
      </c>
      <c r="M45" s="23"/>
      <c r="N45" s="23"/>
      <c r="O45" s="23"/>
      <c r="P45" s="23"/>
      <c r="Q45" s="23"/>
      <c r="R45" s="15" t="s">
        <v>56</v>
      </c>
      <c r="S45" s="37" t="s">
        <v>57</v>
      </c>
      <c r="T45" s="107" t="s">
        <v>148</v>
      </c>
      <c r="U45" s="47" t="s">
        <v>1022</v>
      </c>
      <c r="V45" s="23"/>
      <c r="W45" s="23"/>
      <c r="X45" s="66"/>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row>
    <row r="46" spans="1:135" ht="30" customHeight="1" thickBot="1" x14ac:dyDescent="0.3">
      <c r="A46" s="578" t="s">
        <v>855</v>
      </c>
      <c r="B46" s="23" t="s">
        <v>661</v>
      </c>
      <c r="C46" s="99" t="s">
        <v>850</v>
      </c>
      <c r="D46" s="174" t="s">
        <v>583</v>
      </c>
      <c r="E46" s="28" t="s">
        <v>25</v>
      </c>
      <c r="F46" s="20" t="s">
        <v>851</v>
      </c>
      <c r="G46" s="23"/>
      <c r="H46" s="119" t="s">
        <v>852</v>
      </c>
      <c r="I46" s="18" t="s">
        <v>853</v>
      </c>
      <c r="J46" s="18" t="s">
        <v>854</v>
      </c>
      <c r="K46" s="23" t="s">
        <v>858</v>
      </c>
      <c r="L46" s="21" t="str">
        <f>"RUTL-"&amp;RIGHT(K46,8)</f>
        <v>RUTL-PC017THP</v>
      </c>
      <c r="M46" s="34" t="s">
        <v>40</v>
      </c>
      <c r="N46" s="23" t="s">
        <v>43</v>
      </c>
      <c r="O46" s="23"/>
      <c r="P46" s="39" t="s">
        <v>864</v>
      </c>
      <c r="Q46" s="23" t="s">
        <v>146</v>
      </c>
      <c r="R46" s="15" t="s">
        <v>56</v>
      </c>
      <c r="S46" s="37" t="s">
        <v>57</v>
      </c>
      <c r="T46" s="108" t="s">
        <v>273</v>
      </c>
      <c r="U46" s="47" t="s">
        <v>867</v>
      </c>
      <c r="V46" s="23"/>
      <c r="W46" s="23"/>
      <c r="X46" s="71"/>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row>
    <row r="47" spans="1:135" ht="30" customHeight="1" thickBot="1" x14ac:dyDescent="0.3">
      <c r="A47" s="578" t="s">
        <v>844</v>
      </c>
      <c r="B47" s="159"/>
      <c r="C47" s="157" t="s">
        <v>832</v>
      </c>
      <c r="D47" s="15" t="s">
        <v>833</v>
      </c>
      <c r="E47" s="28" t="s">
        <v>25</v>
      </c>
      <c r="F47" s="29" t="s">
        <v>835</v>
      </c>
      <c r="G47" s="157" t="s">
        <v>836</v>
      </c>
      <c r="H47" s="119" t="s">
        <v>839</v>
      </c>
      <c r="I47" s="24" t="s">
        <v>841</v>
      </c>
      <c r="J47" s="24" t="s">
        <v>842</v>
      </c>
      <c r="K47" s="32" t="s">
        <v>845</v>
      </c>
      <c r="L47" s="116" t="s">
        <v>846</v>
      </c>
      <c r="M47" s="42" t="s">
        <v>40</v>
      </c>
      <c r="N47" s="32" t="s">
        <v>54</v>
      </c>
      <c r="O47" s="117"/>
      <c r="P47" s="90" t="s">
        <v>90</v>
      </c>
      <c r="Q47" s="90" t="s">
        <v>848</v>
      </c>
      <c r="R47" s="15" t="s">
        <v>235</v>
      </c>
      <c r="S47" s="40" t="s">
        <v>57</v>
      </c>
      <c r="T47" s="210" t="s">
        <v>58</v>
      </c>
      <c r="U47" s="83" t="s">
        <v>849</v>
      </c>
      <c r="V47" s="117"/>
      <c r="W47" s="117"/>
      <c r="X47" s="71"/>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row>
    <row r="48" spans="1:135" ht="30" customHeight="1" thickBot="1" x14ac:dyDescent="0.3">
      <c r="A48" s="578" t="s">
        <v>5089</v>
      </c>
      <c r="B48" s="16">
        <v>11781</v>
      </c>
      <c r="C48" s="72" t="s">
        <v>5086</v>
      </c>
      <c r="D48" s="10" t="s">
        <v>24</v>
      </c>
      <c r="E48" s="11" t="s">
        <v>25</v>
      </c>
      <c r="F48" s="12" t="s">
        <v>5087</v>
      </c>
      <c r="G48" s="15" t="s">
        <v>1351</v>
      </c>
      <c r="H48" s="108" t="s">
        <v>225</v>
      </c>
      <c r="I48" s="18" t="s">
        <v>117</v>
      </c>
      <c r="J48" s="18" t="s">
        <v>5088</v>
      </c>
      <c r="K48" s="23" t="s">
        <v>5090</v>
      </c>
      <c r="L48" s="25" t="str">
        <f>"RUTL-"&amp;RIGHT(K48,8)</f>
        <v>RUTL-D4434S26</v>
      </c>
      <c r="M48" s="34" t="s">
        <v>40</v>
      </c>
      <c r="N48" s="23" t="s">
        <v>43</v>
      </c>
      <c r="O48" s="23"/>
      <c r="P48" s="39" t="s">
        <v>90</v>
      </c>
      <c r="Q48" s="63" t="s">
        <v>5091</v>
      </c>
      <c r="R48" s="15" t="s">
        <v>56</v>
      </c>
      <c r="S48" s="40" t="s">
        <v>57</v>
      </c>
      <c r="T48" s="101" t="s">
        <v>96</v>
      </c>
      <c r="U48" s="39" t="s">
        <v>5092</v>
      </c>
      <c r="V48" s="23"/>
      <c r="W48" s="23"/>
      <c r="X48" s="71"/>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row>
    <row r="49" spans="1:135" ht="30" customHeight="1" thickBot="1" x14ac:dyDescent="0.3">
      <c r="A49" s="578" t="s">
        <v>801</v>
      </c>
      <c r="B49" s="23"/>
      <c r="C49" s="99" t="s">
        <v>781</v>
      </c>
      <c r="D49" s="15" t="s">
        <v>782</v>
      </c>
      <c r="E49" s="23"/>
      <c r="F49" s="23"/>
      <c r="G49" s="23"/>
      <c r="H49" s="143" t="s">
        <v>785</v>
      </c>
      <c r="I49" s="18" t="s">
        <v>135</v>
      </c>
      <c r="J49" s="200" t="s">
        <v>195</v>
      </c>
      <c r="K49" s="23" t="s">
        <v>803</v>
      </c>
      <c r="L49" s="21" t="str">
        <f>"RUTL-"&amp;RIGHT(K49,8)</f>
        <v>RUTL-R90QFPY7</v>
      </c>
      <c r="M49" s="23"/>
      <c r="N49" s="23"/>
      <c r="O49" s="23"/>
      <c r="P49" s="23"/>
      <c r="Q49" s="23" t="s">
        <v>806</v>
      </c>
      <c r="R49" s="23"/>
      <c r="S49" s="23"/>
      <c r="T49" s="23"/>
      <c r="U49" s="23"/>
      <c r="V49" s="202">
        <v>43325</v>
      </c>
      <c r="W49" s="23"/>
      <c r="X49" s="71"/>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row>
    <row r="50" spans="1:135" ht="30" customHeight="1" thickBot="1" x14ac:dyDescent="0.3">
      <c r="A50" s="578" t="s">
        <v>3847</v>
      </c>
      <c r="B50" s="51">
        <v>6099</v>
      </c>
      <c r="C50" s="69" t="s">
        <v>3843</v>
      </c>
      <c r="D50" s="10" t="s">
        <v>3844</v>
      </c>
      <c r="E50" s="11" t="s">
        <v>25</v>
      </c>
      <c r="F50" s="20" t="s">
        <v>3845</v>
      </c>
      <c r="G50" s="15" t="s">
        <v>3846</v>
      </c>
      <c r="H50" s="125" t="s">
        <v>3096</v>
      </c>
      <c r="I50" s="24" t="s">
        <v>135</v>
      </c>
      <c r="J50" s="24" t="s">
        <v>195</v>
      </c>
      <c r="K50" s="33" t="s">
        <v>3848</v>
      </c>
      <c r="L50" s="25" t="str">
        <f>"RUTL-"&amp;RIGHT(K50,8)</f>
        <v>RUTL-R90QFPZF</v>
      </c>
      <c r="M50" s="34" t="s">
        <v>40</v>
      </c>
      <c r="N50" s="32"/>
      <c r="O50" s="32"/>
      <c r="P50" s="32"/>
      <c r="Q50" s="91" t="s">
        <v>3849</v>
      </c>
      <c r="R50" s="15" t="s">
        <v>235</v>
      </c>
      <c r="S50" s="40" t="s">
        <v>57</v>
      </c>
      <c r="T50" s="350" t="s">
        <v>96</v>
      </c>
      <c r="U50" s="32" t="s">
        <v>3850</v>
      </c>
      <c r="V50" s="32"/>
      <c r="W50" s="32"/>
      <c r="X50" s="71"/>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row>
    <row r="51" spans="1:135" ht="30" customHeight="1" thickBot="1" x14ac:dyDescent="0.3">
      <c r="A51" s="578" t="s">
        <v>3082</v>
      </c>
      <c r="B51" s="8">
        <v>2720</v>
      </c>
      <c r="C51" s="69" t="s">
        <v>3078</v>
      </c>
      <c r="D51" s="10" t="s">
        <v>3079</v>
      </c>
      <c r="E51" s="11" t="s">
        <v>25</v>
      </c>
      <c r="F51" s="12" t="s">
        <v>3080</v>
      </c>
      <c r="G51" s="15" t="s">
        <v>3081</v>
      </c>
      <c r="H51" s="206" t="s">
        <v>682</v>
      </c>
      <c r="I51" s="24" t="s">
        <v>135</v>
      </c>
      <c r="J51" s="24" t="s">
        <v>195</v>
      </c>
      <c r="K51" s="33" t="s">
        <v>3083</v>
      </c>
      <c r="L51" s="25" t="str">
        <f>"RUTL-"&amp;RIGHT(K51,8)</f>
        <v>RUTL-R90QFPZB</v>
      </c>
      <c r="M51" s="34" t="s">
        <v>40</v>
      </c>
      <c r="N51" s="32" t="s">
        <v>43</v>
      </c>
      <c r="O51" s="23"/>
      <c r="P51" s="39" t="s">
        <v>90</v>
      </c>
      <c r="Q51" s="100"/>
      <c r="R51" s="15" t="s">
        <v>56</v>
      </c>
      <c r="S51" s="40" t="s">
        <v>57</v>
      </c>
      <c r="T51" s="114" t="s">
        <v>273</v>
      </c>
      <c r="U51" s="39" t="s">
        <v>3084</v>
      </c>
      <c r="V51" s="32"/>
      <c r="W51" s="32" t="s">
        <v>441</v>
      </c>
      <c r="X51" s="71"/>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row>
    <row r="52" spans="1:135" ht="30" customHeight="1" thickBot="1" x14ac:dyDescent="0.3">
      <c r="A52" s="578" t="s">
        <v>6841</v>
      </c>
      <c r="B52" s="51">
        <v>16857</v>
      </c>
      <c r="C52" s="52" t="s">
        <v>6839</v>
      </c>
      <c r="D52" s="10" t="s">
        <v>24</v>
      </c>
      <c r="E52" s="122" t="s">
        <v>25</v>
      </c>
      <c r="F52" s="12" t="s">
        <v>6840</v>
      </c>
      <c r="G52" s="15" t="s">
        <v>3745</v>
      </c>
      <c r="H52" s="53" t="s">
        <v>1204</v>
      </c>
      <c r="I52" s="18" t="s">
        <v>135</v>
      </c>
      <c r="J52" s="18" t="s">
        <v>195</v>
      </c>
      <c r="K52" s="124" t="s">
        <v>6842</v>
      </c>
      <c r="L52" s="25" t="str">
        <f>"RUTL-"&amp;RIGHT(K52,8)</f>
        <v>RUTL-R90QFPYZ</v>
      </c>
      <c r="M52" s="34" t="s">
        <v>40</v>
      </c>
      <c r="N52" s="14" t="s">
        <v>43</v>
      </c>
      <c r="O52" s="14"/>
      <c r="P52" s="39" t="s">
        <v>90</v>
      </c>
      <c r="Q52" s="63" t="s">
        <v>6843</v>
      </c>
      <c r="R52" s="121" t="s">
        <v>56</v>
      </c>
      <c r="S52" s="151" t="s">
        <v>57</v>
      </c>
      <c r="T52" s="107" t="s">
        <v>453</v>
      </c>
      <c r="U52" s="23" t="s">
        <v>6838</v>
      </c>
      <c r="V52" s="14"/>
      <c r="W52" s="14"/>
      <c r="X52" s="71"/>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row>
    <row r="53" spans="1:135" ht="30" customHeight="1" thickBot="1" x14ac:dyDescent="0.3">
      <c r="A53" s="578" t="s">
        <v>7566</v>
      </c>
      <c r="B53" s="430" t="s">
        <v>7562</v>
      </c>
      <c r="C53" s="72" t="s">
        <v>7563</v>
      </c>
      <c r="D53" s="10" t="s">
        <v>24</v>
      </c>
      <c r="E53" s="28" t="s">
        <v>25</v>
      </c>
      <c r="F53" s="20" t="s">
        <v>7564</v>
      </c>
      <c r="G53" s="15" t="s">
        <v>7565</v>
      </c>
      <c r="H53" s="17" t="s">
        <v>891</v>
      </c>
      <c r="I53" s="18" t="s">
        <v>135</v>
      </c>
      <c r="J53" s="18" t="s">
        <v>195</v>
      </c>
      <c r="K53" s="23" t="s">
        <v>7567</v>
      </c>
      <c r="L53" s="21" t="str">
        <f>"RUTL-"&amp;RIGHT(K53,8)</f>
        <v>RUTL-R90QFPZG</v>
      </c>
      <c r="M53" s="34" t="s">
        <v>40</v>
      </c>
      <c r="N53" s="23" t="s">
        <v>43</v>
      </c>
      <c r="O53" s="23"/>
      <c r="P53" s="39" t="s">
        <v>90</v>
      </c>
      <c r="Q53" s="63" t="s">
        <v>7568</v>
      </c>
      <c r="R53" s="15" t="s">
        <v>56</v>
      </c>
      <c r="S53" s="37" t="s">
        <v>57</v>
      </c>
      <c r="T53" s="107" t="s">
        <v>1390</v>
      </c>
      <c r="U53" s="39" t="s">
        <v>7569</v>
      </c>
      <c r="V53" s="170"/>
      <c r="W53" s="23"/>
      <c r="X53" s="71"/>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row>
    <row r="54" spans="1:135" ht="30" customHeight="1" thickBot="1" x14ac:dyDescent="0.3">
      <c r="A54" s="578" t="s">
        <v>3105</v>
      </c>
      <c r="B54" s="8">
        <v>2799</v>
      </c>
      <c r="C54" s="72" t="s">
        <v>3101</v>
      </c>
      <c r="D54" s="10" t="s">
        <v>3102</v>
      </c>
      <c r="E54" s="11" t="s">
        <v>25</v>
      </c>
      <c r="F54" s="20" t="s">
        <v>3103</v>
      </c>
      <c r="G54" s="15" t="s">
        <v>3104</v>
      </c>
      <c r="H54" s="53" t="s">
        <v>3096</v>
      </c>
      <c r="I54" s="18" t="s">
        <v>135</v>
      </c>
      <c r="J54" s="18" t="s">
        <v>195</v>
      </c>
      <c r="K54" s="33" t="s">
        <v>3106</v>
      </c>
      <c r="L54" s="25" t="str">
        <f>"RUTL-"&amp;RIGHT(K54,8)</f>
        <v>RUTL-R90QFPZ1</v>
      </c>
      <c r="M54" s="34" t="s">
        <v>40</v>
      </c>
      <c r="N54" s="23" t="s">
        <v>43</v>
      </c>
      <c r="O54" s="23"/>
      <c r="P54" s="23"/>
      <c r="Q54" s="113"/>
      <c r="R54" s="15" t="s">
        <v>235</v>
      </c>
      <c r="S54" s="23"/>
      <c r="T54" s="23"/>
      <c r="U54" s="39" t="s">
        <v>3107</v>
      </c>
      <c r="V54" s="23"/>
      <c r="W54" s="23"/>
      <c r="X54" s="71"/>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row>
    <row r="55" spans="1:135" ht="30" customHeight="1" thickBot="1" x14ac:dyDescent="0.3">
      <c r="A55" s="578" t="s">
        <v>5656</v>
      </c>
      <c r="B55" s="8">
        <v>13454</v>
      </c>
      <c r="C55" s="72" t="s">
        <v>5655</v>
      </c>
      <c r="D55" s="10" t="s">
        <v>24</v>
      </c>
      <c r="E55" s="11" t="s">
        <v>25</v>
      </c>
      <c r="F55" s="20"/>
      <c r="G55" s="15" t="s">
        <v>606</v>
      </c>
      <c r="H55" s="104" t="s">
        <v>349</v>
      </c>
      <c r="I55" s="18" t="s">
        <v>135</v>
      </c>
      <c r="J55" s="18" t="s">
        <v>195</v>
      </c>
      <c r="K55" s="23" t="s">
        <v>5657</v>
      </c>
      <c r="L55" s="25" t="str">
        <f>"RUTL-"&amp;RIGHT(K55,8)</f>
        <v>RUTL-R90QN4VP</v>
      </c>
      <c r="M55" s="34" t="s">
        <v>40</v>
      </c>
      <c r="N55" s="39" t="s">
        <v>43</v>
      </c>
      <c r="O55" s="23"/>
      <c r="P55" s="39" t="s">
        <v>90</v>
      </c>
      <c r="Q55" s="63" t="s">
        <v>5658</v>
      </c>
      <c r="R55" s="15" t="s">
        <v>56</v>
      </c>
      <c r="S55" s="37" t="s">
        <v>57</v>
      </c>
      <c r="T55" s="53" t="s">
        <v>453</v>
      </c>
      <c r="U55" s="39" t="s">
        <v>5659</v>
      </c>
      <c r="V55" s="23"/>
      <c r="W55" s="23"/>
      <c r="X55" s="71"/>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row>
    <row r="56" spans="1:135" ht="30" customHeight="1" thickBot="1" x14ac:dyDescent="0.3">
      <c r="A56" s="578" t="s">
        <v>2485</v>
      </c>
      <c r="B56" s="16">
        <v>1265</v>
      </c>
      <c r="C56" s="72" t="s">
        <v>2481</v>
      </c>
      <c r="D56" s="10" t="s">
        <v>24</v>
      </c>
      <c r="E56" s="11" t="s">
        <v>25</v>
      </c>
      <c r="F56" s="20" t="s">
        <v>2482</v>
      </c>
      <c r="G56" s="15" t="s">
        <v>2483</v>
      </c>
      <c r="H56" s="31" t="s">
        <v>2484</v>
      </c>
      <c r="I56" s="24" t="s">
        <v>135</v>
      </c>
      <c r="J56" s="24" t="s">
        <v>195</v>
      </c>
      <c r="K56" s="23" t="s">
        <v>2492</v>
      </c>
      <c r="L56" s="25" t="str">
        <f>"RUTL-"&amp;RIGHT(K56,8)</f>
        <v>RUTL-R90QFPYH</v>
      </c>
      <c r="M56" s="34" t="s">
        <v>40</v>
      </c>
      <c r="N56" s="39" t="s">
        <v>54</v>
      </c>
      <c r="O56" s="23"/>
      <c r="P56" s="39" t="s">
        <v>90</v>
      </c>
      <c r="Q56" s="63" t="s">
        <v>2493</v>
      </c>
      <c r="R56" s="15" t="s">
        <v>56</v>
      </c>
      <c r="S56" s="37" t="s">
        <v>57</v>
      </c>
      <c r="T56" s="107" t="s">
        <v>453</v>
      </c>
      <c r="U56" s="39" t="s">
        <v>819</v>
      </c>
      <c r="V56" s="202">
        <v>43325</v>
      </c>
      <c r="W56" s="37" t="s">
        <v>2037</v>
      </c>
      <c r="X56" s="71"/>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row>
    <row r="57" spans="1:135" ht="30" customHeight="1" thickBot="1" x14ac:dyDescent="0.3">
      <c r="A57" s="578" t="s">
        <v>2491</v>
      </c>
      <c r="B57" s="120" t="s">
        <v>2486</v>
      </c>
      <c r="C57" s="52" t="s">
        <v>2487</v>
      </c>
      <c r="D57" s="10" t="s">
        <v>2488</v>
      </c>
      <c r="E57" s="11" t="s">
        <v>25</v>
      </c>
      <c r="F57" s="12" t="s">
        <v>2489</v>
      </c>
      <c r="G57" s="15" t="s">
        <v>2490</v>
      </c>
      <c r="H57" s="53" t="s">
        <v>450</v>
      </c>
      <c r="I57" s="18" t="s">
        <v>38</v>
      </c>
      <c r="J57" s="18" t="s">
        <v>195</v>
      </c>
      <c r="K57" s="124" t="s">
        <v>2495</v>
      </c>
      <c r="L57" s="127" t="str">
        <f>"RUTL-"&amp;RIGHT(K57,8)</f>
        <v>RUTL-R90QFPYJ</v>
      </c>
      <c r="M57" s="129" t="s">
        <v>40</v>
      </c>
      <c r="N57" s="39" t="s">
        <v>87</v>
      </c>
      <c r="O57" s="39" t="s">
        <v>1750</v>
      </c>
      <c r="P57" s="39" t="s">
        <v>90</v>
      </c>
      <c r="Q57" s="39" t="s">
        <v>2496</v>
      </c>
      <c r="R57" s="121" t="s">
        <v>56</v>
      </c>
      <c r="S57" s="23"/>
      <c r="T57" s="153" t="s">
        <v>453</v>
      </c>
      <c r="U57" s="14" t="s">
        <v>2499</v>
      </c>
      <c r="V57" s="202">
        <v>43325</v>
      </c>
      <c r="W57" s="37" t="s">
        <v>2037</v>
      </c>
      <c r="X57" s="71"/>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row>
    <row r="58" spans="1:135" ht="30" customHeight="1" thickBot="1" x14ac:dyDescent="0.3">
      <c r="A58" s="578" t="s">
        <v>2585</v>
      </c>
      <c r="B58" s="16">
        <v>1486</v>
      </c>
      <c r="C58" s="72" t="s">
        <v>2583</v>
      </c>
      <c r="D58" s="15" t="s">
        <v>24</v>
      </c>
      <c r="E58" s="11" t="s">
        <v>25</v>
      </c>
      <c r="F58" s="20" t="s">
        <v>2584</v>
      </c>
      <c r="G58" s="15" t="s">
        <v>2271</v>
      </c>
      <c r="H58" s="53" t="s">
        <v>76</v>
      </c>
      <c r="I58" s="18" t="s">
        <v>135</v>
      </c>
      <c r="J58" s="18" t="s">
        <v>195</v>
      </c>
      <c r="K58" s="33" t="s">
        <v>2587</v>
      </c>
      <c r="L58" s="25" t="str">
        <f>"RUTL-"&amp;RIGHT(K58,8)</f>
        <v>RUTL-R90QFPY6</v>
      </c>
      <c r="M58" s="34" t="s">
        <v>40</v>
      </c>
      <c r="N58" s="90" t="s">
        <v>87</v>
      </c>
      <c r="O58" s="175"/>
      <c r="P58" s="39" t="s">
        <v>90</v>
      </c>
      <c r="Q58" s="63" t="s">
        <v>2588</v>
      </c>
      <c r="R58" s="15" t="s">
        <v>56</v>
      </c>
      <c r="S58" s="40" t="s">
        <v>57</v>
      </c>
      <c r="T58" s="41" t="s">
        <v>65</v>
      </c>
      <c r="U58" s="39" t="s">
        <v>2589</v>
      </c>
      <c r="V58" s="23"/>
      <c r="W58" s="23"/>
      <c r="X58" s="71"/>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row>
    <row r="59" spans="1:135" ht="30" customHeight="1" thickBot="1" x14ac:dyDescent="0.3">
      <c r="A59" s="578" t="s">
        <v>3778</v>
      </c>
      <c r="B59" s="51">
        <v>5625</v>
      </c>
      <c r="C59" s="72" t="s">
        <v>3774</v>
      </c>
      <c r="D59" s="10" t="s">
        <v>3775</v>
      </c>
      <c r="E59" s="11" t="s">
        <v>25</v>
      </c>
      <c r="F59" s="20" t="s">
        <v>3776</v>
      </c>
      <c r="G59" s="15" t="s">
        <v>3777</v>
      </c>
      <c r="H59" s="147" t="s">
        <v>1882</v>
      </c>
      <c r="I59" s="18" t="s">
        <v>135</v>
      </c>
      <c r="J59" s="18" t="s">
        <v>195</v>
      </c>
      <c r="K59" s="33" t="s">
        <v>3779</v>
      </c>
      <c r="L59" s="25" t="str">
        <f>"RUTL-"&amp;RIGHT(K59,8)</f>
        <v>RUTL-R90QFQ0F</v>
      </c>
      <c r="M59" s="34" t="s">
        <v>40</v>
      </c>
      <c r="N59" s="32" t="s">
        <v>54</v>
      </c>
      <c r="O59" s="15"/>
      <c r="P59" s="39" t="s">
        <v>90</v>
      </c>
      <c r="Q59" s="63" t="s">
        <v>3780</v>
      </c>
      <c r="R59" s="15" t="s">
        <v>56</v>
      </c>
      <c r="S59" s="37" t="s">
        <v>57</v>
      </c>
      <c r="T59" s="274" t="s">
        <v>58</v>
      </c>
      <c r="U59" s="39" t="s">
        <v>3781</v>
      </c>
      <c r="V59" s="23"/>
      <c r="W59" s="23"/>
      <c r="X59" s="71"/>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row>
    <row r="60" spans="1:135" ht="30" customHeight="1" thickBot="1" x14ac:dyDescent="0.3">
      <c r="A60" s="578" t="s">
        <v>7549</v>
      </c>
      <c r="B60" s="428" t="s">
        <v>7545</v>
      </c>
      <c r="C60" s="72" t="s">
        <v>7546</v>
      </c>
      <c r="D60" s="10" t="s">
        <v>7547</v>
      </c>
      <c r="E60" s="28" t="s">
        <v>25</v>
      </c>
      <c r="F60" s="20" t="s">
        <v>7548</v>
      </c>
      <c r="G60" s="15" t="s">
        <v>3295</v>
      </c>
      <c r="H60" s="22" t="s">
        <v>1221</v>
      </c>
      <c r="I60" s="18" t="s">
        <v>135</v>
      </c>
      <c r="J60" s="18" t="s">
        <v>195</v>
      </c>
      <c r="K60" s="429" t="s">
        <v>7550</v>
      </c>
      <c r="L60" s="21" t="str">
        <f>"RUTL-"&amp;RIGHT(K60,8)</f>
        <v>RUTL-R90QFPZM</v>
      </c>
      <c r="M60" s="129" t="s">
        <v>40</v>
      </c>
      <c r="N60" s="23" t="s">
        <v>54</v>
      </c>
      <c r="O60" s="185"/>
      <c r="P60" s="39" t="s">
        <v>864</v>
      </c>
      <c r="Q60" s="63" t="s">
        <v>7551</v>
      </c>
      <c r="R60" s="121" t="s">
        <v>56</v>
      </c>
      <c r="S60" s="40" t="s">
        <v>57</v>
      </c>
      <c r="T60" s="35" t="s">
        <v>65</v>
      </c>
      <c r="U60" s="23" t="s">
        <v>7552</v>
      </c>
      <c r="V60" s="14"/>
      <c r="W60" s="14"/>
      <c r="X60" s="71"/>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row>
    <row r="61" spans="1:135" ht="30" customHeight="1" thickBot="1" x14ac:dyDescent="0.3">
      <c r="A61" s="578" t="s">
        <v>3966</v>
      </c>
      <c r="B61" s="8">
        <v>6628</v>
      </c>
      <c r="C61" s="72" t="s">
        <v>3964</v>
      </c>
      <c r="D61" s="10" t="s">
        <v>24</v>
      </c>
      <c r="E61" s="11" t="s">
        <v>25</v>
      </c>
      <c r="F61" s="20" t="s">
        <v>3965</v>
      </c>
      <c r="G61" s="15" t="s">
        <v>3245</v>
      </c>
      <c r="H61" s="104" t="s">
        <v>3573</v>
      </c>
      <c r="I61" s="18" t="s">
        <v>117</v>
      </c>
      <c r="J61" s="18" t="s">
        <v>195</v>
      </c>
      <c r="K61" s="33" t="s">
        <v>3967</v>
      </c>
      <c r="L61" s="25" t="str">
        <f>"RUTL-"&amp;RIGHT(K61,8)</f>
        <v>RUTL-R90QFPY9</v>
      </c>
      <c r="M61" s="34" t="s">
        <v>40</v>
      </c>
      <c r="N61" s="175"/>
      <c r="O61" s="175"/>
      <c r="P61" s="175"/>
      <c r="Q61" s="254"/>
      <c r="R61" s="15" t="s">
        <v>235</v>
      </c>
      <c r="S61" s="37" t="s">
        <v>57</v>
      </c>
      <c r="T61" s="107" t="s">
        <v>453</v>
      </c>
      <c r="U61" s="39" t="s">
        <v>3968</v>
      </c>
      <c r="V61" s="202">
        <v>43325</v>
      </c>
      <c r="W61" s="37" t="s">
        <v>2037</v>
      </c>
      <c r="X61" s="71"/>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row>
    <row r="62" spans="1:135" ht="30" customHeight="1" thickBot="1" x14ac:dyDescent="0.3">
      <c r="A62" s="578" t="s">
        <v>1096</v>
      </c>
      <c r="B62" s="226" t="s">
        <v>1087</v>
      </c>
      <c r="C62" s="69" t="s">
        <v>1089</v>
      </c>
      <c r="D62" s="121" t="s">
        <v>1091</v>
      </c>
      <c r="E62" s="122" t="s">
        <v>25</v>
      </c>
      <c r="F62" s="20" t="s">
        <v>1093</v>
      </c>
      <c r="G62" s="15" t="s">
        <v>1094</v>
      </c>
      <c r="H62" s="17" t="s">
        <v>891</v>
      </c>
      <c r="I62" s="18" t="s">
        <v>38</v>
      </c>
      <c r="J62" s="18" t="s">
        <v>195</v>
      </c>
      <c r="K62" s="124" t="s">
        <v>1101</v>
      </c>
      <c r="L62" s="127" t="str">
        <f>"RUTL-"&amp;RIGHT(K62,8)</f>
        <v>RUTL-R90QFQ06</v>
      </c>
      <c r="M62" s="129" t="s">
        <v>40</v>
      </c>
      <c r="N62" s="185" t="s">
        <v>43</v>
      </c>
      <c r="O62" s="23"/>
      <c r="P62" s="39" t="s">
        <v>90</v>
      </c>
      <c r="Q62" s="14"/>
      <c r="R62" s="121" t="s">
        <v>56</v>
      </c>
      <c r="S62" s="151" t="s">
        <v>57</v>
      </c>
      <c r="T62" s="228" t="s">
        <v>1102</v>
      </c>
      <c r="U62" s="138" t="s">
        <v>1103</v>
      </c>
      <c r="V62" s="212">
        <v>43325</v>
      </c>
      <c r="W62" s="229" t="s">
        <v>1104</v>
      </c>
      <c r="X62" s="71"/>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row>
    <row r="63" spans="1:135" ht="30" customHeight="1" thickBot="1" x14ac:dyDescent="0.3">
      <c r="A63" s="578" t="s">
        <v>199</v>
      </c>
      <c r="B63" s="23"/>
      <c r="C63" s="99" t="s">
        <v>176</v>
      </c>
      <c r="D63" s="15" t="s">
        <v>181</v>
      </c>
      <c r="E63" s="11" t="s">
        <v>25</v>
      </c>
      <c r="F63" s="103"/>
      <c r="G63" s="12" t="s">
        <v>187</v>
      </c>
      <c r="H63" s="104" t="s">
        <v>188</v>
      </c>
      <c r="I63" s="18" t="s">
        <v>135</v>
      </c>
      <c r="J63" s="24" t="s">
        <v>195</v>
      </c>
      <c r="K63" s="106" t="s">
        <v>220</v>
      </c>
      <c r="L63" s="106" t="s">
        <v>228</v>
      </c>
      <c r="M63" s="109"/>
      <c r="N63" s="23"/>
      <c r="O63" s="23"/>
      <c r="P63" s="110"/>
      <c r="Q63" s="39" t="s">
        <v>236</v>
      </c>
      <c r="R63" s="15" t="s">
        <v>235</v>
      </c>
      <c r="S63" s="40" t="s">
        <v>57</v>
      </c>
      <c r="T63" s="112" t="s">
        <v>58</v>
      </c>
      <c r="U63" s="47" t="s">
        <v>243</v>
      </c>
      <c r="V63" s="44"/>
      <c r="W63" s="23"/>
      <c r="X63" s="71"/>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row>
    <row r="64" spans="1:135" ht="30" customHeight="1" thickBot="1" x14ac:dyDescent="0.3">
      <c r="A64" s="578" t="s">
        <v>3213</v>
      </c>
      <c r="B64" s="8">
        <v>3193</v>
      </c>
      <c r="C64" s="72" t="s">
        <v>3210</v>
      </c>
      <c r="D64" s="15" t="s">
        <v>959</v>
      </c>
      <c r="E64" s="11" t="s">
        <v>25</v>
      </c>
      <c r="F64" s="20" t="s">
        <v>3211</v>
      </c>
      <c r="G64" s="15" t="s">
        <v>3212</v>
      </c>
      <c r="H64" s="17" t="s">
        <v>714</v>
      </c>
      <c r="I64" s="18" t="s">
        <v>117</v>
      </c>
      <c r="J64" s="18" t="s">
        <v>195</v>
      </c>
      <c r="K64" s="33" t="s">
        <v>3214</v>
      </c>
      <c r="L64" s="25" t="str">
        <f>"RUTL-"&amp;RIGHT(K64,8)</f>
        <v>RUTL-R90QFPYR</v>
      </c>
      <c r="M64" s="34" t="s">
        <v>40</v>
      </c>
      <c r="N64" s="23"/>
      <c r="O64" s="23"/>
      <c r="P64" s="23"/>
      <c r="Q64" s="63" t="s">
        <v>3215</v>
      </c>
      <c r="R64" s="15" t="s">
        <v>235</v>
      </c>
      <c r="S64" s="23"/>
      <c r="T64" s="23"/>
      <c r="U64" s="39" t="s">
        <v>3216</v>
      </c>
      <c r="V64" s="23"/>
      <c r="W64" s="23"/>
      <c r="X64" s="71"/>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row>
    <row r="65" spans="1:135" ht="30" customHeight="1" thickBot="1" x14ac:dyDescent="0.3">
      <c r="A65" s="578" t="s">
        <v>1131</v>
      </c>
      <c r="B65" s="120" t="s">
        <v>1125</v>
      </c>
      <c r="C65" s="72" t="s">
        <v>1126</v>
      </c>
      <c r="D65" s="10" t="s">
        <v>24</v>
      </c>
      <c r="E65" s="11" t="s">
        <v>25</v>
      </c>
      <c r="F65" s="20" t="s">
        <v>1127</v>
      </c>
      <c r="G65" s="15" t="s">
        <v>1129</v>
      </c>
      <c r="H65" s="17" t="s">
        <v>891</v>
      </c>
      <c r="I65" s="18" t="s">
        <v>586</v>
      </c>
      <c r="J65" s="18" t="s">
        <v>195</v>
      </c>
      <c r="K65" s="124" t="s">
        <v>1144</v>
      </c>
      <c r="L65" s="127" t="str">
        <f>"RUTL-"&amp;RIGHT(K65,8)</f>
        <v>RUTL-R90QFPZU</v>
      </c>
      <c r="M65" s="176" t="s">
        <v>40</v>
      </c>
      <c r="N65" s="23" t="s">
        <v>1018</v>
      </c>
      <c r="O65" s="23"/>
      <c r="P65" s="39" t="s">
        <v>90</v>
      </c>
      <c r="Q65" s="39" t="s">
        <v>1145</v>
      </c>
      <c r="R65" s="121" t="s">
        <v>56</v>
      </c>
      <c r="S65" s="37" t="s">
        <v>57</v>
      </c>
      <c r="T65" s="64" t="s">
        <v>1146</v>
      </c>
      <c r="U65" s="47" t="s">
        <v>1147</v>
      </c>
      <c r="V65" s="23"/>
      <c r="W65" s="23"/>
      <c r="X65" s="71"/>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row>
    <row r="66" spans="1:135" ht="30" customHeight="1" thickBot="1" x14ac:dyDescent="0.3">
      <c r="A66" s="578" t="s">
        <v>5828</v>
      </c>
      <c r="B66" s="437">
        <v>14390</v>
      </c>
      <c r="C66" s="72" t="s">
        <v>5826</v>
      </c>
      <c r="D66" s="10" t="s">
        <v>24</v>
      </c>
      <c r="E66" s="11" t="s">
        <v>25</v>
      </c>
      <c r="F66" s="20" t="s">
        <v>5827</v>
      </c>
      <c r="G66" s="15" t="s">
        <v>5614</v>
      </c>
      <c r="H66" s="76" t="s">
        <v>3268</v>
      </c>
      <c r="I66" s="18" t="s">
        <v>135</v>
      </c>
      <c r="J66" s="18" t="s">
        <v>195</v>
      </c>
      <c r="K66" s="23" t="s">
        <v>5829</v>
      </c>
      <c r="L66" s="25" t="str">
        <f>"RUTL-"&amp;RIGHT(K66,8)</f>
        <v>RUTL-R90QFPYF</v>
      </c>
      <c r="M66" s="34" t="s">
        <v>40</v>
      </c>
      <c r="N66" s="39" t="s">
        <v>5830</v>
      </c>
      <c r="O66" s="175"/>
      <c r="P66" s="39" t="s">
        <v>90</v>
      </c>
      <c r="Q66" s="63" t="s">
        <v>5831</v>
      </c>
      <c r="R66" s="15" t="s">
        <v>56</v>
      </c>
      <c r="S66" s="37" t="s">
        <v>57</v>
      </c>
      <c r="T66" s="107" t="s">
        <v>148</v>
      </c>
      <c r="U66" s="23" t="s">
        <v>2387</v>
      </c>
      <c r="V66" s="23"/>
      <c r="W66" s="23"/>
      <c r="X66" s="71"/>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row>
    <row r="67" spans="1:135" ht="30" customHeight="1" thickBot="1" x14ac:dyDescent="0.3">
      <c r="A67" s="578" t="s">
        <v>2030</v>
      </c>
      <c r="B67" s="443" t="s">
        <v>2026</v>
      </c>
      <c r="C67" s="455" t="s">
        <v>2027</v>
      </c>
      <c r="D67" s="459" t="s">
        <v>1335</v>
      </c>
      <c r="E67" s="465" t="s">
        <v>25</v>
      </c>
      <c r="F67" s="20" t="s">
        <v>2028</v>
      </c>
      <c r="G67" s="461" t="s">
        <v>2029</v>
      </c>
      <c r="H67" s="17" t="s">
        <v>470</v>
      </c>
      <c r="I67" s="488" t="s">
        <v>38</v>
      </c>
      <c r="J67" s="18" t="s">
        <v>195</v>
      </c>
      <c r="K67" s="501" t="s">
        <v>2034</v>
      </c>
      <c r="L67" s="25" t="str">
        <f>"RUTL-"&amp;RIGHT(K67,8)</f>
        <v>RUTL-R90QFPYQ</v>
      </c>
      <c r="M67" s="129" t="s">
        <v>40</v>
      </c>
      <c r="N67" s="492" t="s">
        <v>319</v>
      </c>
      <c r="O67" s="517"/>
      <c r="P67" s="515" t="s">
        <v>90</v>
      </c>
      <c r="Q67" s="529"/>
      <c r="R67" s="492" t="s">
        <v>56</v>
      </c>
      <c r="S67" s="544" t="s">
        <v>57</v>
      </c>
      <c r="T67" s="551" t="s">
        <v>598</v>
      </c>
      <c r="U67" s="23" t="s">
        <v>2036</v>
      </c>
      <c r="V67" s="561">
        <v>43325</v>
      </c>
      <c r="W67" s="545" t="s">
        <v>2037</v>
      </c>
    </row>
    <row r="68" spans="1:135" ht="30" customHeight="1" thickBot="1" x14ac:dyDescent="0.3">
      <c r="A68" s="578" t="s">
        <v>1856</v>
      </c>
      <c r="B68" s="51">
        <v>756</v>
      </c>
      <c r="C68" s="69" t="s">
        <v>1848</v>
      </c>
      <c r="D68" s="15" t="s">
        <v>24</v>
      </c>
      <c r="E68" s="11" t="s">
        <v>25</v>
      </c>
      <c r="F68" s="29" t="s">
        <v>1850</v>
      </c>
      <c r="G68" s="15" t="s">
        <v>606</v>
      </c>
      <c r="H68" s="206" t="s">
        <v>682</v>
      </c>
      <c r="I68" s="24" t="s">
        <v>1609</v>
      </c>
      <c r="J68" s="18" t="s">
        <v>195</v>
      </c>
      <c r="K68" s="32" t="s">
        <v>1859</v>
      </c>
      <c r="L68" s="25" t="str">
        <f>"RUTL-"&amp;RIGHT(K68,8)</f>
        <v>RUTL-R90QFPYM</v>
      </c>
      <c r="M68" s="92" t="s">
        <v>40</v>
      </c>
      <c r="N68" s="32" t="s">
        <v>54</v>
      </c>
      <c r="O68" s="288"/>
      <c r="P68" s="90" t="s">
        <v>90</v>
      </c>
      <c r="Q68" s="288"/>
      <c r="R68" s="15" t="s">
        <v>56</v>
      </c>
      <c r="S68" s="40" t="s">
        <v>57</v>
      </c>
      <c r="T68" s="35" t="s">
        <v>65</v>
      </c>
      <c r="U68" s="39" t="s">
        <v>1864</v>
      </c>
      <c r="V68" s="289"/>
      <c r="W68" s="288"/>
      <c r="X68" s="71"/>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row>
    <row r="69" spans="1:135" ht="30" customHeight="1" thickBot="1" x14ac:dyDescent="0.3">
      <c r="A69" s="578" t="s">
        <v>5156</v>
      </c>
      <c r="B69" s="8">
        <v>12103</v>
      </c>
      <c r="C69" s="52" t="s">
        <v>5153</v>
      </c>
      <c r="D69" s="10" t="s">
        <v>5154</v>
      </c>
      <c r="E69" s="11" t="s">
        <v>25</v>
      </c>
      <c r="F69" s="20" t="s">
        <v>5155</v>
      </c>
      <c r="G69" s="15" t="s">
        <v>4779</v>
      </c>
      <c r="H69" s="17" t="s">
        <v>1154</v>
      </c>
      <c r="I69" s="18" t="s">
        <v>135</v>
      </c>
      <c r="J69" s="18" t="s">
        <v>195</v>
      </c>
      <c r="K69" s="23" t="s">
        <v>5157</v>
      </c>
      <c r="L69" s="25" t="str">
        <f>"RUTL-"&amp;RIGHT(K69,8)</f>
        <v>RUTL-R90QFPYX</v>
      </c>
      <c r="M69" s="34" t="s">
        <v>40</v>
      </c>
      <c r="N69" s="32" t="s">
        <v>54</v>
      </c>
      <c r="O69" s="23"/>
      <c r="P69" s="39" t="s">
        <v>90</v>
      </c>
      <c r="Q69" s="63" t="s">
        <v>5158</v>
      </c>
      <c r="R69" s="15" t="s">
        <v>56</v>
      </c>
      <c r="S69" s="37" t="s">
        <v>57</v>
      </c>
      <c r="T69" s="107" t="s">
        <v>453</v>
      </c>
      <c r="U69" s="39" t="s">
        <v>2154</v>
      </c>
      <c r="V69" s="23"/>
      <c r="W69" s="23"/>
      <c r="X69" s="71"/>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row>
    <row r="70" spans="1:135" ht="30" customHeight="1" thickBot="1" x14ac:dyDescent="0.3">
      <c r="A70" s="578" t="s">
        <v>6763</v>
      </c>
      <c r="B70" s="51">
        <v>16646</v>
      </c>
      <c r="C70" s="9" t="s">
        <v>6761</v>
      </c>
      <c r="D70" s="10" t="s">
        <v>24</v>
      </c>
      <c r="E70" s="11" t="s">
        <v>25</v>
      </c>
      <c r="F70" s="20" t="s">
        <v>6762</v>
      </c>
      <c r="G70" s="15" t="s">
        <v>1351</v>
      </c>
      <c r="H70" s="108" t="s">
        <v>225</v>
      </c>
      <c r="I70" s="18" t="s">
        <v>135</v>
      </c>
      <c r="J70" s="18" t="s">
        <v>195</v>
      </c>
      <c r="K70" s="23" t="s">
        <v>6764</v>
      </c>
      <c r="L70" s="25" t="str">
        <f>"RUTL-"&amp;RIGHT(K70,8)</f>
        <v>RUTL-R90QN4W3</v>
      </c>
      <c r="M70" s="34" t="s">
        <v>40</v>
      </c>
      <c r="N70" s="23" t="s">
        <v>54</v>
      </c>
      <c r="O70" s="23"/>
      <c r="P70" s="39" t="s">
        <v>90</v>
      </c>
      <c r="Q70" s="113"/>
      <c r="R70" s="15" t="s">
        <v>56</v>
      </c>
      <c r="S70" s="37" t="s">
        <v>57</v>
      </c>
      <c r="T70" s="23" t="s">
        <v>273</v>
      </c>
      <c r="U70" s="39" t="s">
        <v>2545</v>
      </c>
      <c r="V70" s="170">
        <v>43368</v>
      </c>
      <c r="W70" s="23" t="s">
        <v>302</v>
      </c>
      <c r="X70" s="71"/>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row>
    <row r="71" spans="1:135" ht="30" customHeight="1" thickBot="1" x14ac:dyDescent="0.3">
      <c r="A71" s="578" t="s">
        <v>2750</v>
      </c>
      <c r="B71" s="8">
        <v>1684</v>
      </c>
      <c r="C71" s="72" t="s">
        <v>2747</v>
      </c>
      <c r="D71" s="174" t="s">
        <v>1471</v>
      </c>
      <c r="E71" s="11" t="s">
        <v>25</v>
      </c>
      <c r="F71" s="20" t="s">
        <v>2748</v>
      </c>
      <c r="G71" s="15" t="s">
        <v>2749</v>
      </c>
      <c r="H71" s="119" t="s">
        <v>811</v>
      </c>
      <c r="I71" s="18" t="s">
        <v>117</v>
      </c>
      <c r="J71" s="18" t="s">
        <v>195</v>
      </c>
      <c r="K71" s="33" t="s">
        <v>2757</v>
      </c>
      <c r="L71" s="25" t="str">
        <f>"RUTL-"&amp;RIGHT(K71,8)</f>
        <v>RUTL-R90QN4W9</v>
      </c>
      <c r="M71" s="34" t="s">
        <v>40</v>
      </c>
      <c r="N71" s="15" t="s">
        <v>319</v>
      </c>
      <c r="O71" s="23"/>
      <c r="P71" s="39" t="s">
        <v>90</v>
      </c>
      <c r="Q71" s="63" t="s">
        <v>2758</v>
      </c>
      <c r="R71" s="15" t="s">
        <v>56</v>
      </c>
      <c r="S71" s="37" t="s">
        <v>57</v>
      </c>
      <c r="T71" s="23"/>
      <c r="U71" s="23" t="s">
        <v>2759</v>
      </c>
      <c r="V71" s="170">
        <v>43368</v>
      </c>
      <c r="W71" s="23" t="s">
        <v>302</v>
      </c>
      <c r="X71" s="71"/>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row>
    <row r="72" spans="1:135" ht="30" customHeight="1" thickBot="1" x14ac:dyDescent="0.3">
      <c r="A72" s="578" t="s">
        <v>1174</v>
      </c>
      <c r="B72" s="51" t="s">
        <v>1166</v>
      </c>
      <c r="C72" s="69" t="s">
        <v>1167</v>
      </c>
      <c r="D72" s="10" t="s">
        <v>24</v>
      </c>
      <c r="E72" s="11" t="s">
        <v>25</v>
      </c>
      <c r="F72" s="20" t="s">
        <v>1168</v>
      </c>
      <c r="G72" s="15" t="s">
        <v>1170</v>
      </c>
      <c r="H72" s="17" t="s">
        <v>891</v>
      </c>
      <c r="I72" s="18" t="s">
        <v>135</v>
      </c>
      <c r="J72" s="18" t="s">
        <v>195</v>
      </c>
      <c r="K72" s="23" t="s">
        <v>1180</v>
      </c>
      <c r="L72" s="21" t="str">
        <f>"RUTL-"&amp;RIGHT(K72,8)</f>
        <v>RUTL-R90QN4WR</v>
      </c>
      <c r="M72" s="34" t="s">
        <v>40</v>
      </c>
      <c r="N72" s="235" t="s">
        <v>410</v>
      </c>
      <c r="O72" s="235" t="s">
        <v>1194</v>
      </c>
      <c r="P72" s="39" t="s">
        <v>90</v>
      </c>
      <c r="Q72" s="63" t="s">
        <v>1196</v>
      </c>
      <c r="R72" s="15" t="s">
        <v>56</v>
      </c>
      <c r="S72" s="37" t="s">
        <v>57</v>
      </c>
      <c r="T72" s="108" t="s">
        <v>273</v>
      </c>
      <c r="U72" s="39" t="s">
        <v>1199</v>
      </c>
      <c r="V72" s="170">
        <v>43368</v>
      </c>
      <c r="W72" s="23" t="s">
        <v>302</v>
      </c>
      <c r="X72" s="71"/>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row>
    <row r="73" spans="1:135" ht="30" customHeight="1" thickBot="1" x14ac:dyDescent="0.3">
      <c r="A73" s="578" t="s">
        <v>2024</v>
      </c>
      <c r="B73" s="51">
        <v>844</v>
      </c>
      <c r="C73" s="72" t="s">
        <v>2020</v>
      </c>
      <c r="D73" s="10" t="s">
        <v>1290</v>
      </c>
      <c r="E73" s="122" t="s">
        <v>25</v>
      </c>
      <c r="F73" s="20" t="s">
        <v>2022</v>
      </c>
      <c r="G73" s="15" t="s">
        <v>1007</v>
      </c>
      <c r="H73" s="53" t="s">
        <v>76</v>
      </c>
      <c r="I73" s="18" t="s">
        <v>198</v>
      </c>
      <c r="J73" s="18" t="s">
        <v>195</v>
      </c>
      <c r="K73" s="124" t="s">
        <v>2031</v>
      </c>
      <c r="L73" s="25" t="str">
        <f>"RUTL-"&amp;RIGHT(K73,8)</f>
        <v>RUTL-R90QN4WH</v>
      </c>
      <c r="M73" s="129" t="s">
        <v>40</v>
      </c>
      <c r="N73" s="14" t="s">
        <v>43</v>
      </c>
      <c r="O73" s="124"/>
      <c r="P73" s="39" t="s">
        <v>90</v>
      </c>
      <c r="Q73" s="124" t="s">
        <v>2032</v>
      </c>
      <c r="R73" s="121" t="s">
        <v>56</v>
      </c>
      <c r="S73" s="151" t="s">
        <v>57</v>
      </c>
      <c r="T73" s="137" t="s">
        <v>273</v>
      </c>
      <c r="U73" s="39" t="s">
        <v>2035</v>
      </c>
      <c r="V73" s="170">
        <v>43368</v>
      </c>
      <c r="W73" s="23" t="s">
        <v>302</v>
      </c>
      <c r="X73" s="71"/>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row>
    <row r="74" spans="1:135" ht="30" customHeight="1" thickBot="1" x14ac:dyDescent="0.3">
      <c r="A74" s="578" t="s">
        <v>6080</v>
      </c>
      <c r="B74" s="8">
        <v>15050</v>
      </c>
      <c r="C74" s="72" t="s">
        <v>6078</v>
      </c>
      <c r="D74" s="10" t="s">
        <v>6079</v>
      </c>
      <c r="E74" s="11" t="s">
        <v>25</v>
      </c>
      <c r="F74" s="20"/>
      <c r="G74" s="15" t="s">
        <v>2512</v>
      </c>
      <c r="H74" s="22" t="s">
        <v>3181</v>
      </c>
      <c r="I74" s="18" t="s">
        <v>135</v>
      </c>
      <c r="J74" s="18" t="s">
        <v>195</v>
      </c>
      <c r="K74" s="23" t="s">
        <v>6081</v>
      </c>
      <c r="L74" s="25" t="str">
        <f>"RUTL-"&amp;RIGHT(K74,8)</f>
        <v>RUTL-R90QN4W7</v>
      </c>
      <c r="M74" s="34" t="s">
        <v>40</v>
      </c>
      <c r="N74" s="23" t="s">
        <v>54</v>
      </c>
      <c r="O74" s="23"/>
      <c r="P74" s="39" t="s">
        <v>90</v>
      </c>
      <c r="Q74" s="63" t="s">
        <v>6082</v>
      </c>
      <c r="R74" s="15" t="s">
        <v>56</v>
      </c>
      <c r="S74" s="37" t="s">
        <v>57</v>
      </c>
      <c r="T74" s="232" t="s">
        <v>65</v>
      </c>
      <c r="U74" s="39" t="s">
        <v>1130</v>
      </c>
      <c r="V74" s="170">
        <v>43368</v>
      </c>
      <c r="W74" s="23" t="s">
        <v>302</v>
      </c>
      <c r="X74" s="71"/>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row>
    <row r="75" spans="1:135" ht="30" customHeight="1" thickBot="1" x14ac:dyDescent="0.3">
      <c r="A75" s="578" t="s">
        <v>765</v>
      </c>
      <c r="B75" s="23"/>
      <c r="C75" s="99" t="s">
        <v>762</v>
      </c>
      <c r="D75" s="15" t="s">
        <v>583</v>
      </c>
      <c r="E75" s="28" t="s">
        <v>25</v>
      </c>
      <c r="F75" s="103"/>
      <c r="G75" s="12" t="s">
        <v>763</v>
      </c>
      <c r="H75" s="76" t="s">
        <v>764</v>
      </c>
      <c r="I75" s="24" t="s">
        <v>185</v>
      </c>
      <c r="J75" s="24" t="s">
        <v>195</v>
      </c>
      <c r="K75" s="106" t="s">
        <v>766</v>
      </c>
      <c r="L75" s="106" t="str">
        <f>"RUTL-"&amp;RIGHT(K75,8)</f>
        <v>RUTL-R90QN4WF</v>
      </c>
      <c r="M75" s="109"/>
      <c r="N75" s="98" t="s">
        <v>87</v>
      </c>
      <c r="O75" s="98" t="s">
        <v>767</v>
      </c>
      <c r="P75" s="110" t="s">
        <v>90</v>
      </c>
      <c r="Q75" s="39" t="s">
        <v>768</v>
      </c>
      <c r="R75" s="15" t="s">
        <v>56</v>
      </c>
      <c r="S75" s="40" t="s">
        <v>57</v>
      </c>
      <c r="T75" s="112"/>
      <c r="U75" s="47" t="s">
        <v>59</v>
      </c>
      <c r="V75" s="48">
        <v>43368</v>
      </c>
      <c r="W75" s="23" t="s">
        <v>302</v>
      </c>
      <c r="X75" s="71"/>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row>
    <row r="76" spans="1:135" ht="30" customHeight="1" thickBot="1" x14ac:dyDescent="0.3">
      <c r="A76" s="578" t="s">
        <v>1216</v>
      </c>
      <c r="B76" s="120" t="s">
        <v>1212</v>
      </c>
      <c r="C76" s="52" t="s">
        <v>1213</v>
      </c>
      <c r="D76" s="10" t="s">
        <v>959</v>
      </c>
      <c r="E76" s="122" t="s">
        <v>25</v>
      </c>
      <c r="F76" s="20" t="s">
        <v>1214</v>
      </c>
      <c r="G76" s="15" t="s">
        <v>1215</v>
      </c>
      <c r="H76" s="17" t="s">
        <v>891</v>
      </c>
      <c r="I76" s="18" t="s">
        <v>117</v>
      </c>
      <c r="J76" s="18" t="s">
        <v>195</v>
      </c>
      <c r="K76" s="124" t="s">
        <v>1217</v>
      </c>
      <c r="L76" s="127" t="str">
        <f>"RUTL-"&amp;RIGHT(K76,8)</f>
        <v>RUTL-R90QN4VW</v>
      </c>
      <c r="M76" s="129" t="s">
        <v>40</v>
      </c>
      <c r="N76" s="23"/>
      <c r="O76" s="23"/>
      <c r="P76" s="23"/>
      <c r="Q76" s="124" t="s">
        <v>1219</v>
      </c>
      <c r="R76" s="121" t="s">
        <v>56</v>
      </c>
      <c r="S76" s="151" t="s">
        <v>57</v>
      </c>
      <c r="T76" s="228" t="s">
        <v>1222</v>
      </c>
      <c r="U76" s="138" t="s">
        <v>1226</v>
      </c>
      <c r="V76" s="170">
        <v>43368</v>
      </c>
      <c r="W76" s="23" t="s">
        <v>302</v>
      </c>
      <c r="X76" s="71"/>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row>
    <row r="77" spans="1:135" ht="30" customHeight="1" thickBot="1" x14ac:dyDescent="0.3">
      <c r="A77" s="578" t="s">
        <v>5130</v>
      </c>
      <c r="B77" s="16">
        <v>12004</v>
      </c>
      <c r="C77" s="72" t="s">
        <v>5128</v>
      </c>
      <c r="D77" s="10" t="s">
        <v>1290</v>
      </c>
      <c r="E77" s="11" t="s">
        <v>25</v>
      </c>
      <c r="F77" s="12" t="s">
        <v>5129</v>
      </c>
      <c r="G77" s="15" t="s">
        <v>1351</v>
      </c>
      <c r="H77" s="173" t="s">
        <v>81</v>
      </c>
      <c r="I77" s="18" t="s">
        <v>135</v>
      </c>
      <c r="J77" s="18" t="s">
        <v>195</v>
      </c>
      <c r="K77" s="23" t="s">
        <v>5131</v>
      </c>
      <c r="L77" s="25" t="str">
        <f>"RUTL-"&amp;RIGHT(K77,8)</f>
        <v>RUTL-R90QN4VN</v>
      </c>
      <c r="M77" s="34" t="s">
        <v>40</v>
      </c>
      <c r="N77" s="23" t="s">
        <v>43</v>
      </c>
      <c r="O77" s="23"/>
      <c r="P77" s="39" t="s">
        <v>90</v>
      </c>
      <c r="Q77" s="63" t="s">
        <v>5132</v>
      </c>
      <c r="R77" s="15" t="s">
        <v>56</v>
      </c>
      <c r="S77" s="37" t="s">
        <v>57</v>
      </c>
      <c r="T77" s="107" t="s">
        <v>453</v>
      </c>
      <c r="U77" s="39" t="s">
        <v>5133</v>
      </c>
      <c r="V77" s="170">
        <v>43368</v>
      </c>
      <c r="W77" s="23" t="s">
        <v>302</v>
      </c>
      <c r="X77" s="71"/>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row>
    <row r="78" spans="1:135" ht="30" customHeight="1" thickBot="1" x14ac:dyDescent="0.3">
      <c r="A78" s="578" t="s">
        <v>2860</v>
      </c>
      <c r="B78" s="8">
        <v>1795</v>
      </c>
      <c r="C78" s="72" t="s">
        <v>2856</v>
      </c>
      <c r="D78" s="174" t="s">
        <v>1471</v>
      </c>
      <c r="E78" s="11" t="s">
        <v>25</v>
      </c>
      <c r="F78" s="20" t="s">
        <v>2858</v>
      </c>
      <c r="G78" s="15" t="s">
        <v>2859</v>
      </c>
      <c r="H78" s="17" t="s">
        <v>714</v>
      </c>
      <c r="I78" s="18" t="s">
        <v>117</v>
      </c>
      <c r="J78" s="18" t="s">
        <v>195</v>
      </c>
      <c r="K78" s="33" t="s">
        <v>2861</v>
      </c>
      <c r="L78" s="25" t="str">
        <f>"RUTL-"&amp;RIGHT(K78,8)</f>
        <v>RUTL-R90QN4XF</v>
      </c>
      <c r="M78" s="34" t="s">
        <v>40</v>
      </c>
      <c r="N78" s="15" t="s">
        <v>319</v>
      </c>
      <c r="O78" s="23"/>
      <c r="P78" s="39" t="s">
        <v>90</v>
      </c>
      <c r="Q78" s="63" t="s">
        <v>2862</v>
      </c>
      <c r="R78" s="15" t="s">
        <v>56</v>
      </c>
      <c r="S78" s="37" t="s">
        <v>57</v>
      </c>
      <c r="T78" s="23"/>
      <c r="U78" s="39" t="s">
        <v>2863</v>
      </c>
      <c r="V78" s="170">
        <v>43368</v>
      </c>
      <c r="W78" s="23" t="s">
        <v>302</v>
      </c>
      <c r="X78" s="71"/>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row>
    <row r="79" spans="1:135" ht="30" customHeight="1" thickBot="1" x14ac:dyDescent="0.3">
      <c r="A79" s="578" t="s">
        <v>2346</v>
      </c>
      <c r="B79" s="16">
        <v>1059</v>
      </c>
      <c r="C79" s="72" t="s">
        <v>2344</v>
      </c>
      <c r="D79" s="15" t="s">
        <v>24</v>
      </c>
      <c r="E79" s="11" t="s">
        <v>25</v>
      </c>
      <c r="F79" s="20" t="s">
        <v>2345</v>
      </c>
      <c r="G79" s="15" t="s">
        <v>606</v>
      </c>
      <c r="H79" s="206" t="s">
        <v>682</v>
      </c>
      <c r="I79" s="18" t="s">
        <v>135</v>
      </c>
      <c r="J79" s="18" t="s">
        <v>195</v>
      </c>
      <c r="K79" s="23" t="s">
        <v>2353</v>
      </c>
      <c r="L79" s="25" t="str">
        <f>"RUTL-"&amp;RIGHT(K79,8)</f>
        <v>RUTL-R90QN4VU</v>
      </c>
      <c r="M79" s="34" t="s">
        <v>40</v>
      </c>
      <c r="N79" s="39" t="s">
        <v>410</v>
      </c>
      <c r="O79" s="23"/>
      <c r="P79" s="39" t="s">
        <v>90</v>
      </c>
      <c r="Q79" s="113"/>
      <c r="R79" s="15" t="s">
        <v>56</v>
      </c>
      <c r="S79" s="37" t="s">
        <v>57</v>
      </c>
      <c r="T79" s="41" t="s">
        <v>65</v>
      </c>
      <c r="U79" s="39" t="s">
        <v>2216</v>
      </c>
      <c r="V79" s="170">
        <v>43368</v>
      </c>
      <c r="W79" s="23" t="s">
        <v>302</v>
      </c>
      <c r="X79" s="71"/>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row>
    <row r="80" spans="1:135" ht="30" customHeight="1" thickBot="1" x14ac:dyDescent="0.3">
      <c r="A80" s="578" t="s">
        <v>2383</v>
      </c>
      <c r="B80" s="120" t="s">
        <v>2378</v>
      </c>
      <c r="C80" s="72" t="s">
        <v>2379</v>
      </c>
      <c r="D80" s="15" t="s">
        <v>2380</v>
      </c>
      <c r="E80" s="122" t="s">
        <v>25</v>
      </c>
      <c r="F80" s="20" t="s">
        <v>2381</v>
      </c>
      <c r="G80" s="15" t="s">
        <v>2382</v>
      </c>
      <c r="H80" s="53" t="s">
        <v>76</v>
      </c>
      <c r="I80" s="18" t="s">
        <v>586</v>
      </c>
      <c r="J80" s="18" t="s">
        <v>195</v>
      </c>
      <c r="K80" s="124" t="s">
        <v>2389</v>
      </c>
      <c r="L80" s="127" t="str">
        <f>"RUTL-"&amp;RIGHT(K80,8)</f>
        <v>RUTL-R90QN4Y2</v>
      </c>
      <c r="M80" s="129" t="s">
        <v>40</v>
      </c>
      <c r="N80" s="14" t="s">
        <v>43</v>
      </c>
      <c r="O80" s="14"/>
      <c r="P80" s="39" t="s">
        <v>90</v>
      </c>
      <c r="Q80" s="14" t="s">
        <v>2394</v>
      </c>
      <c r="R80" s="121" t="s">
        <v>56</v>
      </c>
      <c r="S80" s="151" t="s">
        <v>57</v>
      </c>
      <c r="T80" s="321" t="s">
        <v>2395</v>
      </c>
      <c r="U80" s="138" t="s">
        <v>2396</v>
      </c>
      <c r="V80" s="170">
        <v>43368</v>
      </c>
      <c r="W80" s="23" t="s">
        <v>302</v>
      </c>
      <c r="X80" s="71"/>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row>
    <row r="81" spans="1:135" ht="30" customHeight="1" thickBot="1" x14ac:dyDescent="0.3">
      <c r="A81" s="578" t="s">
        <v>5495</v>
      </c>
      <c r="B81" s="16">
        <v>12969</v>
      </c>
      <c r="C81" s="52" t="s">
        <v>5493</v>
      </c>
      <c r="D81" s="10" t="s">
        <v>24</v>
      </c>
      <c r="E81" s="11" t="s">
        <v>25</v>
      </c>
      <c r="F81" s="20" t="s">
        <v>5494</v>
      </c>
      <c r="G81" s="15" t="s">
        <v>3721</v>
      </c>
      <c r="H81" s="147" t="s">
        <v>1882</v>
      </c>
      <c r="I81" s="24" t="s">
        <v>135</v>
      </c>
      <c r="J81" s="24" t="s">
        <v>195</v>
      </c>
      <c r="K81" s="23" t="s">
        <v>5496</v>
      </c>
      <c r="L81" s="25" t="str">
        <f>"RUTL-"&amp;RIGHT(K81,8)</f>
        <v>RUTL-R90QN4VT</v>
      </c>
      <c r="M81" s="34" t="s">
        <v>40</v>
      </c>
      <c r="N81" s="90" t="s">
        <v>1124</v>
      </c>
      <c r="O81" s="23"/>
      <c r="P81" s="39" t="s">
        <v>90</v>
      </c>
      <c r="Q81" s="63" t="s">
        <v>5497</v>
      </c>
      <c r="R81" s="15" t="s">
        <v>56</v>
      </c>
      <c r="S81" s="40" t="s">
        <v>57</v>
      </c>
      <c r="T81" s="105" t="s">
        <v>148</v>
      </c>
      <c r="U81" s="39" t="s">
        <v>5498</v>
      </c>
      <c r="V81" s="48">
        <v>43368</v>
      </c>
      <c r="W81" s="23" t="s">
        <v>302</v>
      </c>
      <c r="X81" s="71"/>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row>
    <row r="82" spans="1:135" ht="30" customHeight="1" thickBot="1" x14ac:dyDescent="0.3">
      <c r="A82" s="578" t="s">
        <v>6460</v>
      </c>
      <c r="B82" s="16">
        <v>15954</v>
      </c>
      <c r="C82" s="69" t="s">
        <v>6457</v>
      </c>
      <c r="D82" s="10" t="s">
        <v>6458</v>
      </c>
      <c r="E82" s="11" t="s">
        <v>25</v>
      </c>
      <c r="F82" s="20" t="s">
        <v>6459</v>
      </c>
      <c r="G82" s="15" t="s">
        <v>1351</v>
      </c>
      <c r="H82" s="53" t="s">
        <v>1204</v>
      </c>
      <c r="I82" s="24" t="s">
        <v>1609</v>
      </c>
      <c r="J82" s="24" t="s">
        <v>195</v>
      </c>
      <c r="K82" s="32" t="s">
        <v>6461</v>
      </c>
      <c r="L82" s="25" t="str">
        <f>"RUTL-"&amp;RIGHT(K82,8)</f>
        <v>RUTL-R90QN4X2</v>
      </c>
      <c r="M82" s="34" t="s">
        <v>40</v>
      </c>
      <c r="N82" s="39" t="s">
        <v>54</v>
      </c>
      <c r="O82" s="23"/>
      <c r="P82" s="39" t="s">
        <v>90</v>
      </c>
      <c r="Q82" s="63" t="s">
        <v>6462</v>
      </c>
      <c r="R82" s="15" t="s">
        <v>56</v>
      </c>
      <c r="S82" s="37" t="s">
        <v>57</v>
      </c>
      <c r="T82" s="361" t="s">
        <v>273</v>
      </c>
      <c r="U82" s="39" t="s">
        <v>883</v>
      </c>
      <c r="V82" s="48">
        <v>43368</v>
      </c>
      <c r="W82" s="23" t="s">
        <v>302</v>
      </c>
      <c r="X82" s="71"/>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row>
    <row r="83" spans="1:135" ht="30" customHeight="1" thickBot="1" x14ac:dyDescent="0.3">
      <c r="A83" s="578" t="s">
        <v>268</v>
      </c>
      <c r="B83" s="23"/>
      <c r="C83" s="99" t="s">
        <v>256</v>
      </c>
      <c r="D83" s="15" t="s">
        <v>258</v>
      </c>
      <c r="E83" s="11" t="s">
        <v>25</v>
      </c>
      <c r="F83" s="29"/>
      <c r="G83" s="12" t="s">
        <v>187</v>
      </c>
      <c r="H83" s="104" t="s">
        <v>188</v>
      </c>
      <c r="I83" s="18" t="s">
        <v>135</v>
      </c>
      <c r="J83" s="24" t="s">
        <v>195</v>
      </c>
      <c r="K83" s="32" t="s">
        <v>277</v>
      </c>
      <c r="L83" s="116" t="s">
        <v>280</v>
      </c>
      <c r="M83" s="109"/>
      <c r="N83" s="32" t="s">
        <v>54</v>
      </c>
      <c r="O83" s="117"/>
      <c r="P83" s="90" t="s">
        <v>281</v>
      </c>
      <c r="Q83" s="90" t="s">
        <v>294</v>
      </c>
      <c r="R83" s="15" t="s">
        <v>56</v>
      </c>
      <c r="S83" s="40" t="s">
        <v>57</v>
      </c>
      <c r="T83" s="41" t="s">
        <v>65</v>
      </c>
      <c r="U83" s="47" t="s">
        <v>297</v>
      </c>
      <c r="V83" s="48">
        <v>43368</v>
      </c>
      <c r="W83" s="32" t="s">
        <v>302</v>
      </c>
      <c r="X83" s="71"/>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row>
    <row r="84" spans="1:135" ht="30" customHeight="1" thickBot="1" x14ac:dyDescent="0.3">
      <c r="A84" s="578" t="s">
        <v>3594</v>
      </c>
      <c r="B84" s="8">
        <v>4539</v>
      </c>
      <c r="C84" s="72" t="s">
        <v>3591</v>
      </c>
      <c r="D84" s="15" t="s">
        <v>3592</v>
      </c>
      <c r="E84" s="11" t="s">
        <v>25</v>
      </c>
      <c r="F84" s="20" t="s">
        <v>3593</v>
      </c>
      <c r="G84" s="15" t="s">
        <v>2512</v>
      </c>
      <c r="H84" s="17" t="s">
        <v>470</v>
      </c>
      <c r="I84" s="18" t="s">
        <v>135</v>
      </c>
      <c r="J84" s="18" t="s">
        <v>195</v>
      </c>
      <c r="K84" s="33" t="s">
        <v>3595</v>
      </c>
      <c r="L84" s="25" t="str">
        <f>"RUTL-"&amp;RIGHT(K84,8)</f>
        <v>RUTL-R90QN4VL</v>
      </c>
      <c r="M84" s="34" t="s">
        <v>40</v>
      </c>
      <c r="N84" s="23"/>
      <c r="O84" s="23"/>
      <c r="P84" s="39" t="s">
        <v>90</v>
      </c>
      <c r="Q84" s="63" t="s">
        <v>3596</v>
      </c>
      <c r="R84" s="15" t="s">
        <v>56</v>
      </c>
      <c r="S84" s="37" t="s">
        <v>57</v>
      </c>
      <c r="T84" s="105" t="s">
        <v>148</v>
      </c>
      <c r="U84" s="23" t="s">
        <v>3597</v>
      </c>
      <c r="V84" s="170">
        <v>43368</v>
      </c>
      <c r="W84" s="23" t="s">
        <v>302</v>
      </c>
      <c r="X84" s="71"/>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row>
    <row r="85" spans="1:135" ht="30" customHeight="1" thickBot="1" x14ac:dyDescent="0.3">
      <c r="A85" s="578" t="s">
        <v>1847</v>
      </c>
      <c r="B85" s="51" t="s">
        <v>661</v>
      </c>
      <c r="C85" s="69" t="s">
        <v>1842</v>
      </c>
      <c r="D85" s="10" t="s">
        <v>1843</v>
      </c>
      <c r="E85" s="28" t="s">
        <v>25</v>
      </c>
      <c r="F85" s="20" t="s">
        <v>1844</v>
      </c>
      <c r="G85" s="15" t="s">
        <v>1845</v>
      </c>
      <c r="H85" s="17" t="s">
        <v>1846</v>
      </c>
      <c r="I85" s="18" t="s">
        <v>117</v>
      </c>
      <c r="J85" s="18" t="s">
        <v>195</v>
      </c>
      <c r="K85" s="23" t="s">
        <v>1854</v>
      </c>
      <c r="L85" s="21" t="str">
        <f>"RUTL-"&amp;RIGHT(K85,8)</f>
        <v>RUTL-R90QN4XC</v>
      </c>
      <c r="M85" s="129" t="s">
        <v>40</v>
      </c>
      <c r="N85" s="14" t="s">
        <v>43</v>
      </c>
      <c r="O85" s="124"/>
      <c r="P85" s="283"/>
      <c r="Q85" s="286"/>
      <c r="R85" s="121" t="s">
        <v>56</v>
      </c>
      <c r="S85" s="151" t="s">
        <v>57</v>
      </c>
      <c r="T85" s="287" t="s">
        <v>1860</v>
      </c>
      <c r="U85" s="14" t="s">
        <v>1863</v>
      </c>
      <c r="V85" s="170">
        <v>43368</v>
      </c>
      <c r="W85" s="23" t="s">
        <v>302</v>
      </c>
      <c r="X85" s="71"/>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row>
    <row r="86" spans="1:135" ht="30" customHeight="1" thickBot="1" x14ac:dyDescent="0.3">
      <c r="A86" s="578" t="s">
        <v>2061</v>
      </c>
      <c r="B86" s="51" t="s">
        <v>2046</v>
      </c>
      <c r="C86" s="69" t="s">
        <v>2048</v>
      </c>
      <c r="D86" s="78" t="s">
        <v>2050</v>
      </c>
      <c r="E86" s="298" t="s">
        <v>25</v>
      </c>
      <c r="F86" s="29" t="s">
        <v>2057</v>
      </c>
      <c r="G86" s="15" t="s">
        <v>2059</v>
      </c>
      <c r="H86" s="206" t="s">
        <v>470</v>
      </c>
      <c r="I86" s="18" t="s">
        <v>117</v>
      </c>
      <c r="J86" s="24" t="s">
        <v>195</v>
      </c>
      <c r="K86" s="33" t="s">
        <v>2063</v>
      </c>
      <c r="L86" s="25" t="str">
        <f>"RUTL-"&amp;RIGHT(K86,8)</f>
        <v>RUTL-R90QN4VV</v>
      </c>
      <c r="M86" s="302" t="s">
        <v>40</v>
      </c>
      <c r="N86" s="303" t="s">
        <v>43</v>
      </c>
      <c r="O86" s="276"/>
      <c r="P86" s="90" t="s">
        <v>90</v>
      </c>
      <c r="Q86" s="276"/>
      <c r="R86" s="304" t="s">
        <v>56</v>
      </c>
      <c r="S86" s="40" t="s">
        <v>57</v>
      </c>
      <c r="T86" s="305" t="s">
        <v>2068</v>
      </c>
      <c r="U86" s="39" t="s">
        <v>2069</v>
      </c>
      <c r="V86" s="306">
        <v>43368</v>
      </c>
      <c r="W86" s="32" t="s">
        <v>302</v>
      </c>
      <c r="X86" s="71"/>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row>
    <row r="87" spans="1:135" ht="30" customHeight="1" thickBot="1" x14ac:dyDescent="0.3">
      <c r="A87" s="578" t="s">
        <v>1250</v>
      </c>
      <c r="B87" s="237" t="s">
        <v>1240</v>
      </c>
      <c r="C87" s="72" t="s">
        <v>1245</v>
      </c>
      <c r="D87" s="15" t="s">
        <v>1246</v>
      </c>
      <c r="E87" s="11" t="s">
        <v>25</v>
      </c>
      <c r="F87" s="20" t="s">
        <v>1248</v>
      </c>
      <c r="G87" s="15" t="s">
        <v>606</v>
      </c>
      <c r="H87" s="17" t="s">
        <v>891</v>
      </c>
      <c r="I87" s="18" t="s">
        <v>38</v>
      </c>
      <c r="J87" s="18" t="s">
        <v>195</v>
      </c>
      <c r="K87" s="124" t="s">
        <v>1252</v>
      </c>
      <c r="L87" s="127" t="str">
        <f>"RUTL-"&amp;RIGHT(K87,8)</f>
        <v>RUTL-R90QN4VJ</v>
      </c>
      <c r="M87" s="129" t="s">
        <v>40</v>
      </c>
      <c r="N87" s="23"/>
      <c r="O87" s="23"/>
      <c r="P87" s="39" t="s">
        <v>90</v>
      </c>
      <c r="Q87" s="39" t="s">
        <v>1255</v>
      </c>
      <c r="R87" s="121" t="s">
        <v>56</v>
      </c>
      <c r="S87" s="37" t="s">
        <v>57</v>
      </c>
      <c r="T87" s="101" t="s">
        <v>788</v>
      </c>
      <c r="U87" s="47" t="s">
        <v>1256</v>
      </c>
      <c r="V87" s="170">
        <v>43368</v>
      </c>
      <c r="W87" s="23" t="s">
        <v>302</v>
      </c>
      <c r="X87" s="71"/>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row>
    <row r="88" spans="1:135" ht="30" customHeight="1" thickBot="1" x14ac:dyDescent="0.3">
      <c r="A88" s="578" t="s">
        <v>5259</v>
      </c>
      <c r="B88" s="51">
        <v>12475</v>
      </c>
      <c r="C88" s="72" t="s">
        <v>5255</v>
      </c>
      <c r="D88" s="155" t="s">
        <v>5256</v>
      </c>
      <c r="E88" s="11" t="s">
        <v>25</v>
      </c>
      <c r="F88" s="20" t="s">
        <v>5257</v>
      </c>
      <c r="G88" s="15" t="s">
        <v>3948</v>
      </c>
      <c r="H88" s="147" t="s">
        <v>1882</v>
      </c>
      <c r="I88" s="24" t="s">
        <v>5258</v>
      </c>
      <c r="J88" s="24" t="s">
        <v>195</v>
      </c>
      <c r="K88" s="23" t="s">
        <v>5260</v>
      </c>
      <c r="L88" s="25" t="str">
        <f>"RUTL-"&amp;RIGHT(K88,8)</f>
        <v>RUTL-R90QN4VR</v>
      </c>
      <c r="M88" s="34" t="s">
        <v>40</v>
      </c>
      <c r="N88" s="32"/>
      <c r="O88" s="32"/>
      <c r="P88" s="90" t="s">
        <v>90</v>
      </c>
      <c r="Q88" s="91" t="s">
        <v>5261</v>
      </c>
      <c r="R88" s="15" t="s">
        <v>56</v>
      </c>
      <c r="S88" s="40" t="s">
        <v>57</v>
      </c>
      <c r="T88" s="274" t="s">
        <v>58</v>
      </c>
      <c r="U88" s="39" t="s">
        <v>3193</v>
      </c>
      <c r="V88" s="306">
        <v>43368</v>
      </c>
      <c r="W88" s="32" t="s">
        <v>302</v>
      </c>
      <c r="X88" s="71"/>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row>
    <row r="89" spans="1:135" ht="30" customHeight="1" thickBot="1" x14ac:dyDescent="0.3">
      <c r="A89" s="578" t="s">
        <v>1100</v>
      </c>
      <c r="B89" s="23"/>
      <c r="C89" s="99" t="s">
        <v>1098</v>
      </c>
      <c r="D89" s="15" t="s">
        <v>24</v>
      </c>
      <c r="E89" s="23"/>
      <c r="F89" s="23"/>
      <c r="G89" s="23"/>
      <c r="H89" s="477" t="s">
        <v>1099</v>
      </c>
      <c r="I89" s="18" t="s">
        <v>185</v>
      </c>
      <c r="J89" s="18" t="s">
        <v>195</v>
      </c>
      <c r="K89" s="23" t="s">
        <v>1106</v>
      </c>
      <c r="L89" s="21" t="str">
        <f>"RUTL-"&amp;RIGHT(K89,8)</f>
        <v>RUTL-R90QN4WB</v>
      </c>
      <c r="M89" s="23"/>
      <c r="N89" s="23"/>
      <c r="O89" s="23"/>
      <c r="P89" s="23"/>
      <c r="Q89" s="23" t="s">
        <v>1111</v>
      </c>
      <c r="R89" s="15" t="s">
        <v>56</v>
      </c>
      <c r="S89" s="37" t="s">
        <v>57</v>
      </c>
      <c r="T89" s="107" t="s">
        <v>148</v>
      </c>
      <c r="U89" s="47" t="s">
        <v>1115</v>
      </c>
      <c r="V89" s="170">
        <v>43368</v>
      </c>
      <c r="W89" s="23" t="s">
        <v>302</v>
      </c>
      <c r="X89" s="71"/>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row>
    <row r="90" spans="1:135" ht="30" customHeight="1" thickBot="1" x14ac:dyDescent="0.3">
      <c r="A90" s="578" t="s">
        <v>2065</v>
      </c>
      <c r="B90" s="8">
        <v>869</v>
      </c>
      <c r="C90" s="72" t="s">
        <v>2062</v>
      </c>
      <c r="D90" s="10" t="s">
        <v>581</v>
      </c>
      <c r="E90" s="11" t="s">
        <v>25</v>
      </c>
      <c r="F90" s="20" t="s">
        <v>2064</v>
      </c>
      <c r="G90" s="15" t="s">
        <v>2055</v>
      </c>
      <c r="H90" s="147" t="s">
        <v>1882</v>
      </c>
      <c r="I90" s="18" t="s">
        <v>117</v>
      </c>
      <c r="J90" s="18" t="s">
        <v>195</v>
      </c>
      <c r="K90" s="23" t="s">
        <v>2066</v>
      </c>
      <c r="L90" s="25" t="str">
        <f>"RUTL-"&amp;RIGHT(K90,8)</f>
        <v>RUTL-R90QN4XJ</v>
      </c>
      <c r="M90" s="34" t="s">
        <v>40</v>
      </c>
      <c r="N90" s="15" t="s">
        <v>319</v>
      </c>
      <c r="O90" s="23"/>
      <c r="P90" s="39" t="s">
        <v>90</v>
      </c>
      <c r="Q90" s="63" t="s">
        <v>2067</v>
      </c>
      <c r="R90" s="15" t="s">
        <v>56</v>
      </c>
      <c r="S90" s="37" t="s">
        <v>57</v>
      </c>
      <c r="T90" s="23"/>
      <c r="U90" s="23" t="s">
        <v>661</v>
      </c>
      <c r="V90" s="170">
        <v>43368</v>
      </c>
      <c r="W90" s="23" t="s">
        <v>302</v>
      </c>
      <c r="X90" s="71"/>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row>
    <row r="91" spans="1:135" ht="30" customHeight="1" thickBot="1" x14ac:dyDescent="0.3">
      <c r="A91" s="578" t="s">
        <v>2090</v>
      </c>
      <c r="B91" s="120" t="s">
        <v>2081</v>
      </c>
      <c r="C91" s="72" t="s">
        <v>2082</v>
      </c>
      <c r="D91" s="10" t="s">
        <v>2083</v>
      </c>
      <c r="E91" s="11" t="s">
        <v>25</v>
      </c>
      <c r="F91" s="20" t="s">
        <v>2084</v>
      </c>
      <c r="G91" s="15" t="s">
        <v>2085</v>
      </c>
      <c r="H91" s="17" t="s">
        <v>470</v>
      </c>
      <c r="I91" s="18" t="s">
        <v>1362</v>
      </c>
      <c r="J91" s="18" t="s">
        <v>195</v>
      </c>
      <c r="K91" s="33" t="s">
        <v>2097</v>
      </c>
      <c r="L91" s="25" t="str">
        <f>"RUTL-"&amp;RIGHT(K91,8)</f>
        <v>RUTL-R90QFPZT</v>
      </c>
      <c r="M91" s="129" t="s">
        <v>40</v>
      </c>
      <c r="N91" s="14"/>
      <c r="O91" s="124"/>
      <c r="P91" s="124"/>
      <c r="Q91" s="276"/>
      <c r="R91" s="121" t="s">
        <v>56</v>
      </c>
      <c r="S91" s="151" t="s">
        <v>57</v>
      </c>
      <c r="T91" s="108" t="s">
        <v>142</v>
      </c>
      <c r="U91" s="47" t="s">
        <v>2101</v>
      </c>
      <c r="V91" s="170">
        <v>43368</v>
      </c>
      <c r="W91" s="23" t="s">
        <v>302</v>
      </c>
      <c r="X91" s="71"/>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row>
    <row r="92" spans="1:135" ht="30" customHeight="1" thickBot="1" x14ac:dyDescent="0.3">
      <c r="A92" s="578" t="s">
        <v>773</v>
      </c>
      <c r="B92" s="8">
        <v>317</v>
      </c>
      <c r="C92" s="52" t="s">
        <v>770</v>
      </c>
      <c r="D92" s="15" t="s">
        <v>493</v>
      </c>
      <c r="E92" s="11" t="s">
        <v>25</v>
      </c>
      <c r="F92" s="20" t="s">
        <v>771</v>
      </c>
      <c r="G92" s="15" t="s">
        <v>606</v>
      </c>
      <c r="H92" s="53" t="s">
        <v>609</v>
      </c>
      <c r="I92" s="18" t="s">
        <v>772</v>
      </c>
      <c r="J92" s="18" t="s">
        <v>195</v>
      </c>
      <c r="K92" s="23" t="s">
        <v>774</v>
      </c>
      <c r="L92" s="25" t="str">
        <f>"RUTL-"&amp;RIGHT(K92,8)</f>
        <v>RUTL-R90QN4X9</v>
      </c>
      <c r="M92" s="34" t="s">
        <v>40</v>
      </c>
      <c r="N92" s="198"/>
      <c r="O92" s="198"/>
      <c r="P92" s="39" t="s">
        <v>90</v>
      </c>
      <c r="Q92" s="63" t="s">
        <v>775</v>
      </c>
      <c r="R92" s="15" t="s">
        <v>56</v>
      </c>
      <c r="S92" s="37" t="s">
        <v>57</v>
      </c>
      <c r="T92" s="107" t="s">
        <v>453</v>
      </c>
      <c r="U92" s="23" t="s">
        <v>605</v>
      </c>
      <c r="V92" s="170">
        <v>43368</v>
      </c>
      <c r="W92" s="23" t="s">
        <v>302</v>
      </c>
      <c r="X92" s="71"/>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row>
    <row r="93" spans="1:135" ht="30" customHeight="1" thickBot="1" x14ac:dyDescent="0.3">
      <c r="A93" s="578" t="s">
        <v>2868</v>
      </c>
      <c r="B93" s="177" t="s">
        <v>2864</v>
      </c>
      <c r="C93" s="52" t="s">
        <v>2865</v>
      </c>
      <c r="D93" s="10" t="s">
        <v>24</v>
      </c>
      <c r="E93" s="122" t="s">
        <v>25</v>
      </c>
      <c r="F93" s="20" t="s">
        <v>2866</v>
      </c>
      <c r="G93" s="15" t="s">
        <v>2867</v>
      </c>
      <c r="H93" s="17" t="s">
        <v>1154</v>
      </c>
      <c r="I93" s="18" t="s">
        <v>38</v>
      </c>
      <c r="J93" s="18" t="s">
        <v>195</v>
      </c>
      <c r="K93" s="124" t="s">
        <v>2875</v>
      </c>
      <c r="L93" s="127" t="str">
        <f>"RUTL-"&amp;RIGHT(K93,8)</f>
        <v>RUTL-R90QN4VM</v>
      </c>
      <c r="M93" s="129" t="s">
        <v>40</v>
      </c>
      <c r="N93" s="14" t="s">
        <v>43</v>
      </c>
      <c r="O93" s="124"/>
      <c r="P93" s="39" t="s">
        <v>90</v>
      </c>
      <c r="Q93" s="124"/>
      <c r="R93" s="121" t="s">
        <v>56</v>
      </c>
      <c r="S93" s="151" t="s">
        <v>57</v>
      </c>
      <c r="T93" s="228" t="s">
        <v>2877</v>
      </c>
      <c r="U93" s="187" t="s">
        <v>2878</v>
      </c>
      <c r="V93" s="170">
        <v>43368</v>
      </c>
      <c r="W93" s="23" t="s">
        <v>302</v>
      </c>
      <c r="X93" s="71"/>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row>
    <row r="94" spans="1:135" ht="30" customHeight="1" thickBot="1" x14ac:dyDescent="0.3">
      <c r="A94" s="578" t="s">
        <v>536</v>
      </c>
      <c r="B94" s="159"/>
      <c r="C94" s="157" t="s">
        <v>527</v>
      </c>
      <c r="D94" s="161" t="s">
        <v>493</v>
      </c>
      <c r="E94" s="11" t="s">
        <v>25</v>
      </c>
      <c r="F94" s="162"/>
      <c r="G94" s="157" t="s">
        <v>527</v>
      </c>
      <c r="H94" s="37" t="s">
        <v>533</v>
      </c>
      <c r="I94" s="18" t="s">
        <v>38</v>
      </c>
      <c r="J94" s="24" t="s">
        <v>323</v>
      </c>
      <c r="K94" s="14" t="s">
        <v>540</v>
      </c>
      <c r="L94" s="164" t="str">
        <f>"RUTL-"&amp;RIGHT(K94,8)</f>
        <v>RUTL-LR08MD5Z</v>
      </c>
      <c r="M94" s="159"/>
      <c r="N94" s="159"/>
      <c r="O94" s="159"/>
      <c r="P94" s="159"/>
      <c r="Q94" s="159"/>
      <c r="R94" s="159"/>
      <c r="S94" s="159"/>
      <c r="T94" s="159"/>
      <c r="U94" s="166" t="s">
        <v>557</v>
      </c>
      <c r="V94" s="168">
        <v>43397</v>
      </c>
      <c r="W94" s="159"/>
      <c r="X94" s="71"/>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row>
    <row r="95" spans="1:135" ht="30" customHeight="1" thickBot="1" x14ac:dyDescent="0.3">
      <c r="A95" s="578" t="s">
        <v>2111</v>
      </c>
      <c r="B95" s="435">
        <v>892</v>
      </c>
      <c r="C95" s="52" t="s">
        <v>2105</v>
      </c>
      <c r="D95" s="10" t="s">
        <v>2106</v>
      </c>
      <c r="E95" s="28" t="s">
        <v>25</v>
      </c>
      <c r="F95" s="12" t="s">
        <v>2108</v>
      </c>
      <c r="G95" s="15" t="s">
        <v>1007</v>
      </c>
      <c r="H95" s="22" t="s">
        <v>2109</v>
      </c>
      <c r="I95" s="18" t="s">
        <v>135</v>
      </c>
      <c r="J95" s="18" t="s">
        <v>323</v>
      </c>
      <c r="K95" s="23" t="s">
        <v>2114</v>
      </c>
      <c r="L95" s="25" t="str">
        <f>"RUTL-"&amp;RIGHT(K95,8)</f>
        <v>RUTL-LR08MD8D</v>
      </c>
      <c r="M95" s="34" t="s">
        <v>40</v>
      </c>
      <c r="N95" s="23" t="s">
        <v>43</v>
      </c>
      <c r="O95" s="23"/>
      <c r="P95" s="39" t="s">
        <v>90</v>
      </c>
      <c r="Q95" s="243" t="s">
        <v>146</v>
      </c>
      <c r="R95" s="15" t="s">
        <v>56</v>
      </c>
      <c r="S95" s="40" t="s">
        <v>57</v>
      </c>
      <c r="T95" s="105" t="s">
        <v>148</v>
      </c>
      <c r="U95" s="39" t="s">
        <v>2118</v>
      </c>
      <c r="V95" s="23"/>
      <c r="W95" s="23"/>
      <c r="X95" s="71"/>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row>
    <row r="96" spans="1:135" ht="30" customHeight="1" thickBot="1" x14ac:dyDescent="0.3">
      <c r="A96" s="578" t="s">
        <v>921</v>
      </c>
      <c r="B96" s="436">
        <v>375</v>
      </c>
      <c r="C96" s="72" t="s">
        <v>913</v>
      </c>
      <c r="D96" s="10" t="s">
        <v>916</v>
      </c>
      <c r="E96" s="11" t="s">
        <v>25</v>
      </c>
      <c r="F96" s="29" t="s">
        <v>919</v>
      </c>
      <c r="G96" s="15" t="s">
        <v>606</v>
      </c>
      <c r="H96" s="17" t="s">
        <v>682</v>
      </c>
      <c r="I96" s="24" t="s">
        <v>135</v>
      </c>
      <c r="J96" s="24" t="s">
        <v>323</v>
      </c>
      <c r="K96" s="23" t="s">
        <v>923</v>
      </c>
      <c r="L96" s="25" t="str">
        <f>"RUTL-"&amp;RIGHT(K96,8)</f>
        <v>RUTL-LR08MDC7</v>
      </c>
      <c r="M96" s="34" t="s">
        <v>40</v>
      </c>
      <c r="N96" s="23" t="s">
        <v>54</v>
      </c>
      <c r="O96" s="32"/>
      <c r="P96" s="39" t="s">
        <v>90</v>
      </c>
      <c r="Q96" s="63" t="s">
        <v>924</v>
      </c>
      <c r="R96" s="15" t="s">
        <v>56</v>
      </c>
      <c r="S96" s="40" t="s">
        <v>57</v>
      </c>
      <c r="T96" s="125" t="s">
        <v>453</v>
      </c>
      <c r="U96" s="39" t="s">
        <v>926</v>
      </c>
      <c r="V96" s="32"/>
      <c r="W96" s="32"/>
      <c r="X96" s="71"/>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row>
    <row r="97" spans="1:135" ht="30" customHeight="1" thickBot="1" x14ac:dyDescent="0.3">
      <c r="A97" s="578" t="s">
        <v>2566</v>
      </c>
      <c r="B97" s="8">
        <v>1419</v>
      </c>
      <c r="C97" s="72" t="s">
        <v>2562</v>
      </c>
      <c r="D97" s="10" t="s">
        <v>2563</v>
      </c>
      <c r="E97" s="11" t="s">
        <v>25</v>
      </c>
      <c r="F97" s="20" t="s">
        <v>2564</v>
      </c>
      <c r="G97" s="15" t="s">
        <v>2565</v>
      </c>
      <c r="H97" s="147" t="s">
        <v>1477</v>
      </c>
      <c r="I97" s="18" t="s">
        <v>135</v>
      </c>
      <c r="J97" s="18" t="s">
        <v>323</v>
      </c>
      <c r="K97" s="23" t="s">
        <v>2567</v>
      </c>
      <c r="L97" s="25" t="str">
        <f>"RUTL-"&amp;RIGHT(K97,8)</f>
        <v>RUTL-LR08MD36</v>
      </c>
      <c r="M97" s="34" t="s">
        <v>40</v>
      </c>
      <c r="N97" s="90" t="s">
        <v>87</v>
      </c>
      <c r="O97" s="90" t="s">
        <v>2568</v>
      </c>
      <c r="P97" s="39" t="s">
        <v>90</v>
      </c>
      <c r="Q97" s="63" t="s">
        <v>2569</v>
      </c>
      <c r="R97" s="15" t="s">
        <v>235</v>
      </c>
      <c r="S97" s="37" t="s">
        <v>57</v>
      </c>
      <c r="T97" s="105" t="s">
        <v>148</v>
      </c>
      <c r="U97" s="39" t="s">
        <v>2570</v>
      </c>
      <c r="V97" s="23"/>
      <c r="W97" s="23"/>
      <c r="X97" s="71"/>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row>
    <row r="98" spans="1:135" ht="30" customHeight="1" thickBot="1" x14ac:dyDescent="0.3">
      <c r="A98" s="578" t="s">
        <v>445</v>
      </c>
      <c r="B98" s="120" t="s">
        <v>430</v>
      </c>
      <c r="C98" s="149" t="s">
        <v>431</v>
      </c>
      <c r="D98" s="121" t="s">
        <v>24</v>
      </c>
      <c r="E98" s="122" t="s">
        <v>25</v>
      </c>
      <c r="F98" s="20" t="s">
        <v>442</v>
      </c>
      <c r="G98" s="15" t="s">
        <v>443</v>
      </c>
      <c r="H98" s="104" t="s">
        <v>444</v>
      </c>
      <c r="I98" s="18" t="s">
        <v>38</v>
      </c>
      <c r="J98" s="18" t="s">
        <v>323</v>
      </c>
      <c r="K98" s="23" t="s">
        <v>449</v>
      </c>
      <c r="L98" s="127" t="str">
        <f>"RUTL-"&amp;RIGHT(K98,8)</f>
        <v>RUTL-LR08MD5C</v>
      </c>
      <c r="M98" s="150" t="s">
        <v>40</v>
      </c>
      <c r="N98" s="14" t="s">
        <v>43</v>
      </c>
      <c r="O98" s="14"/>
      <c r="P98" s="39" t="s">
        <v>90</v>
      </c>
      <c r="Q98" s="14" t="s">
        <v>454</v>
      </c>
      <c r="R98" s="121" t="s">
        <v>56</v>
      </c>
      <c r="S98" s="151" t="s">
        <v>57</v>
      </c>
      <c r="T98" s="153" t="s">
        <v>148</v>
      </c>
      <c r="U98" s="138" t="s">
        <v>465</v>
      </c>
      <c r="V98" s="14"/>
      <c r="W98" s="14"/>
      <c r="X98" s="71"/>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row>
    <row r="99" spans="1:135" ht="30" customHeight="1" thickBot="1" x14ac:dyDescent="0.3">
      <c r="A99" s="578" t="s">
        <v>4154</v>
      </c>
      <c r="B99" s="8">
        <v>7405</v>
      </c>
      <c r="C99" s="72" t="s">
        <v>4151</v>
      </c>
      <c r="D99" s="174" t="s">
        <v>1471</v>
      </c>
      <c r="E99" s="11" t="s">
        <v>25</v>
      </c>
      <c r="F99" s="20" t="s">
        <v>4152</v>
      </c>
      <c r="G99" s="15" t="s">
        <v>4153</v>
      </c>
      <c r="H99" s="17" t="s">
        <v>470</v>
      </c>
      <c r="I99" s="18" t="s">
        <v>135</v>
      </c>
      <c r="J99" s="18" t="s">
        <v>323</v>
      </c>
      <c r="K99" s="33" t="s">
        <v>4155</v>
      </c>
      <c r="L99" s="25" t="str">
        <f>"RUTL-"&amp;RIGHT(K99,8)</f>
        <v>RUTL-LR08MD5W</v>
      </c>
      <c r="M99" s="34" t="s">
        <v>40</v>
      </c>
      <c r="N99" s="23"/>
      <c r="O99" s="23"/>
      <c r="P99" s="39" t="s">
        <v>864</v>
      </c>
      <c r="Q99" s="113" t="s">
        <v>4156</v>
      </c>
      <c r="R99" s="15" t="s">
        <v>56</v>
      </c>
      <c r="S99" s="37" t="s">
        <v>57</v>
      </c>
      <c r="T99" s="105" t="s">
        <v>148</v>
      </c>
      <c r="U99" s="39" t="s">
        <v>4157</v>
      </c>
      <c r="V99" s="363"/>
      <c r="W99" s="227"/>
      <c r="X99" s="71"/>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row>
    <row r="100" spans="1:135" ht="30" customHeight="1" thickBot="1" x14ac:dyDescent="0.3">
      <c r="A100" s="578" t="s">
        <v>3358</v>
      </c>
      <c r="B100" s="8">
        <v>3631</v>
      </c>
      <c r="C100" s="72" t="s">
        <v>3354</v>
      </c>
      <c r="D100" s="15" t="s">
        <v>3355</v>
      </c>
      <c r="E100" s="11" t="s">
        <v>25</v>
      </c>
      <c r="F100" s="20" t="s">
        <v>3356</v>
      </c>
      <c r="G100" s="15" t="s">
        <v>3357</v>
      </c>
      <c r="H100" s="17" t="s">
        <v>682</v>
      </c>
      <c r="I100" s="18" t="s">
        <v>135</v>
      </c>
      <c r="J100" s="18" t="s">
        <v>323</v>
      </c>
      <c r="K100" s="33" t="s">
        <v>3359</v>
      </c>
      <c r="L100" s="25" t="str">
        <f>"RUTL-"&amp;RIGHT(K100,8)</f>
        <v>RUTL-LR08MD2H</v>
      </c>
      <c r="M100" s="34" t="s">
        <v>40</v>
      </c>
      <c r="N100" s="23" t="s">
        <v>43</v>
      </c>
      <c r="O100" s="23"/>
      <c r="P100" s="39" t="s">
        <v>90</v>
      </c>
      <c r="Q100" s="63" t="s">
        <v>3360</v>
      </c>
      <c r="R100" s="15" t="s">
        <v>56</v>
      </c>
      <c r="S100" s="37" t="s">
        <v>57</v>
      </c>
      <c r="T100" s="87" t="s">
        <v>273</v>
      </c>
      <c r="U100" s="23" t="s">
        <v>3361</v>
      </c>
      <c r="V100" s="23"/>
      <c r="W100" s="23"/>
      <c r="X100" s="71"/>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row>
    <row r="101" spans="1:135" ht="30" customHeight="1" thickBot="1" x14ac:dyDescent="0.3">
      <c r="A101" s="578" t="s">
        <v>5663</v>
      </c>
      <c r="B101" s="8">
        <v>13476</v>
      </c>
      <c r="C101" s="72" t="s">
        <v>5660</v>
      </c>
      <c r="D101" s="10" t="s">
        <v>5661</v>
      </c>
      <c r="E101" s="11" t="s">
        <v>25</v>
      </c>
      <c r="F101" s="20" t="s">
        <v>5662</v>
      </c>
      <c r="G101" s="15" t="s">
        <v>4779</v>
      </c>
      <c r="H101" s="17" t="s">
        <v>682</v>
      </c>
      <c r="I101" s="18" t="s">
        <v>135</v>
      </c>
      <c r="J101" s="18" t="s">
        <v>323</v>
      </c>
      <c r="K101" s="23" t="s">
        <v>5664</v>
      </c>
      <c r="L101" s="25" t="str">
        <f>"RUTL-"&amp;RIGHT(K101,8)</f>
        <v>RUTL-LR08MDBU</v>
      </c>
      <c r="M101" s="34" t="s">
        <v>40</v>
      </c>
      <c r="N101" s="23" t="s">
        <v>43</v>
      </c>
      <c r="O101" s="23"/>
      <c r="P101" s="39" t="s">
        <v>90</v>
      </c>
      <c r="Q101" s="63" t="s">
        <v>5665</v>
      </c>
      <c r="R101" s="15" t="s">
        <v>56</v>
      </c>
      <c r="S101" s="37" t="s">
        <v>57</v>
      </c>
      <c r="T101" s="107" t="s">
        <v>453</v>
      </c>
      <c r="U101" s="39" t="s">
        <v>819</v>
      </c>
      <c r="V101" s="23"/>
      <c r="W101" s="23"/>
      <c r="X101" s="71"/>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row>
    <row r="102" spans="1:135" ht="30" customHeight="1" thickBot="1" x14ac:dyDescent="0.3">
      <c r="A102" s="578" t="s">
        <v>984</v>
      </c>
      <c r="B102" s="8">
        <v>430</v>
      </c>
      <c r="C102" s="167" t="s">
        <v>979</v>
      </c>
      <c r="D102" s="174" t="s">
        <v>980</v>
      </c>
      <c r="E102" s="11" t="s">
        <v>25</v>
      </c>
      <c r="F102" s="20" t="s">
        <v>982</v>
      </c>
      <c r="G102" s="15" t="s">
        <v>983</v>
      </c>
      <c r="H102" s="119" t="s">
        <v>312</v>
      </c>
      <c r="I102" s="18" t="s">
        <v>117</v>
      </c>
      <c r="J102" s="18" t="s">
        <v>323</v>
      </c>
      <c r="K102" s="23" t="s">
        <v>987</v>
      </c>
      <c r="L102" s="25" t="str">
        <f>"RUTL-"&amp;RIGHT(K102,8)</f>
        <v>RUTL-LR08MDB7</v>
      </c>
      <c r="M102" s="34" t="s">
        <v>40</v>
      </c>
      <c r="N102" s="23" t="s">
        <v>990</v>
      </c>
      <c r="O102" s="23"/>
      <c r="P102" s="39" t="s">
        <v>90</v>
      </c>
      <c r="Q102" s="113"/>
      <c r="R102" s="15" t="s">
        <v>235</v>
      </c>
      <c r="S102" s="23"/>
      <c r="T102" s="23"/>
      <c r="U102" s="39" t="s">
        <v>992</v>
      </c>
      <c r="V102" s="202">
        <v>43397</v>
      </c>
      <c r="W102" s="23"/>
      <c r="X102" s="71"/>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row>
    <row r="103" spans="1:135" ht="30" customHeight="1" thickBot="1" x14ac:dyDescent="0.3">
      <c r="A103" s="578" t="s">
        <v>954</v>
      </c>
      <c r="B103" s="23"/>
      <c r="C103" s="99" t="s">
        <v>949</v>
      </c>
      <c r="D103" s="174" t="s">
        <v>583</v>
      </c>
      <c r="E103" s="23"/>
      <c r="F103" s="23"/>
      <c r="G103" s="23"/>
      <c r="H103" s="119" t="s">
        <v>951</v>
      </c>
      <c r="I103" s="18" t="s">
        <v>135</v>
      </c>
      <c r="J103" s="18" t="s">
        <v>323</v>
      </c>
      <c r="K103" s="23" t="s">
        <v>955</v>
      </c>
      <c r="L103" s="21" t="str">
        <f>"RUTL-"&amp;RIGHT(K103,8)</f>
        <v>RUTL-LR08MDC3</v>
      </c>
      <c r="M103" s="23"/>
      <c r="N103" s="23"/>
      <c r="O103" s="23"/>
      <c r="P103" s="23"/>
      <c r="Q103" s="23"/>
      <c r="R103" s="23"/>
      <c r="S103" s="23"/>
      <c r="T103" s="23"/>
      <c r="U103" s="23"/>
      <c r="V103" s="23"/>
      <c r="W103" s="23"/>
      <c r="X103" s="71"/>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row>
    <row r="104" spans="1:135" ht="30" customHeight="1" thickBot="1" x14ac:dyDescent="0.3">
      <c r="A104" s="578" t="s">
        <v>5556</v>
      </c>
      <c r="B104" s="8">
        <v>13252</v>
      </c>
      <c r="C104" s="72" t="s">
        <v>5553</v>
      </c>
      <c r="D104" s="10" t="s">
        <v>2548</v>
      </c>
      <c r="E104" s="11" t="s">
        <v>25</v>
      </c>
      <c r="F104" s="20" t="s">
        <v>5554</v>
      </c>
      <c r="G104" s="15" t="s">
        <v>5555</v>
      </c>
      <c r="H104" s="313" t="s">
        <v>4465</v>
      </c>
      <c r="I104" s="18" t="s">
        <v>117</v>
      </c>
      <c r="J104" s="18" t="s">
        <v>323</v>
      </c>
      <c r="K104" s="23" t="s">
        <v>5557</v>
      </c>
      <c r="L104" s="25" t="str">
        <f>"RUTL-"&amp;RIGHT(K104,8)</f>
        <v>RUTL-LR08MDC5</v>
      </c>
      <c r="M104" s="34" t="s">
        <v>40</v>
      </c>
      <c r="N104" s="23" t="s">
        <v>43</v>
      </c>
      <c r="O104" s="23"/>
      <c r="P104" s="39" t="s">
        <v>90</v>
      </c>
      <c r="Q104" s="63" t="s">
        <v>5558</v>
      </c>
      <c r="R104" s="15" t="s">
        <v>56</v>
      </c>
      <c r="S104" s="37" t="s">
        <v>57</v>
      </c>
      <c r="T104" s="101" t="s">
        <v>96</v>
      </c>
      <c r="U104" s="39" t="s">
        <v>1772</v>
      </c>
      <c r="V104" s="23"/>
      <c r="W104" s="23"/>
      <c r="X104" s="71"/>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row>
    <row r="105" spans="1:135" ht="30" customHeight="1" thickBot="1" x14ac:dyDescent="0.3">
      <c r="A105" s="578" t="s">
        <v>4667</v>
      </c>
      <c r="B105" s="16">
        <v>9620</v>
      </c>
      <c r="C105" s="72" t="s">
        <v>4665</v>
      </c>
      <c r="D105" s="10" t="s">
        <v>24</v>
      </c>
      <c r="E105" s="11" t="s">
        <v>25</v>
      </c>
      <c r="F105" s="20" t="s">
        <v>4666</v>
      </c>
      <c r="G105" s="15" t="s">
        <v>2764</v>
      </c>
      <c r="H105" s="17" t="s">
        <v>682</v>
      </c>
      <c r="I105" s="18" t="s">
        <v>117</v>
      </c>
      <c r="J105" s="18" t="s">
        <v>323</v>
      </c>
      <c r="K105" s="33" t="s">
        <v>4668</v>
      </c>
      <c r="L105" s="25" t="str">
        <f>"RUTL-"&amp;RIGHT(K105,8)</f>
        <v>RUTL-LR08MD7C</v>
      </c>
      <c r="M105" s="34" t="s">
        <v>40</v>
      </c>
      <c r="N105" s="23" t="s">
        <v>43</v>
      </c>
      <c r="O105" s="23"/>
      <c r="P105" s="39" t="s">
        <v>90</v>
      </c>
      <c r="Q105" s="113"/>
      <c r="R105" s="15" t="s">
        <v>56</v>
      </c>
      <c r="S105" s="37" t="s">
        <v>57</v>
      </c>
      <c r="T105" s="105" t="s">
        <v>148</v>
      </c>
      <c r="U105" s="39" t="s">
        <v>4669</v>
      </c>
      <c r="V105" s="23"/>
      <c r="W105" s="23"/>
      <c r="X105" s="71"/>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row>
    <row r="106" spans="1:135" ht="30" customHeight="1" thickBot="1" x14ac:dyDescent="0.3">
      <c r="A106" s="578" t="s">
        <v>4658</v>
      </c>
      <c r="B106" s="16">
        <v>9602</v>
      </c>
      <c r="C106" s="72" t="s">
        <v>4654</v>
      </c>
      <c r="D106" s="10" t="s">
        <v>24</v>
      </c>
      <c r="E106" s="11" t="s">
        <v>4655</v>
      </c>
      <c r="F106" s="20" t="s">
        <v>4656</v>
      </c>
      <c r="G106" s="15" t="s">
        <v>4657</v>
      </c>
      <c r="H106" s="119" t="s">
        <v>312</v>
      </c>
      <c r="I106" s="18" t="s">
        <v>135</v>
      </c>
      <c r="J106" s="18" t="s">
        <v>323</v>
      </c>
      <c r="K106" s="33" t="s">
        <v>4659</v>
      </c>
      <c r="L106" s="25" t="str">
        <f>"RUTL-"&amp;RIGHT(K106,8)</f>
        <v>RUTL-LR08MD58</v>
      </c>
      <c r="M106" s="34" t="s">
        <v>40</v>
      </c>
      <c r="N106" s="39" t="s">
        <v>414</v>
      </c>
      <c r="O106" s="39" t="s">
        <v>4660</v>
      </c>
      <c r="P106" s="23"/>
      <c r="Q106" s="113"/>
      <c r="R106" s="15" t="s">
        <v>56</v>
      </c>
      <c r="S106" s="37" t="s">
        <v>180</v>
      </c>
      <c r="T106" s="107" t="s">
        <v>453</v>
      </c>
      <c r="U106" s="39" t="s">
        <v>3286</v>
      </c>
      <c r="V106" s="23"/>
      <c r="W106" s="23"/>
      <c r="X106" s="71"/>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row>
    <row r="107" spans="1:135" ht="30" customHeight="1" thickBot="1" x14ac:dyDescent="0.3">
      <c r="A107" s="578" t="s">
        <v>1149</v>
      </c>
      <c r="B107" s="23"/>
      <c r="C107" s="99" t="s">
        <v>1148</v>
      </c>
      <c r="D107" s="15" t="s">
        <v>24</v>
      </c>
      <c r="E107" s="28" t="s">
        <v>25</v>
      </c>
      <c r="F107" s="23"/>
      <c r="G107" s="23"/>
      <c r="H107" s="17" t="s">
        <v>470</v>
      </c>
      <c r="I107" s="18" t="s">
        <v>586</v>
      </c>
      <c r="J107" s="18" t="s">
        <v>323</v>
      </c>
      <c r="K107" s="23" t="s">
        <v>1151</v>
      </c>
      <c r="L107" s="21" t="str">
        <f>"RUTL-"&amp;RIGHT(K107,8)</f>
        <v>RUTL-LR08MDC1</v>
      </c>
      <c r="M107" s="23"/>
      <c r="N107" s="23"/>
      <c r="O107" s="23"/>
      <c r="P107" s="23"/>
      <c r="Q107" s="23"/>
      <c r="R107" s="15" t="s">
        <v>56</v>
      </c>
      <c r="S107" s="37" t="s">
        <v>57</v>
      </c>
      <c r="T107" s="107" t="s">
        <v>453</v>
      </c>
      <c r="U107" s="47" t="s">
        <v>1156</v>
      </c>
      <c r="V107" s="23"/>
      <c r="W107" s="23"/>
      <c r="X107" s="71"/>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row>
    <row r="108" spans="1:135" ht="30" customHeight="1" thickBot="1" x14ac:dyDescent="0.3">
      <c r="A108" s="578" t="s">
        <v>963</v>
      </c>
      <c r="B108" s="8">
        <v>413</v>
      </c>
      <c r="C108" s="316" t="s">
        <v>957</v>
      </c>
      <c r="D108" s="317" t="s">
        <v>959</v>
      </c>
      <c r="E108" s="11" t="s">
        <v>25</v>
      </c>
      <c r="F108" s="12" t="s">
        <v>961</v>
      </c>
      <c r="G108" s="15" t="s">
        <v>606</v>
      </c>
      <c r="H108" s="477" t="s">
        <v>682</v>
      </c>
      <c r="I108" s="54" t="s">
        <v>135</v>
      </c>
      <c r="J108" s="54" t="s">
        <v>323</v>
      </c>
      <c r="K108" s="23" t="s">
        <v>964</v>
      </c>
      <c r="L108" s="25" t="str">
        <f>"RUTL-"&amp;RIGHT(K108,8)</f>
        <v>RUTL-LR08MD8A</v>
      </c>
      <c r="M108" s="34" t="s">
        <v>40</v>
      </c>
      <c r="N108" s="23"/>
      <c r="O108" s="280"/>
      <c r="P108" s="80" t="s">
        <v>90</v>
      </c>
      <c r="Q108" s="63" t="s">
        <v>966</v>
      </c>
      <c r="R108" s="15" t="s">
        <v>56</v>
      </c>
      <c r="S108" s="37" t="s">
        <v>57</v>
      </c>
      <c r="T108" s="101" t="s">
        <v>96</v>
      </c>
      <c r="U108" s="39" t="s">
        <v>967</v>
      </c>
      <c r="V108" s="280"/>
      <c r="W108" s="280"/>
      <c r="X108" s="71"/>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row>
    <row r="109" spans="1:135" ht="30" customHeight="1" thickBot="1" x14ac:dyDescent="0.3">
      <c r="A109" s="578" t="s">
        <v>5785</v>
      </c>
      <c r="B109" s="8">
        <v>13856</v>
      </c>
      <c r="C109" s="72" t="s">
        <v>5783</v>
      </c>
      <c r="D109" s="10" t="s">
        <v>24</v>
      </c>
      <c r="E109" s="11" t="s">
        <v>25</v>
      </c>
      <c r="F109" s="20" t="s">
        <v>5784</v>
      </c>
      <c r="G109" s="15" t="s">
        <v>5555</v>
      </c>
      <c r="H109" s="313" t="s">
        <v>4465</v>
      </c>
      <c r="I109" s="18" t="s">
        <v>135</v>
      </c>
      <c r="J109" s="18" t="s">
        <v>323</v>
      </c>
      <c r="K109" s="23" t="s">
        <v>5786</v>
      </c>
      <c r="L109" s="25" t="str">
        <f>"RUTL-"&amp;RIGHT(K109,8)</f>
        <v>RUTL-LR08MD2Q</v>
      </c>
      <c r="M109" s="34" t="s">
        <v>40</v>
      </c>
      <c r="N109" s="23" t="s">
        <v>43</v>
      </c>
      <c r="O109" s="23"/>
      <c r="P109" s="39" t="s">
        <v>90</v>
      </c>
      <c r="Q109" s="254"/>
      <c r="R109" s="15" t="s">
        <v>56</v>
      </c>
      <c r="S109" s="37" t="s">
        <v>57</v>
      </c>
      <c r="T109" s="107" t="s">
        <v>453</v>
      </c>
      <c r="U109" s="23" t="s">
        <v>5787</v>
      </c>
      <c r="V109" s="23"/>
      <c r="W109" s="23"/>
      <c r="X109" s="71"/>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row>
    <row r="110" spans="1:135" ht="30" customHeight="1" thickBot="1" x14ac:dyDescent="0.3">
      <c r="A110" s="578" t="s">
        <v>7024</v>
      </c>
      <c r="B110" s="51">
        <v>17192</v>
      </c>
      <c r="C110" s="72" t="s">
        <v>7022</v>
      </c>
      <c r="D110" s="10" t="s">
        <v>24</v>
      </c>
      <c r="E110" s="11" t="s">
        <v>25</v>
      </c>
      <c r="F110" s="20" t="s">
        <v>7023</v>
      </c>
      <c r="G110" s="15" t="s">
        <v>1007</v>
      </c>
      <c r="H110" s="53" t="s">
        <v>1204</v>
      </c>
      <c r="I110" s="18" t="s">
        <v>135</v>
      </c>
      <c r="J110" s="18" t="s">
        <v>323</v>
      </c>
      <c r="K110" s="23" t="s">
        <v>7025</v>
      </c>
      <c r="L110" s="25" t="str">
        <f>"RUTL-"&amp;RIGHT(K110,8)</f>
        <v>RUTL-LR08MD3R</v>
      </c>
      <c r="M110" s="34" t="s">
        <v>40</v>
      </c>
      <c r="N110" s="23" t="s">
        <v>54</v>
      </c>
      <c r="O110" s="23"/>
      <c r="P110" s="39" t="s">
        <v>90</v>
      </c>
      <c r="Q110" s="328"/>
      <c r="R110" s="15" t="s">
        <v>56</v>
      </c>
      <c r="S110" s="37" t="s">
        <v>180</v>
      </c>
      <c r="T110" s="107" t="s">
        <v>453</v>
      </c>
      <c r="U110" s="39" t="s">
        <v>6941</v>
      </c>
      <c r="V110" s="23"/>
      <c r="W110" s="23"/>
      <c r="X110" s="71"/>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row>
    <row r="111" spans="1:135" ht="30" customHeight="1" thickBot="1" x14ac:dyDescent="0.3">
      <c r="A111" s="578" t="s">
        <v>324</v>
      </c>
      <c r="B111" s="23"/>
      <c r="C111" s="99" t="s">
        <v>176</v>
      </c>
      <c r="D111" s="15" t="s">
        <v>24</v>
      </c>
      <c r="E111" s="11" t="s">
        <v>25</v>
      </c>
      <c r="F111" s="20"/>
      <c r="G111" s="12" t="s">
        <v>187</v>
      </c>
      <c r="H111" s="104" t="s">
        <v>188</v>
      </c>
      <c r="I111" s="18" t="s">
        <v>135</v>
      </c>
      <c r="J111" s="18" t="s">
        <v>323</v>
      </c>
      <c r="K111" s="23" t="s">
        <v>325</v>
      </c>
      <c r="L111" s="21" t="str">
        <f>"RUTL-"&amp;RIGHT(K111,8)</f>
        <v>RUTL-LR08MDAX</v>
      </c>
      <c r="M111" s="109"/>
      <c r="N111" s="23"/>
      <c r="O111" s="23"/>
      <c r="P111" s="23"/>
      <c r="Q111" s="23"/>
      <c r="R111" s="15" t="s">
        <v>235</v>
      </c>
      <c r="S111" s="40" t="s">
        <v>57</v>
      </c>
      <c r="T111" s="112" t="s">
        <v>58</v>
      </c>
      <c r="U111" s="47" t="s">
        <v>243</v>
      </c>
      <c r="V111" s="44"/>
      <c r="W111" s="23"/>
      <c r="X111" s="71"/>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row>
    <row r="112" spans="1:135" ht="30" customHeight="1" thickBot="1" x14ac:dyDescent="0.3">
      <c r="A112" s="578" t="s">
        <v>1992</v>
      </c>
      <c r="B112" s="90" t="s">
        <v>1849</v>
      </c>
      <c r="C112" s="90" t="s">
        <v>1849</v>
      </c>
      <c r="D112" s="27" t="s">
        <v>1990</v>
      </c>
      <c r="E112" s="11" t="s">
        <v>25</v>
      </c>
      <c r="F112" s="12" t="s">
        <v>1991</v>
      </c>
      <c r="G112" s="15" t="s">
        <v>1447</v>
      </c>
      <c r="H112" s="267" t="s">
        <v>1646</v>
      </c>
      <c r="I112" s="24" t="s">
        <v>185</v>
      </c>
      <c r="J112" s="24" t="s">
        <v>323</v>
      </c>
      <c r="K112" s="106" t="s">
        <v>1995</v>
      </c>
      <c r="L112" s="106" t="s">
        <v>1996</v>
      </c>
      <c r="M112" s="109"/>
      <c r="N112" s="23" t="s">
        <v>43</v>
      </c>
      <c r="O112" s="23"/>
      <c r="P112" s="110" t="s">
        <v>90</v>
      </c>
      <c r="Q112" s="39" t="s">
        <v>2000</v>
      </c>
      <c r="R112" s="15" t="s">
        <v>56</v>
      </c>
      <c r="S112" s="37" t="s">
        <v>57</v>
      </c>
      <c r="T112" s="64" t="s">
        <v>273</v>
      </c>
      <c r="U112" s="23" t="s">
        <v>2003</v>
      </c>
      <c r="V112" s="48"/>
      <c r="W112" s="23"/>
      <c r="X112" s="71"/>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row>
    <row r="113" spans="1:135" ht="30" customHeight="1" thickBot="1" x14ac:dyDescent="0.3">
      <c r="A113" s="578" t="s">
        <v>5811</v>
      </c>
      <c r="B113" s="8">
        <v>14187</v>
      </c>
      <c r="C113" s="72" t="s">
        <v>5808</v>
      </c>
      <c r="D113" s="10" t="s">
        <v>5809</v>
      </c>
      <c r="E113" s="11" t="s">
        <v>25</v>
      </c>
      <c r="F113" s="20" t="s">
        <v>5810</v>
      </c>
      <c r="G113" s="15" t="s">
        <v>1698</v>
      </c>
      <c r="H113" s="104" t="s">
        <v>4678</v>
      </c>
      <c r="I113" s="18" t="s">
        <v>135</v>
      </c>
      <c r="J113" s="18" t="s">
        <v>323</v>
      </c>
      <c r="K113" s="23" t="s">
        <v>5812</v>
      </c>
      <c r="L113" s="25" t="str">
        <f>"RUTL-"&amp;RIGHT(K113,8)</f>
        <v>RUTL-LR08MD31</v>
      </c>
      <c r="M113" s="34" t="s">
        <v>40</v>
      </c>
      <c r="N113" s="23"/>
      <c r="O113" s="23"/>
      <c r="P113" s="39" t="s">
        <v>281</v>
      </c>
      <c r="Q113" s="63" t="s">
        <v>5813</v>
      </c>
      <c r="R113" s="15" t="s">
        <v>235</v>
      </c>
      <c r="S113" s="23"/>
      <c r="T113" s="23"/>
      <c r="U113" s="39" t="s">
        <v>5814</v>
      </c>
      <c r="V113" s="23"/>
      <c r="W113" s="23"/>
      <c r="X113" s="71"/>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row>
    <row r="114" spans="1:135" ht="30" customHeight="1" thickBot="1" x14ac:dyDescent="0.3">
      <c r="A114" s="578" t="s">
        <v>2890</v>
      </c>
      <c r="B114" s="441" t="s">
        <v>2885</v>
      </c>
      <c r="C114" s="454" t="s">
        <v>2887</v>
      </c>
      <c r="D114" s="458" t="s">
        <v>24</v>
      </c>
      <c r="E114" s="464" t="s">
        <v>25</v>
      </c>
      <c r="F114" s="20" t="s">
        <v>2888</v>
      </c>
      <c r="G114" s="15" t="s">
        <v>2889</v>
      </c>
      <c r="H114" s="17" t="s">
        <v>1846</v>
      </c>
      <c r="I114" s="18" t="s">
        <v>38</v>
      </c>
      <c r="J114" s="488" t="s">
        <v>323</v>
      </c>
      <c r="K114" s="494" t="s">
        <v>2891</v>
      </c>
      <c r="L114" s="127" t="str">
        <f>"RUTL-"&amp;RIGHT(K114,8)</f>
        <v>RUTL-LR0AVC2E</v>
      </c>
      <c r="M114" s="510" t="s">
        <v>40</v>
      </c>
      <c r="N114" s="494" t="s">
        <v>43</v>
      </c>
      <c r="O114" s="494"/>
      <c r="P114" s="515" t="s">
        <v>90</v>
      </c>
      <c r="Q114" s="526" t="s">
        <v>2892</v>
      </c>
      <c r="R114" s="492" t="s">
        <v>56</v>
      </c>
      <c r="S114" s="543" t="s">
        <v>57</v>
      </c>
      <c r="T114" s="550" t="s">
        <v>2893</v>
      </c>
      <c r="U114" s="47" t="s">
        <v>2894</v>
      </c>
      <c r="V114" s="494"/>
      <c r="W114" s="494"/>
    </row>
    <row r="115" spans="1:135" ht="30" customHeight="1" thickBot="1" x14ac:dyDescent="0.3">
      <c r="A115" s="578" t="s">
        <v>1268</v>
      </c>
      <c r="B115" s="51"/>
      <c r="C115" s="69" t="s">
        <v>1263</v>
      </c>
      <c r="D115" s="15" t="s">
        <v>1091</v>
      </c>
      <c r="E115" s="122" t="s">
        <v>25</v>
      </c>
      <c r="F115" s="20" t="s">
        <v>1264</v>
      </c>
      <c r="G115" s="15" t="s">
        <v>1266</v>
      </c>
      <c r="H115" s="17" t="s">
        <v>891</v>
      </c>
      <c r="I115" s="18" t="s">
        <v>586</v>
      </c>
      <c r="J115" s="18" t="s">
        <v>323</v>
      </c>
      <c r="K115" s="33" t="s">
        <v>1271</v>
      </c>
      <c r="L115" s="127" t="str">
        <f>"RUTL-"&amp;RIGHT(K115,8)</f>
        <v>RUTL-LR0AVC25</v>
      </c>
      <c r="M115" s="129" t="s">
        <v>40</v>
      </c>
      <c r="N115" s="185"/>
      <c r="O115" s="23"/>
      <c r="P115" s="14"/>
      <c r="Q115" s="14"/>
      <c r="R115" s="121" t="s">
        <v>56</v>
      </c>
      <c r="S115" s="151" t="s">
        <v>57</v>
      </c>
      <c r="T115" s="228" t="s">
        <v>1275</v>
      </c>
      <c r="U115" s="39" t="s">
        <v>1277</v>
      </c>
      <c r="V115" s="14"/>
      <c r="W115" s="14"/>
      <c r="X115" s="71"/>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row>
    <row r="116" spans="1:135" ht="30" customHeight="1" thickBot="1" x14ac:dyDescent="0.3">
      <c r="A116" s="578" t="s">
        <v>1297</v>
      </c>
      <c r="B116" s="16" t="s">
        <v>1288</v>
      </c>
      <c r="C116" s="72" t="s">
        <v>1289</v>
      </c>
      <c r="D116" s="121" t="s">
        <v>1290</v>
      </c>
      <c r="E116" s="11" t="s">
        <v>25</v>
      </c>
      <c r="F116" s="20" t="s">
        <v>1292</v>
      </c>
      <c r="G116" s="15" t="s">
        <v>1295</v>
      </c>
      <c r="H116" s="17" t="s">
        <v>891</v>
      </c>
      <c r="I116" s="18" t="s">
        <v>586</v>
      </c>
      <c r="J116" s="18" t="s">
        <v>323</v>
      </c>
      <c r="K116" s="124" t="s">
        <v>1298</v>
      </c>
      <c r="L116" s="127" t="str">
        <f>"RUTL-"&amp;RIGHT(K116,8)</f>
        <v>RUTL-LR0AVC21</v>
      </c>
      <c r="M116" s="129" t="s">
        <v>40</v>
      </c>
      <c r="N116" s="14" t="s">
        <v>43</v>
      </c>
      <c r="O116" s="124"/>
      <c r="P116" s="39" t="s">
        <v>90</v>
      </c>
      <c r="Q116" s="124"/>
      <c r="R116" s="121" t="s">
        <v>56</v>
      </c>
      <c r="S116" s="133" t="s">
        <v>180</v>
      </c>
      <c r="T116" s="137" t="s">
        <v>1300</v>
      </c>
      <c r="U116" s="39" t="s">
        <v>1301</v>
      </c>
      <c r="V116" s="14"/>
      <c r="W116" s="14"/>
      <c r="X116" s="71"/>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row>
    <row r="117" spans="1:135" ht="30" customHeight="1" thickBot="1" x14ac:dyDescent="0.3">
      <c r="A117" s="578" t="s">
        <v>3422</v>
      </c>
      <c r="B117" s="8">
        <v>3794</v>
      </c>
      <c r="C117" s="69" t="s">
        <v>3420</v>
      </c>
      <c r="D117" s="15" t="s">
        <v>24</v>
      </c>
      <c r="E117" s="11" t="s">
        <v>25</v>
      </c>
      <c r="F117" s="29" t="s">
        <v>3421</v>
      </c>
      <c r="G117" s="15" t="s">
        <v>2271</v>
      </c>
      <c r="H117" s="22" t="s">
        <v>2246</v>
      </c>
      <c r="I117" s="24" t="s">
        <v>135</v>
      </c>
      <c r="J117" s="24" t="s">
        <v>323</v>
      </c>
      <c r="K117" s="33" t="s">
        <v>3423</v>
      </c>
      <c r="L117" s="25" t="str">
        <f>"RUTL-"&amp;RIGHT(K117,8)</f>
        <v>RUTL-LR0AVC2M</v>
      </c>
      <c r="M117" s="34" t="s">
        <v>40</v>
      </c>
      <c r="N117" s="90" t="s">
        <v>87</v>
      </c>
      <c r="O117" s="90" t="s">
        <v>3424</v>
      </c>
      <c r="P117" s="90" t="s">
        <v>90</v>
      </c>
      <c r="Q117" s="91" t="s">
        <v>3425</v>
      </c>
      <c r="R117" s="15" t="s">
        <v>56</v>
      </c>
      <c r="S117" s="40" t="s">
        <v>57</v>
      </c>
      <c r="T117" s="35" t="s">
        <v>65</v>
      </c>
      <c r="U117" s="39" t="s">
        <v>297</v>
      </c>
      <c r="V117" s="32"/>
      <c r="W117" s="32"/>
      <c r="X117" s="71"/>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row>
    <row r="118" spans="1:135" ht="30" customHeight="1" thickBot="1" x14ac:dyDescent="0.3">
      <c r="A118" s="578" t="s">
        <v>1132</v>
      </c>
      <c r="B118" s="23"/>
      <c r="C118" s="99" t="s">
        <v>1128</v>
      </c>
      <c r="D118" s="155" t="s">
        <v>493</v>
      </c>
      <c r="E118" s="23"/>
      <c r="F118" s="23"/>
      <c r="G118" s="23"/>
      <c r="H118" s="17" t="s">
        <v>1099</v>
      </c>
      <c r="I118" s="18" t="s">
        <v>586</v>
      </c>
      <c r="J118" s="18" t="s">
        <v>323</v>
      </c>
      <c r="K118" s="23" t="s">
        <v>1134</v>
      </c>
      <c r="L118" s="21" t="str">
        <f>"RUTL-"&amp;RIGHT(K118,8)</f>
        <v>RUTL-LR0AVC2R</v>
      </c>
      <c r="M118" s="23"/>
      <c r="N118" s="23"/>
      <c r="O118" s="23"/>
      <c r="P118" s="23"/>
      <c r="Q118" s="23" t="s">
        <v>1138</v>
      </c>
      <c r="R118" s="15" t="s">
        <v>56</v>
      </c>
      <c r="S118" s="37" t="s">
        <v>57</v>
      </c>
      <c r="T118" s="107" t="s">
        <v>148</v>
      </c>
      <c r="U118" s="47" t="s">
        <v>1140</v>
      </c>
      <c r="V118" s="23"/>
      <c r="W118" s="23"/>
      <c r="X118" s="71"/>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row>
    <row r="119" spans="1:135" ht="30" customHeight="1" thickBot="1" x14ac:dyDescent="0.3">
      <c r="A119" s="578" t="s">
        <v>1478</v>
      </c>
      <c r="B119" s="8">
        <v>577</v>
      </c>
      <c r="C119" s="72" t="s">
        <v>1473</v>
      </c>
      <c r="D119" s="10" t="s">
        <v>1474</v>
      </c>
      <c r="E119" s="11" t="s">
        <v>25</v>
      </c>
      <c r="F119" s="12" t="s">
        <v>1475</v>
      </c>
      <c r="G119" s="15" t="s">
        <v>1476</v>
      </c>
      <c r="H119" s="147" t="s">
        <v>1477</v>
      </c>
      <c r="I119" s="18" t="s">
        <v>117</v>
      </c>
      <c r="J119" s="18" t="s">
        <v>323</v>
      </c>
      <c r="K119" s="23" t="s">
        <v>1480</v>
      </c>
      <c r="L119" s="25" t="str">
        <f>"RUTL-"&amp;RIGHT(K119,8)</f>
        <v>RUTL-LR0AVC1P</v>
      </c>
      <c r="M119" s="34" t="s">
        <v>40</v>
      </c>
      <c r="N119" s="34" t="s">
        <v>664</v>
      </c>
      <c r="O119" s="23"/>
      <c r="P119" s="175"/>
      <c r="Q119" s="254"/>
      <c r="R119" s="15" t="s">
        <v>56</v>
      </c>
      <c r="S119" s="23"/>
      <c r="T119" s="23"/>
      <c r="U119" s="39" t="s">
        <v>1483</v>
      </c>
      <c r="V119" s="23"/>
      <c r="W119" s="23"/>
      <c r="X119" s="71"/>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row>
    <row r="120" spans="1:135" ht="30" customHeight="1" thickBot="1" x14ac:dyDescent="0.3">
      <c r="A120" s="578" t="s">
        <v>2324</v>
      </c>
      <c r="B120" s="8">
        <v>998</v>
      </c>
      <c r="C120" s="455" t="s">
        <v>2320</v>
      </c>
      <c r="D120" s="15" t="s">
        <v>2321</v>
      </c>
      <c r="E120" s="11" t="s">
        <v>25</v>
      </c>
      <c r="F120" s="20" t="s">
        <v>2322</v>
      </c>
      <c r="G120" s="15" t="s">
        <v>1546</v>
      </c>
      <c r="H120" s="480" t="s">
        <v>1846</v>
      </c>
      <c r="I120" s="18" t="s">
        <v>135</v>
      </c>
      <c r="J120" s="18" t="s">
        <v>323</v>
      </c>
      <c r="K120" s="23" t="s">
        <v>2325</v>
      </c>
      <c r="L120" s="25" t="str">
        <f>"RUTL-"&amp;RIGHT(K120,8)</f>
        <v>RUTL-LR0AVC2C</v>
      </c>
      <c r="M120" s="34" t="s">
        <v>40</v>
      </c>
      <c r="N120" s="493" t="s">
        <v>43</v>
      </c>
      <c r="O120" s="493"/>
      <c r="P120" s="324"/>
      <c r="Q120" s="383" t="s">
        <v>2326</v>
      </c>
      <c r="R120" s="323" t="s">
        <v>56</v>
      </c>
      <c r="S120" s="547" t="s">
        <v>57</v>
      </c>
      <c r="T120" s="554" t="s">
        <v>96</v>
      </c>
      <c r="U120" s="39" t="s">
        <v>2327</v>
      </c>
      <c r="V120" s="23"/>
      <c r="W120" s="23"/>
      <c r="X120" s="71"/>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row>
    <row r="121" spans="1:135" ht="30" customHeight="1" thickBot="1" x14ac:dyDescent="0.3">
      <c r="A121" s="578" t="s">
        <v>5449</v>
      </c>
      <c r="B121" s="8">
        <v>12824</v>
      </c>
      <c r="C121" s="72" t="s">
        <v>5447</v>
      </c>
      <c r="D121" s="10" t="s">
        <v>24</v>
      </c>
      <c r="E121" s="11" t="s">
        <v>25</v>
      </c>
      <c r="F121" s="12" t="s">
        <v>5448</v>
      </c>
      <c r="G121" s="15" t="s">
        <v>443</v>
      </c>
      <c r="H121" s="53" t="s">
        <v>1319</v>
      </c>
      <c r="I121" s="18" t="s">
        <v>135</v>
      </c>
      <c r="J121" s="18" t="s">
        <v>323</v>
      </c>
      <c r="K121" s="23" t="s">
        <v>5450</v>
      </c>
      <c r="L121" s="25" t="str">
        <f>"RUTL-"&amp;RIGHT(K121,8)</f>
        <v>RUTL-LR0AVC0Z</v>
      </c>
      <c r="M121" s="34" t="s">
        <v>40</v>
      </c>
      <c r="N121" s="15" t="s">
        <v>319</v>
      </c>
      <c r="O121" s="227"/>
      <c r="P121" s="39" t="s">
        <v>90</v>
      </c>
      <c r="Q121" s="113"/>
      <c r="R121" s="15" t="s">
        <v>56</v>
      </c>
      <c r="S121" s="37" t="s">
        <v>180</v>
      </c>
      <c r="T121" s="107" t="s">
        <v>453</v>
      </c>
      <c r="U121" s="39" t="s">
        <v>59</v>
      </c>
      <c r="V121" s="23"/>
      <c r="W121" s="23"/>
      <c r="X121" s="71"/>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row>
    <row r="122" spans="1:135" ht="30" customHeight="1" thickBot="1" x14ac:dyDescent="0.3">
      <c r="A122" s="578" t="s">
        <v>610</v>
      </c>
      <c r="B122" s="8">
        <v>258</v>
      </c>
      <c r="C122" s="72" t="s">
        <v>600</v>
      </c>
      <c r="D122" s="15" t="s">
        <v>603</v>
      </c>
      <c r="E122" s="11" t="s">
        <v>25</v>
      </c>
      <c r="F122" s="20" t="s">
        <v>604</v>
      </c>
      <c r="G122" s="15" t="s">
        <v>606</v>
      </c>
      <c r="H122" s="53" t="s">
        <v>609</v>
      </c>
      <c r="I122" s="18" t="s">
        <v>135</v>
      </c>
      <c r="J122" s="18" t="s">
        <v>323</v>
      </c>
      <c r="K122" s="23" t="s">
        <v>611</v>
      </c>
      <c r="L122" s="25" t="str">
        <f>"RUTL-"&amp;RIGHT(K122,8)</f>
        <v>RUTL-LR0AVC0X</v>
      </c>
      <c r="M122" s="34" t="s">
        <v>40</v>
      </c>
      <c r="N122" s="23"/>
      <c r="O122" s="23"/>
      <c r="P122" s="23"/>
      <c r="Q122" s="63" t="s">
        <v>612</v>
      </c>
      <c r="R122" s="15" t="s">
        <v>235</v>
      </c>
      <c r="S122" s="23"/>
      <c r="T122" s="23"/>
      <c r="U122" s="39" t="s">
        <v>613</v>
      </c>
      <c r="V122" s="23"/>
      <c r="W122" s="23"/>
      <c r="X122" s="71"/>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row>
    <row r="123" spans="1:135" ht="30" customHeight="1" thickBot="1" x14ac:dyDescent="0.3">
      <c r="A123" s="578" t="s">
        <v>4639</v>
      </c>
      <c r="B123" s="16">
        <v>9591</v>
      </c>
      <c r="C123" s="72" t="s">
        <v>4637</v>
      </c>
      <c r="D123" s="10" t="s">
        <v>24</v>
      </c>
      <c r="E123" s="11" t="s">
        <v>25</v>
      </c>
      <c r="F123" s="20" t="s">
        <v>4638</v>
      </c>
      <c r="G123" s="15" t="s">
        <v>2271</v>
      </c>
      <c r="H123" s="22" t="s">
        <v>2246</v>
      </c>
      <c r="I123" s="18" t="s">
        <v>135</v>
      </c>
      <c r="J123" s="18" t="s">
        <v>323</v>
      </c>
      <c r="K123" s="33" t="s">
        <v>4640</v>
      </c>
      <c r="L123" s="25" t="str">
        <f>"RUTL-"&amp;RIGHT(K123,8)</f>
        <v>RUTL-LR0AVC0N</v>
      </c>
      <c r="M123" s="34" t="s">
        <v>40</v>
      </c>
      <c r="N123" s="39" t="s">
        <v>87</v>
      </c>
      <c r="O123" s="39" t="s">
        <v>4641</v>
      </c>
      <c r="P123" s="39" t="s">
        <v>90</v>
      </c>
      <c r="Q123" s="63" t="s">
        <v>4642</v>
      </c>
      <c r="R123" s="15" t="s">
        <v>56</v>
      </c>
      <c r="S123" s="37" t="s">
        <v>57</v>
      </c>
      <c r="T123" s="105" t="s">
        <v>148</v>
      </c>
      <c r="U123" s="23" t="s">
        <v>1742</v>
      </c>
      <c r="V123" s="23"/>
      <c r="W123" s="23"/>
      <c r="X123" s="71"/>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row>
    <row r="124" spans="1:135" ht="30" customHeight="1" thickBot="1" x14ac:dyDescent="0.3">
      <c r="A124" s="578" t="s">
        <v>3394</v>
      </c>
      <c r="B124" s="51">
        <v>3709</v>
      </c>
      <c r="C124" s="72" t="s">
        <v>3392</v>
      </c>
      <c r="D124" s="10" t="s">
        <v>24</v>
      </c>
      <c r="E124" s="11" t="s">
        <v>25</v>
      </c>
      <c r="F124" s="20" t="s">
        <v>3393</v>
      </c>
      <c r="G124" s="15" t="s">
        <v>2483</v>
      </c>
      <c r="H124" s="17" t="s">
        <v>470</v>
      </c>
      <c r="I124" s="18" t="s">
        <v>135</v>
      </c>
      <c r="J124" s="18" t="s">
        <v>323</v>
      </c>
      <c r="K124" s="33" t="s">
        <v>3395</v>
      </c>
      <c r="L124" s="25" t="str">
        <f>"RUTL-"&amp;RIGHT(K124,8)</f>
        <v>RUTL-LR0AVC2T</v>
      </c>
      <c r="M124" s="34" t="s">
        <v>40</v>
      </c>
      <c r="N124" s="15" t="s">
        <v>319</v>
      </c>
      <c r="O124" s="23"/>
      <c r="P124" s="90" t="s">
        <v>90</v>
      </c>
      <c r="Q124" s="113"/>
      <c r="R124" s="15" t="s">
        <v>56</v>
      </c>
      <c r="S124" s="37" t="s">
        <v>57</v>
      </c>
      <c r="T124" s="118" t="s">
        <v>65</v>
      </c>
      <c r="U124" s="39" t="s">
        <v>3396</v>
      </c>
      <c r="V124" s="23"/>
      <c r="W124" s="23"/>
      <c r="X124" s="71"/>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row>
    <row r="125" spans="1:135" ht="30" customHeight="1" thickBot="1" x14ac:dyDescent="0.3">
      <c r="A125" s="578" t="s">
        <v>2409</v>
      </c>
      <c r="B125" s="120" t="s">
        <v>2406</v>
      </c>
      <c r="C125" s="72" t="s">
        <v>2407</v>
      </c>
      <c r="D125" s="174" t="s">
        <v>1471</v>
      </c>
      <c r="E125" s="11" t="s">
        <v>25</v>
      </c>
      <c r="F125" s="20" t="s">
        <v>2408</v>
      </c>
      <c r="G125" s="15" t="s">
        <v>606</v>
      </c>
      <c r="H125" s="53" t="s">
        <v>76</v>
      </c>
      <c r="I125" s="18" t="s">
        <v>586</v>
      </c>
      <c r="J125" s="18" t="s">
        <v>323</v>
      </c>
      <c r="K125" s="124" t="s">
        <v>2410</v>
      </c>
      <c r="L125" s="127" t="str">
        <f>"RUTL-"&amp;RIGHT(K125,8)</f>
        <v>RUTL-LR0AVC0V</v>
      </c>
      <c r="M125" s="129" t="s">
        <v>40</v>
      </c>
      <c r="N125" s="23" t="s">
        <v>43</v>
      </c>
      <c r="O125" s="23"/>
      <c r="P125" s="23"/>
      <c r="Q125" s="23"/>
      <c r="R125" s="121" t="s">
        <v>56</v>
      </c>
      <c r="S125" s="37" t="s">
        <v>57</v>
      </c>
      <c r="T125" s="101" t="s">
        <v>2413</v>
      </c>
      <c r="U125" s="47" t="s">
        <v>2415</v>
      </c>
      <c r="V125" s="23"/>
      <c r="W125" s="23"/>
      <c r="X125" s="71"/>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row>
    <row r="126" spans="1:135" ht="30" customHeight="1" thickBot="1" x14ac:dyDescent="0.3">
      <c r="A126" s="578" t="s">
        <v>5869</v>
      </c>
      <c r="B126" s="220">
        <v>14649</v>
      </c>
      <c r="C126" s="72" t="s">
        <v>5866</v>
      </c>
      <c r="D126" s="10" t="s">
        <v>24</v>
      </c>
      <c r="E126" s="11" t="s">
        <v>25</v>
      </c>
      <c r="F126" s="326" t="s">
        <v>5867</v>
      </c>
      <c r="G126" s="15" t="s">
        <v>5868</v>
      </c>
      <c r="H126" s="22" t="s">
        <v>2246</v>
      </c>
      <c r="I126" s="491" t="s">
        <v>135</v>
      </c>
      <c r="J126" s="18" t="s">
        <v>323</v>
      </c>
      <c r="K126" s="23" t="s">
        <v>5870</v>
      </c>
      <c r="L126" s="25" t="str">
        <f>"RUTL-"&amp;RIGHT(K126,8)</f>
        <v>RUTL-LR0AVC27</v>
      </c>
      <c r="M126" s="34" t="s">
        <v>40</v>
      </c>
      <c r="N126" s="23" t="s">
        <v>43</v>
      </c>
      <c r="O126" s="23"/>
      <c r="P126" s="39" t="s">
        <v>90</v>
      </c>
      <c r="Q126" s="383" t="s">
        <v>5871</v>
      </c>
      <c r="R126" s="323" t="s">
        <v>56</v>
      </c>
      <c r="S126" s="37" t="s">
        <v>57</v>
      </c>
      <c r="T126" s="87" t="s">
        <v>273</v>
      </c>
      <c r="U126" s="39" t="s">
        <v>5872</v>
      </c>
      <c r="V126" s="493"/>
      <c r="W126" s="493"/>
      <c r="X126" s="71"/>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row>
    <row r="127" spans="1:135" ht="30" customHeight="1" thickBot="1" x14ac:dyDescent="0.3">
      <c r="A127" s="578" t="s">
        <v>2593</v>
      </c>
      <c r="B127" s="8">
        <v>1509</v>
      </c>
      <c r="C127" s="72" t="s">
        <v>2591</v>
      </c>
      <c r="D127" s="174" t="s">
        <v>1471</v>
      </c>
      <c r="E127" s="11" t="s">
        <v>25</v>
      </c>
      <c r="F127" s="20" t="s">
        <v>2592</v>
      </c>
      <c r="G127" s="15" t="s">
        <v>369</v>
      </c>
      <c r="H127" s="119" t="s">
        <v>1071</v>
      </c>
      <c r="I127" s="18" t="s">
        <v>135</v>
      </c>
      <c r="J127" s="18" t="s">
        <v>323</v>
      </c>
      <c r="K127" s="33" t="s">
        <v>2594</v>
      </c>
      <c r="L127" s="25" t="str">
        <f>"RUTL-"&amp;RIGHT(K127,8)</f>
        <v>RUTL-LR0AVC2D</v>
      </c>
      <c r="M127" s="34" t="s">
        <v>40</v>
      </c>
      <c r="N127" s="175"/>
      <c r="O127" s="175"/>
      <c r="P127" s="175"/>
      <c r="Q127" s="254"/>
      <c r="R127" s="15" t="s">
        <v>235</v>
      </c>
      <c r="S127" s="175" t="s">
        <v>296</v>
      </c>
      <c r="T127" s="105" t="s">
        <v>148</v>
      </c>
      <c r="U127" s="39" t="s">
        <v>2595</v>
      </c>
      <c r="V127" s="23"/>
      <c r="W127" s="23"/>
      <c r="X127" s="71"/>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row>
    <row r="128" spans="1:135" ht="30" customHeight="1" thickBot="1" x14ac:dyDescent="0.3">
      <c r="A128" s="578" t="s">
        <v>2125</v>
      </c>
      <c r="B128" s="51" t="s">
        <v>2119</v>
      </c>
      <c r="C128" s="69" t="s">
        <v>2120</v>
      </c>
      <c r="D128" s="15" t="s">
        <v>24</v>
      </c>
      <c r="E128" s="308" t="s">
        <v>25</v>
      </c>
      <c r="F128" s="20" t="s">
        <v>2123</v>
      </c>
      <c r="G128" s="15" t="s">
        <v>2124</v>
      </c>
      <c r="H128" s="17" t="s">
        <v>470</v>
      </c>
      <c r="I128" s="18" t="s">
        <v>586</v>
      </c>
      <c r="J128" s="24" t="s">
        <v>323</v>
      </c>
      <c r="K128" s="124" t="s">
        <v>2127</v>
      </c>
      <c r="L128" s="127" t="str">
        <f>"RUTL-"&amp;RIGHT(K128,8)</f>
        <v>RUTL-LR0AVC1J</v>
      </c>
      <c r="M128" s="302" t="s">
        <v>40</v>
      </c>
      <c r="N128" s="90" t="s">
        <v>87</v>
      </c>
      <c r="O128" s="90" t="s">
        <v>1325</v>
      </c>
      <c r="P128" s="39" t="s">
        <v>90</v>
      </c>
      <c r="Q128" s="90" t="s">
        <v>2132</v>
      </c>
      <c r="R128" s="121" t="s">
        <v>56</v>
      </c>
      <c r="S128" s="40" t="s">
        <v>57</v>
      </c>
      <c r="T128" s="68" t="s">
        <v>2134</v>
      </c>
      <c r="U128" s="47" t="s">
        <v>2135</v>
      </c>
      <c r="V128" s="276"/>
      <c r="W128" s="276"/>
      <c r="X128" s="71"/>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row>
    <row r="129" spans="1:135" ht="30" customHeight="1" thickBot="1" x14ac:dyDescent="0.3">
      <c r="A129" s="578" t="s">
        <v>3116</v>
      </c>
      <c r="B129" s="16">
        <v>2809</v>
      </c>
      <c r="C129" s="72" t="s">
        <v>3114</v>
      </c>
      <c r="D129" s="10" t="s">
        <v>2548</v>
      </c>
      <c r="E129" s="11" t="s">
        <v>25</v>
      </c>
      <c r="F129" s="29" t="s">
        <v>3115</v>
      </c>
      <c r="G129" s="15" t="s">
        <v>2764</v>
      </c>
      <c r="H129" s="336" t="s">
        <v>1109</v>
      </c>
      <c r="I129" s="24" t="s">
        <v>135</v>
      </c>
      <c r="J129" s="18" t="s">
        <v>323</v>
      </c>
      <c r="K129" s="33" t="s">
        <v>3117</v>
      </c>
      <c r="L129" s="25" t="str">
        <f>"RUTL-"&amp;RIGHT(K129,8)</f>
        <v>RUTL-LR0AVC1U</v>
      </c>
      <c r="M129" s="34" t="s">
        <v>40</v>
      </c>
      <c r="N129" s="23" t="s">
        <v>43</v>
      </c>
      <c r="O129" s="23"/>
      <c r="P129" s="39" t="s">
        <v>90</v>
      </c>
      <c r="Q129" s="39" t="s">
        <v>3118</v>
      </c>
      <c r="R129" s="15" t="s">
        <v>56</v>
      </c>
      <c r="S129" s="40" t="s">
        <v>57</v>
      </c>
      <c r="T129" s="68" t="s">
        <v>65</v>
      </c>
      <c r="U129" s="39" t="s">
        <v>3119</v>
      </c>
      <c r="V129" s="44"/>
      <c r="W129" s="23"/>
      <c r="X129" s="71"/>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row>
    <row r="130" spans="1:135" ht="30" customHeight="1" thickBot="1" x14ac:dyDescent="0.3">
      <c r="A130" s="578" t="s">
        <v>2633</v>
      </c>
      <c r="B130" s="334" t="s">
        <v>2624</v>
      </c>
      <c r="C130" s="69" t="s">
        <v>2630</v>
      </c>
      <c r="D130" s="15" t="s">
        <v>24</v>
      </c>
      <c r="E130" s="122" t="s">
        <v>25</v>
      </c>
      <c r="F130" s="29" t="s">
        <v>2631</v>
      </c>
      <c r="G130" s="15" t="s">
        <v>2632</v>
      </c>
      <c r="H130" s="147" t="s">
        <v>1109</v>
      </c>
      <c r="I130" s="18" t="s">
        <v>38</v>
      </c>
      <c r="J130" s="18" t="s">
        <v>323</v>
      </c>
      <c r="K130" s="124" t="s">
        <v>2635</v>
      </c>
      <c r="L130" s="127" t="str">
        <f>"RUTL-"&amp;RIGHT(K130,8)</f>
        <v>RUTL-LR0AVC0E</v>
      </c>
      <c r="M130" s="129" t="s">
        <v>40</v>
      </c>
      <c r="N130" s="14" t="s">
        <v>43</v>
      </c>
      <c r="O130" s="23"/>
      <c r="P130" s="39" t="s">
        <v>90</v>
      </c>
      <c r="Q130" s="14" t="s">
        <v>2641</v>
      </c>
      <c r="R130" s="121" t="s">
        <v>56</v>
      </c>
      <c r="S130" s="151" t="s">
        <v>57</v>
      </c>
      <c r="T130" s="153" t="s">
        <v>1542</v>
      </c>
      <c r="U130" s="138" t="s">
        <v>2643</v>
      </c>
      <c r="V130" s="14"/>
      <c r="W130" s="14"/>
      <c r="X130" s="71"/>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row>
    <row r="131" spans="1:135" ht="30" customHeight="1" thickBot="1" x14ac:dyDescent="0.3">
      <c r="A131" s="578" t="s">
        <v>3182</v>
      </c>
      <c r="B131" s="8">
        <v>3018</v>
      </c>
      <c r="C131" s="167" t="s">
        <v>3178</v>
      </c>
      <c r="D131" s="174" t="s">
        <v>1471</v>
      </c>
      <c r="E131" s="11" t="s">
        <v>25</v>
      </c>
      <c r="F131" s="20" t="s">
        <v>3179</v>
      </c>
      <c r="G131" s="15" t="s">
        <v>3180</v>
      </c>
      <c r="H131" s="31" t="s">
        <v>3181</v>
      </c>
      <c r="I131" s="18" t="s">
        <v>135</v>
      </c>
      <c r="J131" s="18" t="s">
        <v>323</v>
      </c>
      <c r="K131" s="33" t="s">
        <v>3183</v>
      </c>
      <c r="L131" s="25" t="str">
        <f>"RUTL-"&amp;RIGHT(K131,8)</f>
        <v>RUTL-LR0AVC16</v>
      </c>
      <c r="M131" s="34" t="s">
        <v>40</v>
      </c>
      <c r="N131" s="23" t="s">
        <v>43</v>
      </c>
      <c r="O131" s="23"/>
      <c r="P131" s="39" t="s">
        <v>90</v>
      </c>
      <c r="Q131" s="63" t="s">
        <v>3184</v>
      </c>
      <c r="R131" s="15" t="s">
        <v>235</v>
      </c>
      <c r="S131" s="232" t="s">
        <v>296</v>
      </c>
      <c r="T131" s="105" t="s">
        <v>148</v>
      </c>
      <c r="U131" s="39" t="s">
        <v>3185</v>
      </c>
      <c r="V131" s="23"/>
      <c r="W131" s="23"/>
      <c r="X131" s="71"/>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row>
    <row r="132" spans="1:135" ht="30" customHeight="1" thickBot="1" x14ac:dyDescent="0.3">
      <c r="A132" s="578" t="s">
        <v>2929</v>
      </c>
      <c r="B132" s="8">
        <v>2008</v>
      </c>
      <c r="C132" s="52" t="s">
        <v>2926</v>
      </c>
      <c r="D132" s="341" t="s">
        <v>2927</v>
      </c>
      <c r="E132" s="11" t="s">
        <v>25</v>
      </c>
      <c r="F132" s="20" t="s">
        <v>2928</v>
      </c>
      <c r="G132" s="15" t="s">
        <v>606</v>
      </c>
      <c r="H132" s="53" t="s">
        <v>1319</v>
      </c>
      <c r="I132" s="18" t="s">
        <v>135</v>
      </c>
      <c r="J132" s="18" t="s">
        <v>323</v>
      </c>
      <c r="K132" s="33" t="s">
        <v>2930</v>
      </c>
      <c r="L132" s="25" t="str">
        <f>"RUTL-"&amp;RIGHT(K132,8)</f>
        <v>RUTL-LR0AVC2N</v>
      </c>
      <c r="M132" s="34" t="s">
        <v>40</v>
      </c>
      <c r="N132" s="15" t="s">
        <v>319</v>
      </c>
      <c r="O132" s="227"/>
      <c r="P132" s="39" t="s">
        <v>90</v>
      </c>
      <c r="Q132" s="113"/>
      <c r="R132" s="15" t="s">
        <v>56</v>
      </c>
      <c r="S132" s="37" t="s">
        <v>57</v>
      </c>
      <c r="T132" s="108" t="s">
        <v>273</v>
      </c>
      <c r="U132" s="21" t="s">
        <v>455</v>
      </c>
      <c r="V132" s="23"/>
      <c r="W132" s="23"/>
      <c r="X132" s="71"/>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row>
    <row r="133" spans="1:135" ht="30" customHeight="1" thickBot="1" x14ac:dyDescent="0.3">
      <c r="A133" s="578" t="s">
        <v>1872</v>
      </c>
      <c r="B133" s="51" t="s">
        <v>1866</v>
      </c>
      <c r="C133" s="69" t="s">
        <v>1868</v>
      </c>
      <c r="D133" s="15" t="s">
        <v>1843</v>
      </c>
      <c r="E133" s="11" t="s">
        <v>25</v>
      </c>
      <c r="F133" s="20" t="s">
        <v>1870</v>
      </c>
      <c r="G133" s="121" t="s">
        <v>1871</v>
      </c>
      <c r="H133" s="17" t="s">
        <v>1846</v>
      </c>
      <c r="I133" s="18" t="s">
        <v>586</v>
      </c>
      <c r="J133" s="18" t="s">
        <v>195</v>
      </c>
      <c r="K133" s="124" t="s">
        <v>1873</v>
      </c>
      <c r="L133" s="127" t="s">
        <v>1874</v>
      </c>
      <c r="M133" s="129" t="s">
        <v>40</v>
      </c>
      <c r="N133" s="121" t="s">
        <v>43</v>
      </c>
      <c r="O133" s="124"/>
      <c r="P133" s="39" t="s">
        <v>90</v>
      </c>
      <c r="Q133" s="124"/>
      <c r="R133" s="121" t="s">
        <v>56</v>
      </c>
      <c r="S133" s="40" t="s">
        <v>57</v>
      </c>
      <c r="T133" s="137" t="s">
        <v>1875</v>
      </c>
      <c r="U133" s="187" t="s">
        <v>1878</v>
      </c>
      <c r="V133" s="124"/>
      <c r="W133" s="124"/>
      <c r="X133" s="71"/>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row>
    <row r="134" spans="1:135" ht="30" customHeight="1" thickBot="1" x14ac:dyDescent="0.3">
      <c r="A134" s="578" t="s">
        <v>3301</v>
      </c>
      <c r="B134" s="8">
        <v>3317</v>
      </c>
      <c r="C134" s="72" t="s">
        <v>3299</v>
      </c>
      <c r="D134" s="174" t="s">
        <v>1471</v>
      </c>
      <c r="E134" s="11" t="s">
        <v>25</v>
      </c>
      <c r="F134" s="12" t="s">
        <v>3300</v>
      </c>
      <c r="G134" s="15" t="s">
        <v>606</v>
      </c>
      <c r="H134" s="17" t="s">
        <v>682</v>
      </c>
      <c r="I134" s="18" t="s">
        <v>135</v>
      </c>
      <c r="J134" s="18" t="s">
        <v>323</v>
      </c>
      <c r="K134" s="33" t="s">
        <v>3302</v>
      </c>
      <c r="L134" s="25" t="str">
        <f>"RUTL-"&amp;RIGHT(K134,8)</f>
        <v>RUTL-LR0AVC32</v>
      </c>
      <c r="M134" s="34" t="s">
        <v>40</v>
      </c>
      <c r="N134" s="175"/>
      <c r="O134" s="23"/>
      <c r="P134" s="39" t="s">
        <v>90</v>
      </c>
      <c r="Q134" s="63" t="s">
        <v>3303</v>
      </c>
      <c r="R134" s="15" t="s">
        <v>235</v>
      </c>
      <c r="S134" s="23"/>
      <c r="T134" s="23"/>
      <c r="U134" s="23" t="s">
        <v>3304</v>
      </c>
      <c r="V134" s="23"/>
      <c r="W134" s="23"/>
      <c r="X134" s="71"/>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row>
    <row r="135" spans="1:135" ht="30" customHeight="1" thickBot="1" x14ac:dyDescent="0.3">
      <c r="A135" s="578" t="s">
        <v>1307</v>
      </c>
      <c r="B135" s="120" t="s">
        <v>1302</v>
      </c>
      <c r="C135" s="72" t="s">
        <v>1303</v>
      </c>
      <c r="D135" s="121" t="s">
        <v>1091</v>
      </c>
      <c r="E135" s="122" t="s">
        <v>25</v>
      </c>
      <c r="F135" s="20" t="s">
        <v>1304</v>
      </c>
      <c r="G135" s="15" t="s">
        <v>1305</v>
      </c>
      <c r="H135" s="17" t="s">
        <v>891</v>
      </c>
      <c r="I135" s="18" t="s">
        <v>38</v>
      </c>
      <c r="J135" s="18" t="s">
        <v>323</v>
      </c>
      <c r="K135" s="124" t="s">
        <v>1309</v>
      </c>
      <c r="L135" s="127" t="str">
        <f>"RUTL-"&amp;RIGHT(K135,8)</f>
        <v>RUTL-LR0AVC2H</v>
      </c>
      <c r="M135" s="129" t="s">
        <v>40</v>
      </c>
      <c r="N135" s="185" t="s">
        <v>43</v>
      </c>
      <c r="O135" s="23"/>
      <c r="P135" s="185" t="s">
        <v>864</v>
      </c>
      <c r="Q135" s="14"/>
      <c r="R135" s="121" t="s">
        <v>56</v>
      </c>
      <c r="S135" s="151" t="s">
        <v>57</v>
      </c>
      <c r="T135" s="228" t="s">
        <v>1102</v>
      </c>
      <c r="U135" s="138" t="s">
        <v>1313</v>
      </c>
      <c r="V135" s="14"/>
      <c r="W135" s="14"/>
      <c r="X135" s="71"/>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row>
    <row r="136" spans="1:135" ht="30" customHeight="1" thickBot="1" x14ac:dyDescent="0.3">
      <c r="A136" s="578" t="s">
        <v>3784</v>
      </c>
      <c r="B136" s="8">
        <v>5669</v>
      </c>
      <c r="C136" s="52" t="s">
        <v>3782</v>
      </c>
      <c r="D136" s="15" t="s">
        <v>24</v>
      </c>
      <c r="E136" s="11" t="s">
        <v>25</v>
      </c>
      <c r="F136" s="20" t="s">
        <v>3783</v>
      </c>
      <c r="G136" s="15" t="s">
        <v>3245</v>
      </c>
      <c r="H136" s="31" t="s">
        <v>92</v>
      </c>
      <c r="I136" s="18" t="s">
        <v>135</v>
      </c>
      <c r="J136" s="18" t="s">
        <v>323</v>
      </c>
      <c r="K136" s="33" t="s">
        <v>3785</v>
      </c>
      <c r="L136" s="25" t="str">
        <f>"RUTL-"&amp;RIGHT(K136,8)</f>
        <v>RUTL-LR0AVC2G</v>
      </c>
      <c r="M136" s="34" t="s">
        <v>40</v>
      </c>
      <c r="N136" s="39" t="s">
        <v>87</v>
      </c>
      <c r="O136" s="23"/>
      <c r="P136" s="39" t="s">
        <v>90</v>
      </c>
      <c r="Q136" s="63" t="s">
        <v>3786</v>
      </c>
      <c r="R136" s="15" t="s">
        <v>56</v>
      </c>
      <c r="S136" s="37" t="s">
        <v>57</v>
      </c>
      <c r="T136" s="108" t="s">
        <v>273</v>
      </c>
      <c r="U136" s="39" t="s">
        <v>3787</v>
      </c>
      <c r="V136" s="23"/>
      <c r="W136" s="23"/>
      <c r="X136" s="71"/>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row>
    <row r="137" spans="1:135" ht="30" customHeight="1" thickBot="1" x14ac:dyDescent="0.3">
      <c r="A137" s="578" t="s">
        <v>6823</v>
      </c>
      <c r="B137" s="51">
        <v>16823</v>
      </c>
      <c r="C137" s="52" t="s">
        <v>6819</v>
      </c>
      <c r="D137" s="10" t="s">
        <v>6820</v>
      </c>
      <c r="E137" s="28" t="s">
        <v>25</v>
      </c>
      <c r="F137" s="20" t="s">
        <v>6821</v>
      </c>
      <c r="G137" s="15" t="s">
        <v>6822</v>
      </c>
      <c r="H137" s="17" t="s">
        <v>470</v>
      </c>
      <c r="I137" s="24" t="s">
        <v>135</v>
      </c>
      <c r="J137" s="24" t="s">
        <v>323</v>
      </c>
      <c r="K137" s="23" t="s">
        <v>6824</v>
      </c>
      <c r="L137" s="25" t="str">
        <f>"RUTL-"&amp;RIGHT(K137,8)</f>
        <v>RUTL-LR0AVC1R</v>
      </c>
      <c r="M137" s="34" t="s">
        <v>40</v>
      </c>
      <c r="N137" s="90" t="s">
        <v>414</v>
      </c>
      <c r="O137" s="90" t="s">
        <v>89</v>
      </c>
      <c r="P137" s="90" t="s">
        <v>90</v>
      </c>
      <c r="Q137" s="91" t="s">
        <v>6825</v>
      </c>
      <c r="R137" s="78"/>
      <c r="S137" s="40" t="s">
        <v>57</v>
      </c>
      <c r="T137" s="35" t="s">
        <v>65</v>
      </c>
      <c r="U137" s="39" t="s">
        <v>6826</v>
      </c>
      <c r="V137" s="32"/>
      <c r="W137" s="32"/>
      <c r="X137" s="71"/>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row>
    <row r="138" spans="1:135" ht="30" customHeight="1" thickBot="1" x14ac:dyDescent="0.3">
      <c r="A138" s="578" t="s">
        <v>3479</v>
      </c>
      <c r="B138" s="8">
        <v>4075</v>
      </c>
      <c r="C138" s="72" t="s">
        <v>3475</v>
      </c>
      <c r="D138" s="10" t="s">
        <v>3476</v>
      </c>
      <c r="E138" s="11" t="s">
        <v>25</v>
      </c>
      <c r="F138" s="20" t="s">
        <v>3477</v>
      </c>
      <c r="G138" s="15" t="s">
        <v>3478</v>
      </c>
      <c r="H138" s="147" t="s">
        <v>1882</v>
      </c>
      <c r="I138" s="18" t="s">
        <v>135</v>
      </c>
      <c r="J138" s="18" t="s">
        <v>323</v>
      </c>
      <c r="K138" s="33" t="s">
        <v>3480</v>
      </c>
      <c r="L138" s="25" t="str">
        <f>"RUTL-"&amp;RIGHT(K138,8)</f>
        <v>RUTL-LR0AVC1Z</v>
      </c>
      <c r="M138" s="34" t="s">
        <v>40</v>
      </c>
      <c r="N138" s="23"/>
      <c r="O138" s="23"/>
      <c r="P138" s="23"/>
      <c r="Q138" s="113"/>
      <c r="R138" s="15" t="s">
        <v>235</v>
      </c>
      <c r="S138" s="23"/>
      <c r="T138" s="23"/>
      <c r="U138" s="23" t="s">
        <v>3481</v>
      </c>
      <c r="V138" s="23"/>
      <c r="W138" s="23"/>
      <c r="X138" s="71"/>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row>
    <row r="139" spans="1:135" ht="30" customHeight="1" thickBot="1" x14ac:dyDescent="0.3">
      <c r="A139" s="578" t="s">
        <v>5910</v>
      </c>
      <c r="B139" s="437">
        <v>14692</v>
      </c>
      <c r="C139" s="72" t="s">
        <v>5907</v>
      </c>
      <c r="D139" s="10" t="s">
        <v>5908</v>
      </c>
      <c r="E139" s="11" t="s">
        <v>25</v>
      </c>
      <c r="F139" s="20" t="s">
        <v>5909</v>
      </c>
      <c r="G139" s="15" t="s">
        <v>2512</v>
      </c>
      <c r="H139" s="22" t="s">
        <v>255</v>
      </c>
      <c r="I139" s="18" t="s">
        <v>135</v>
      </c>
      <c r="J139" s="18" t="s">
        <v>323</v>
      </c>
      <c r="K139" s="23" t="s">
        <v>5911</v>
      </c>
      <c r="L139" s="25" t="str">
        <f>"RUTL-"&amp;RIGHT(K139,8)</f>
        <v>RUTL-LR0AVC15</v>
      </c>
      <c r="M139" s="34" t="s">
        <v>40</v>
      </c>
      <c r="N139" s="39" t="s">
        <v>414</v>
      </c>
      <c r="O139" s="23"/>
      <c r="P139" s="39" t="s">
        <v>90</v>
      </c>
      <c r="Q139" s="63" t="s">
        <v>5912</v>
      </c>
      <c r="R139" s="15" t="s">
        <v>56</v>
      </c>
      <c r="S139" s="37" t="s">
        <v>57</v>
      </c>
      <c r="T139" s="107" t="s">
        <v>453</v>
      </c>
      <c r="U139" s="39" t="s">
        <v>538</v>
      </c>
      <c r="V139" s="23"/>
      <c r="W139" s="23"/>
      <c r="X139" s="71"/>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row>
    <row r="140" spans="1:135" ht="30" customHeight="1" thickBot="1" x14ac:dyDescent="0.3">
      <c r="A140" s="578" t="s">
        <v>4422</v>
      </c>
      <c r="B140" s="16">
        <v>8368</v>
      </c>
      <c r="C140" s="72" t="s">
        <v>4420</v>
      </c>
      <c r="D140" s="10" t="s">
        <v>24</v>
      </c>
      <c r="E140" s="11" t="s">
        <v>25</v>
      </c>
      <c r="F140" s="12" t="s">
        <v>4421</v>
      </c>
      <c r="G140" s="15" t="s">
        <v>2512</v>
      </c>
      <c r="H140" s="17" t="s">
        <v>891</v>
      </c>
      <c r="I140" s="18" t="s">
        <v>48</v>
      </c>
      <c r="J140" s="18" t="s">
        <v>404</v>
      </c>
      <c r="K140" s="33" t="s">
        <v>4423</v>
      </c>
      <c r="L140" s="25" t="str">
        <f>"RUTL-"&amp;RIGHT(K140,8)</f>
        <v>RUTL-YJ00MYWK</v>
      </c>
      <c r="M140" s="34" t="s">
        <v>40</v>
      </c>
      <c r="N140" s="39" t="s">
        <v>410</v>
      </c>
      <c r="O140" s="23"/>
      <c r="P140" s="39" t="s">
        <v>90</v>
      </c>
      <c r="Q140" s="531" t="s">
        <v>4424</v>
      </c>
      <c r="R140" s="15" t="s">
        <v>56</v>
      </c>
      <c r="S140" s="37" t="s">
        <v>57</v>
      </c>
      <c r="T140" s="105" t="s">
        <v>148</v>
      </c>
      <c r="U140" s="39" t="s">
        <v>843</v>
      </c>
      <c r="V140" s="23" t="s">
        <v>4425</v>
      </c>
      <c r="W140" s="23"/>
      <c r="X140" s="71"/>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row>
    <row r="141" spans="1:135" ht="30" customHeight="1" thickBot="1" x14ac:dyDescent="0.3">
      <c r="A141" s="578" t="s">
        <v>2479</v>
      </c>
      <c r="B141" s="51">
        <v>1251</v>
      </c>
      <c r="C141" s="167" t="s">
        <v>2477</v>
      </c>
      <c r="D141" s="10" t="s">
        <v>581</v>
      </c>
      <c r="E141" s="11" t="s">
        <v>25</v>
      </c>
      <c r="F141" s="20" t="s">
        <v>2478</v>
      </c>
      <c r="G141" s="15" t="s">
        <v>1153</v>
      </c>
      <c r="H141" s="206" t="s">
        <v>1154</v>
      </c>
      <c r="I141" s="24" t="s">
        <v>117</v>
      </c>
      <c r="J141" s="24" t="s">
        <v>1035</v>
      </c>
      <c r="K141" s="32" t="s">
        <v>2480</v>
      </c>
      <c r="L141" s="25" t="str">
        <f>"RUTL-"&amp;RIGHT(K141,8)</f>
        <v>RUTL-R90T9484</v>
      </c>
      <c r="M141" s="34" t="s">
        <v>40</v>
      </c>
      <c r="N141" s="32" t="s">
        <v>990</v>
      </c>
      <c r="O141" s="32"/>
      <c r="P141" s="32" t="s">
        <v>864</v>
      </c>
      <c r="Q141" s="100"/>
      <c r="R141" s="15" t="s">
        <v>56</v>
      </c>
      <c r="S141" s="40" t="s">
        <v>57</v>
      </c>
      <c r="T141" s="105" t="s">
        <v>148</v>
      </c>
      <c r="U141" s="39" t="s">
        <v>1465</v>
      </c>
      <c r="V141" s="48">
        <v>43661</v>
      </c>
      <c r="W141" s="32"/>
      <c r="X141" s="71"/>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row>
    <row r="142" spans="1:135" ht="30" customHeight="1" thickBot="1" x14ac:dyDescent="0.3">
      <c r="A142" s="578" t="s">
        <v>1338</v>
      </c>
      <c r="B142" s="51" t="s">
        <v>1332</v>
      </c>
      <c r="C142" s="69" t="s">
        <v>1333</v>
      </c>
      <c r="D142" s="155" t="s">
        <v>1335</v>
      </c>
      <c r="E142" s="11" t="s">
        <v>25</v>
      </c>
      <c r="F142" s="29" t="s">
        <v>1336</v>
      </c>
      <c r="G142" s="15" t="s">
        <v>1337</v>
      </c>
      <c r="H142" s="17" t="s">
        <v>891</v>
      </c>
      <c r="I142" s="18" t="s">
        <v>135</v>
      </c>
      <c r="J142" s="18" t="s">
        <v>1035</v>
      </c>
      <c r="K142" s="23" t="s">
        <v>1339</v>
      </c>
      <c r="L142" s="21" t="str">
        <f>"RUTL-"&amp;RIGHT(K142,8)</f>
        <v>RUTL-R90T947N</v>
      </c>
      <c r="M142" s="34" t="s">
        <v>40</v>
      </c>
      <c r="N142" s="23" t="s">
        <v>43</v>
      </c>
      <c r="O142" s="23"/>
      <c r="P142" s="23"/>
      <c r="Q142" s="113"/>
      <c r="R142" s="15" t="s">
        <v>56</v>
      </c>
      <c r="S142" s="37" t="s">
        <v>57</v>
      </c>
      <c r="T142" s="108" t="s">
        <v>1275</v>
      </c>
      <c r="U142" s="39" t="s">
        <v>1340</v>
      </c>
      <c r="V142" s="170">
        <v>43661</v>
      </c>
      <c r="W142" s="23"/>
      <c r="X142" s="71"/>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row>
    <row r="143" spans="1:135" ht="30" customHeight="1" thickBot="1" x14ac:dyDescent="0.3">
      <c r="A143" s="578" t="s">
        <v>2918</v>
      </c>
      <c r="B143" s="16">
        <v>1981</v>
      </c>
      <c r="C143" s="72" t="s">
        <v>2915</v>
      </c>
      <c r="D143" s="15" t="s">
        <v>1290</v>
      </c>
      <c r="E143" s="11" t="s">
        <v>25</v>
      </c>
      <c r="F143" s="20" t="s">
        <v>2916</v>
      </c>
      <c r="G143" s="15" t="s">
        <v>2917</v>
      </c>
      <c r="H143" s="53" t="s">
        <v>76</v>
      </c>
      <c r="I143" s="18" t="s">
        <v>772</v>
      </c>
      <c r="J143" s="18" t="s">
        <v>1035</v>
      </c>
      <c r="K143" s="33" t="s">
        <v>2919</v>
      </c>
      <c r="L143" s="25" t="str">
        <f>"RUTL-"&amp;RIGHT(K143,8)</f>
        <v>RUTL-R90SRSGK</v>
      </c>
      <c r="M143" s="34" t="s">
        <v>40</v>
      </c>
      <c r="N143" s="39" t="s">
        <v>87</v>
      </c>
      <c r="O143" s="39" t="s">
        <v>2920</v>
      </c>
      <c r="P143" s="39" t="s">
        <v>90</v>
      </c>
      <c r="Q143" s="63" t="s">
        <v>2921</v>
      </c>
      <c r="R143" s="15" t="s">
        <v>56</v>
      </c>
      <c r="S143" s="37" t="s">
        <v>57</v>
      </c>
      <c r="T143" s="41" t="s">
        <v>65</v>
      </c>
      <c r="U143" s="39" t="s">
        <v>297</v>
      </c>
      <c r="V143" s="170">
        <v>43661</v>
      </c>
      <c r="W143" s="23"/>
      <c r="X143" s="71"/>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row>
    <row r="144" spans="1:135" ht="30" customHeight="1" thickBot="1" x14ac:dyDescent="0.3">
      <c r="A144" s="578" t="s">
        <v>3640</v>
      </c>
      <c r="B144" s="8">
        <v>4855</v>
      </c>
      <c r="C144" s="268" t="s">
        <v>3638</v>
      </c>
      <c r="D144" s="10" t="s">
        <v>24</v>
      </c>
      <c r="E144" s="11" t="s">
        <v>25</v>
      </c>
      <c r="F144" s="29" t="s">
        <v>3639</v>
      </c>
      <c r="G144" s="15" t="s">
        <v>443</v>
      </c>
      <c r="H144" s="31" t="s">
        <v>2484</v>
      </c>
      <c r="I144" s="24" t="s">
        <v>135</v>
      </c>
      <c r="J144" s="24" t="s">
        <v>1035</v>
      </c>
      <c r="K144" s="33" t="s">
        <v>3641</v>
      </c>
      <c r="L144" s="25" t="str">
        <f>"RUTL-"&amp;RIGHT(K144,8)</f>
        <v>RUTL-R90SRSGR</v>
      </c>
      <c r="M144" s="34" t="s">
        <v>40</v>
      </c>
      <c r="N144" s="32" t="s">
        <v>54</v>
      </c>
      <c r="O144" s="32"/>
      <c r="P144" s="90" t="s">
        <v>90</v>
      </c>
      <c r="Q144" s="100" t="s">
        <v>3642</v>
      </c>
      <c r="R144" s="15" t="s">
        <v>56</v>
      </c>
      <c r="S144" s="32"/>
      <c r="T144" s="35" t="s">
        <v>65</v>
      </c>
      <c r="U144" s="39" t="s">
        <v>740</v>
      </c>
      <c r="V144" s="48">
        <v>43661</v>
      </c>
      <c r="W144" s="32"/>
      <c r="X144" s="71"/>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row>
    <row r="145" spans="1:135" ht="30" customHeight="1" thickBot="1" x14ac:dyDescent="0.3">
      <c r="A145" s="578" t="s">
        <v>3936</v>
      </c>
      <c r="B145" s="8">
        <v>6545</v>
      </c>
      <c r="C145" s="52" t="s">
        <v>3934</v>
      </c>
      <c r="D145" s="10" t="s">
        <v>24</v>
      </c>
      <c r="E145" s="11" t="s">
        <v>25</v>
      </c>
      <c r="F145" s="20" t="s">
        <v>3935</v>
      </c>
      <c r="G145" s="15" t="s">
        <v>2619</v>
      </c>
      <c r="H145" s="17" t="s">
        <v>891</v>
      </c>
      <c r="I145" s="18" t="s">
        <v>135</v>
      </c>
      <c r="J145" s="18" t="s">
        <v>1035</v>
      </c>
      <c r="K145" s="33" t="s">
        <v>3937</v>
      </c>
      <c r="L145" s="25" t="str">
        <f>"RUTL-"&amp;RIGHT(K145,8)</f>
        <v>RUTL-R90T947X</v>
      </c>
      <c r="M145" s="34" t="s">
        <v>40</v>
      </c>
      <c r="N145" s="23" t="s">
        <v>43</v>
      </c>
      <c r="O145" s="23"/>
      <c r="P145" s="39" t="s">
        <v>90</v>
      </c>
      <c r="Q145" s="63" t="s">
        <v>3938</v>
      </c>
      <c r="R145" s="15" t="s">
        <v>56</v>
      </c>
      <c r="S145" s="37" t="s">
        <v>57</v>
      </c>
      <c r="T145" s="105" t="s">
        <v>148</v>
      </c>
      <c r="U145" s="39" t="s">
        <v>3939</v>
      </c>
      <c r="V145" s="170">
        <v>43661</v>
      </c>
      <c r="W145" s="23"/>
      <c r="X145" s="71"/>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row>
    <row r="146" spans="1:135" ht="30" customHeight="1" thickBot="1" x14ac:dyDescent="0.3">
      <c r="A146" s="578" t="s">
        <v>1363</v>
      </c>
      <c r="B146" s="216" t="s">
        <v>1354</v>
      </c>
      <c r="C146" s="69" t="s">
        <v>1355</v>
      </c>
      <c r="D146" s="174" t="s">
        <v>1358</v>
      </c>
      <c r="E146" s="11" t="s">
        <v>25</v>
      </c>
      <c r="F146" s="20" t="s">
        <v>1360</v>
      </c>
      <c r="G146" s="15" t="s">
        <v>1361</v>
      </c>
      <c r="H146" s="17" t="s">
        <v>891</v>
      </c>
      <c r="I146" s="18" t="s">
        <v>1362</v>
      </c>
      <c r="J146" s="18" t="s">
        <v>1035</v>
      </c>
      <c r="K146" s="124" t="s">
        <v>1365</v>
      </c>
      <c r="L146" s="127" t="str">
        <f>"RUTL-"&amp;RIGHT(K146,8)</f>
        <v>RUTL-R90T9486</v>
      </c>
      <c r="M146" s="129" t="s">
        <v>40</v>
      </c>
      <c r="N146" s="175"/>
      <c r="O146" s="175"/>
      <c r="P146" s="175"/>
      <c r="Q146" s="244"/>
      <c r="R146" s="121" t="s">
        <v>56</v>
      </c>
      <c r="S146" s="37" t="s">
        <v>57</v>
      </c>
      <c r="T146" s="23" t="s">
        <v>1370</v>
      </c>
      <c r="U146" s="47" t="s">
        <v>1372</v>
      </c>
      <c r="V146" s="170">
        <v>43661</v>
      </c>
      <c r="W146" s="23"/>
      <c r="X146" s="71"/>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row>
    <row r="147" spans="1:135" ht="30" customHeight="1" thickBot="1" x14ac:dyDescent="0.3">
      <c r="A147" s="578" t="s">
        <v>7581</v>
      </c>
      <c r="B147" s="51" t="s">
        <v>7578</v>
      </c>
      <c r="C147" s="72" t="s">
        <v>7579</v>
      </c>
      <c r="D147" s="10" t="s">
        <v>1290</v>
      </c>
      <c r="E147" s="11" t="s">
        <v>25</v>
      </c>
      <c r="F147" s="20" t="s">
        <v>7580</v>
      </c>
      <c r="G147" s="15" t="s">
        <v>1915</v>
      </c>
      <c r="H147" s="206" t="s">
        <v>1154</v>
      </c>
      <c r="I147" s="24" t="s">
        <v>117</v>
      </c>
      <c r="J147" s="24" t="s">
        <v>1035</v>
      </c>
      <c r="K147" s="23" t="s">
        <v>7582</v>
      </c>
      <c r="L147" s="25" t="str">
        <f>"RUTL-"&amp;RIGHT(K147,8)</f>
        <v>RUTL-R90SRSGQ</v>
      </c>
      <c r="M147" s="34" t="s">
        <v>40</v>
      </c>
      <c r="N147" s="32"/>
      <c r="O147" s="32"/>
      <c r="P147" s="88"/>
      <c r="Q147" s="100"/>
      <c r="R147" s="15" t="s">
        <v>56</v>
      </c>
      <c r="S147" s="37" t="s">
        <v>57</v>
      </c>
      <c r="T147" s="101" t="s">
        <v>1807</v>
      </c>
      <c r="U147" s="39" t="s">
        <v>7583</v>
      </c>
      <c r="V147" s="170">
        <v>43661</v>
      </c>
      <c r="W147" s="32"/>
      <c r="X147" s="71"/>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row>
    <row r="148" spans="1:135" ht="30" customHeight="1" thickBot="1" x14ac:dyDescent="0.3">
      <c r="A148" s="578" t="s">
        <v>1037</v>
      </c>
      <c r="B148" s="8">
        <v>442</v>
      </c>
      <c r="C148" s="72" t="s">
        <v>1028</v>
      </c>
      <c r="D148" s="15" t="s">
        <v>1031</v>
      </c>
      <c r="E148" s="11" t="s">
        <v>25</v>
      </c>
      <c r="F148" s="29" t="s">
        <v>1032</v>
      </c>
      <c r="G148" s="15" t="s">
        <v>606</v>
      </c>
      <c r="H148" s="206" t="s">
        <v>682</v>
      </c>
      <c r="I148" s="18" t="s">
        <v>117</v>
      </c>
      <c r="J148" s="18" t="s">
        <v>1035</v>
      </c>
      <c r="K148" s="23" t="s">
        <v>1040</v>
      </c>
      <c r="L148" s="25" t="str">
        <f>"RUTL-"&amp;RIGHT(K148,8)</f>
        <v>RUTL-R90T947G</v>
      </c>
      <c r="M148" s="34" t="s">
        <v>40</v>
      </c>
      <c r="N148" s="32"/>
      <c r="O148" s="32"/>
      <c r="P148" s="32"/>
      <c r="Q148" s="100"/>
      <c r="R148" s="15" t="s">
        <v>235</v>
      </c>
      <c r="S148" s="32"/>
      <c r="T148" s="32"/>
      <c r="U148" s="39" t="s">
        <v>1048</v>
      </c>
      <c r="V148" s="170">
        <v>43661</v>
      </c>
      <c r="W148" s="32"/>
      <c r="X148" s="71"/>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row>
    <row r="149" spans="1:135" ht="30" customHeight="1" thickBot="1" x14ac:dyDescent="0.3">
      <c r="A149" s="578" t="s">
        <v>7601</v>
      </c>
      <c r="B149" s="431" t="s">
        <v>7596</v>
      </c>
      <c r="C149" s="72" t="s">
        <v>7597</v>
      </c>
      <c r="D149" s="10" t="s">
        <v>7598</v>
      </c>
      <c r="E149" s="11" t="s">
        <v>25</v>
      </c>
      <c r="F149" s="20" t="s">
        <v>7599</v>
      </c>
      <c r="G149" s="15" t="s">
        <v>7600</v>
      </c>
      <c r="H149" s="17" t="s">
        <v>470</v>
      </c>
      <c r="I149" s="18" t="s">
        <v>38</v>
      </c>
      <c r="J149" s="18" t="s">
        <v>1035</v>
      </c>
      <c r="K149" s="33" t="s">
        <v>7602</v>
      </c>
      <c r="L149" s="25" t="str">
        <f>"RUTL-"&amp;RIGHT(K149,8)</f>
        <v>RUTL-R90T947P</v>
      </c>
      <c r="M149" s="144" t="s">
        <v>40</v>
      </c>
      <c r="N149" s="23" t="s">
        <v>1018</v>
      </c>
      <c r="O149" s="23"/>
      <c r="P149" s="39" t="s">
        <v>90</v>
      </c>
      <c r="Q149" s="39" t="s">
        <v>7603</v>
      </c>
      <c r="R149" s="15" t="s">
        <v>235</v>
      </c>
      <c r="S149" s="37" t="s">
        <v>57</v>
      </c>
      <c r="T149" s="107" t="s">
        <v>1542</v>
      </c>
      <c r="U149" s="47" t="s">
        <v>7604</v>
      </c>
      <c r="V149" s="170">
        <v>43661</v>
      </c>
      <c r="W149" s="23"/>
      <c r="X149" s="71"/>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row>
    <row r="150" spans="1:135" ht="30" customHeight="1" thickBot="1" x14ac:dyDescent="0.3">
      <c r="A150" s="578" t="s">
        <v>3623</v>
      </c>
      <c r="B150" s="16">
        <v>4811</v>
      </c>
      <c r="C150" s="72" t="s">
        <v>3622</v>
      </c>
      <c r="D150" s="351" t="s">
        <v>959</v>
      </c>
      <c r="E150" s="11" t="s">
        <v>25</v>
      </c>
      <c r="F150" s="12"/>
      <c r="G150" s="15" t="s">
        <v>1622</v>
      </c>
      <c r="H150" s="119" t="s">
        <v>370</v>
      </c>
      <c r="I150" s="18" t="s">
        <v>117</v>
      </c>
      <c r="J150" s="18" t="s">
        <v>1035</v>
      </c>
      <c r="K150" s="33" t="s">
        <v>3624</v>
      </c>
      <c r="L150" s="25" t="str">
        <f>"RUTL-"&amp;RIGHT(K150,8)</f>
        <v>RUTL-R90T947L</v>
      </c>
      <c r="M150" s="34" t="s">
        <v>40</v>
      </c>
      <c r="N150" s="23" t="s">
        <v>43</v>
      </c>
      <c r="O150" s="23"/>
      <c r="P150" s="39" t="s">
        <v>864</v>
      </c>
      <c r="Q150" s="328"/>
      <c r="R150" s="15" t="s">
        <v>1328</v>
      </c>
      <c r="S150" s="37" t="s">
        <v>57</v>
      </c>
      <c r="T150" s="101" t="s">
        <v>96</v>
      </c>
      <c r="U150" s="39" t="s">
        <v>3625</v>
      </c>
      <c r="V150" s="170">
        <v>43661</v>
      </c>
      <c r="W150" s="23"/>
      <c r="X150" s="71"/>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row>
    <row r="151" spans="1:135" ht="30" customHeight="1" thickBot="1" x14ac:dyDescent="0.3">
      <c r="A151" s="578" t="s">
        <v>2898</v>
      </c>
      <c r="B151" s="8">
        <v>1914</v>
      </c>
      <c r="C151" s="72" t="s">
        <v>2895</v>
      </c>
      <c r="D151" s="15" t="s">
        <v>2548</v>
      </c>
      <c r="E151" s="11" t="s">
        <v>25</v>
      </c>
      <c r="F151" s="20" t="s">
        <v>2896</v>
      </c>
      <c r="G151" s="15" t="s">
        <v>606</v>
      </c>
      <c r="H151" s="53" t="s">
        <v>1319</v>
      </c>
      <c r="I151" s="18" t="s">
        <v>117</v>
      </c>
      <c r="J151" s="18" t="s">
        <v>1035</v>
      </c>
      <c r="K151" s="33" t="s">
        <v>2901</v>
      </c>
      <c r="L151" s="25" t="str">
        <f>"RUTL-"&amp;RIGHT(K151,8)</f>
        <v>RUTL-R90T947K</v>
      </c>
      <c r="M151" s="34" t="s">
        <v>40</v>
      </c>
      <c r="N151" s="23"/>
      <c r="O151" s="23"/>
      <c r="P151" s="23"/>
      <c r="Q151" s="63" t="s">
        <v>2903</v>
      </c>
      <c r="R151" s="15" t="s">
        <v>235</v>
      </c>
      <c r="S151" s="23"/>
      <c r="T151" s="105" t="s">
        <v>148</v>
      </c>
      <c r="U151" s="39" t="s">
        <v>2905</v>
      </c>
      <c r="V151" s="170">
        <v>43661</v>
      </c>
      <c r="W151" s="23"/>
      <c r="X151" s="71"/>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row>
    <row r="152" spans="1:135" ht="30" customHeight="1" thickBot="1" x14ac:dyDescent="0.3">
      <c r="A152" s="578" t="s">
        <v>4071</v>
      </c>
      <c r="B152" s="8">
        <v>7125</v>
      </c>
      <c r="C152" s="72" t="s">
        <v>4067</v>
      </c>
      <c r="D152" s="174" t="s">
        <v>1471</v>
      </c>
      <c r="E152" s="11" t="s">
        <v>25</v>
      </c>
      <c r="F152" s="20" t="s">
        <v>4068</v>
      </c>
      <c r="G152" s="15" t="s">
        <v>4069</v>
      </c>
      <c r="H152" s="313" t="s">
        <v>4070</v>
      </c>
      <c r="I152" s="18" t="s">
        <v>117</v>
      </c>
      <c r="J152" s="18" t="s">
        <v>1035</v>
      </c>
      <c r="K152" s="33" t="s">
        <v>4072</v>
      </c>
      <c r="L152" s="25" t="str">
        <f>"RUTL-"&amp;RIGHT(K152,8)</f>
        <v>RUTL-R90T947E</v>
      </c>
      <c r="M152" s="34" t="s">
        <v>40</v>
      </c>
      <c r="N152" s="23"/>
      <c r="O152" s="23"/>
      <c r="P152" s="23"/>
      <c r="Q152" s="63" t="s">
        <v>4073</v>
      </c>
      <c r="R152" s="15" t="s">
        <v>235</v>
      </c>
      <c r="S152" s="37" t="s">
        <v>180</v>
      </c>
      <c r="T152" s="105" t="s">
        <v>148</v>
      </c>
      <c r="U152" s="39" t="s">
        <v>4074</v>
      </c>
      <c r="V152" s="170">
        <v>43661</v>
      </c>
      <c r="W152" s="23"/>
      <c r="X152" s="71"/>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row>
    <row r="153" spans="1:135" ht="30" customHeight="1" thickBot="1" x14ac:dyDescent="0.3">
      <c r="A153" s="578" t="s">
        <v>5963</v>
      </c>
      <c r="B153" s="16">
        <v>14765</v>
      </c>
      <c r="C153" s="72" t="s">
        <v>5961</v>
      </c>
      <c r="D153" s="10" t="s">
        <v>24</v>
      </c>
      <c r="E153" s="11" t="s">
        <v>25</v>
      </c>
      <c r="F153" s="20" t="s">
        <v>5962</v>
      </c>
      <c r="G153" s="15" t="s">
        <v>2619</v>
      </c>
      <c r="H153" s="17" t="s">
        <v>470</v>
      </c>
      <c r="I153" s="18" t="s">
        <v>135</v>
      </c>
      <c r="J153" s="18" t="s">
        <v>1035</v>
      </c>
      <c r="K153" s="23" t="s">
        <v>5964</v>
      </c>
      <c r="L153" s="25" t="str">
        <f>"RUTL-"&amp;RIGHT(K153,8)</f>
        <v>RUTL-R90T947M</v>
      </c>
      <c r="M153" s="34" t="s">
        <v>40</v>
      </c>
      <c r="N153" s="39" t="s">
        <v>87</v>
      </c>
      <c r="O153" s="39" t="s">
        <v>1792</v>
      </c>
      <c r="P153" s="39" t="s">
        <v>90</v>
      </c>
      <c r="Q153" s="113"/>
      <c r="R153" s="15" t="s">
        <v>56</v>
      </c>
      <c r="S153" s="37" t="s">
        <v>57</v>
      </c>
      <c r="T153" s="107" t="s">
        <v>453</v>
      </c>
      <c r="U153" s="39" t="s">
        <v>2274</v>
      </c>
      <c r="V153" s="170">
        <v>43661</v>
      </c>
      <c r="W153" s="23"/>
      <c r="X153" s="71"/>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row>
    <row r="154" spans="1:135" ht="30" customHeight="1" thickBot="1" x14ac:dyDescent="0.3">
      <c r="A154" s="578" t="s">
        <v>3854</v>
      </c>
      <c r="B154" s="8">
        <v>6117</v>
      </c>
      <c r="C154" s="167" t="s">
        <v>3851</v>
      </c>
      <c r="D154" s="10" t="s">
        <v>3852</v>
      </c>
      <c r="E154" s="11" t="s">
        <v>25</v>
      </c>
      <c r="F154" s="12" t="s">
        <v>3853</v>
      </c>
      <c r="G154" s="15" t="s">
        <v>606</v>
      </c>
      <c r="H154" s="17" t="s">
        <v>682</v>
      </c>
      <c r="I154" s="18" t="s">
        <v>135</v>
      </c>
      <c r="J154" s="18" t="s">
        <v>1035</v>
      </c>
      <c r="K154" s="33" t="s">
        <v>3855</v>
      </c>
      <c r="L154" s="25" t="str">
        <f>"RUTL-"&amp;RIGHT(K154,8)</f>
        <v>RUTL-R90T948H</v>
      </c>
      <c r="M154" s="34" t="s">
        <v>40</v>
      </c>
      <c r="N154" s="23"/>
      <c r="O154" s="23"/>
      <c r="P154" s="23"/>
      <c r="Q154" s="113"/>
      <c r="R154" s="15" t="s">
        <v>235</v>
      </c>
      <c r="S154" s="175"/>
      <c r="T154" s="107" t="s">
        <v>453</v>
      </c>
      <c r="U154" s="23" t="s">
        <v>3856</v>
      </c>
      <c r="V154" s="170">
        <v>43661</v>
      </c>
      <c r="W154" s="23"/>
      <c r="X154" s="71"/>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row>
    <row r="155" spans="1:135" ht="30" customHeight="1" thickBot="1" x14ac:dyDescent="0.3">
      <c r="A155" s="578" t="s">
        <v>1896</v>
      </c>
      <c r="B155" s="120" t="s">
        <v>1888</v>
      </c>
      <c r="C155" s="72" t="s">
        <v>1889</v>
      </c>
      <c r="D155" s="10" t="s">
        <v>1890</v>
      </c>
      <c r="E155" s="122" t="s">
        <v>25</v>
      </c>
      <c r="F155" s="20" t="s">
        <v>1891</v>
      </c>
      <c r="G155" s="15" t="s">
        <v>606</v>
      </c>
      <c r="H155" s="17" t="s">
        <v>1846</v>
      </c>
      <c r="I155" s="18" t="s">
        <v>1894</v>
      </c>
      <c r="J155" s="18" t="s">
        <v>1035</v>
      </c>
      <c r="K155" s="124" t="s">
        <v>1897</v>
      </c>
      <c r="L155" s="127" t="str">
        <f>"RUTL-"&amp;RIGHT(K155,8)</f>
        <v>RUTL-R90SRSG6</v>
      </c>
      <c r="M155" s="129" t="s">
        <v>40</v>
      </c>
      <c r="N155" s="14" t="s">
        <v>43</v>
      </c>
      <c r="O155" s="14"/>
      <c r="P155" s="39" t="s">
        <v>90</v>
      </c>
      <c r="Q155" s="188" t="s">
        <v>1901</v>
      </c>
      <c r="R155" s="121" t="s">
        <v>56</v>
      </c>
      <c r="S155" s="151" t="s">
        <v>57</v>
      </c>
      <c r="T155" s="153" t="s">
        <v>901</v>
      </c>
      <c r="U155" s="138" t="s">
        <v>1902</v>
      </c>
      <c r="V155" s="212">
        <v>43661</v>
      </c>
      <c r="W155" s="124"/>
      <c r="X155" s="71"/>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row>
    <row r="156" spans="1:135" ht="30" customHeight="1" thickBot="1" x14ac:dyDescent="0.3">
      <c r="A156" s="578" t="s">
        <v>4879</v>
      </c>
      <c r="B156" s="8">
        <v>10863</v>
      </c>
      <c r="C156" s="72" t="s">
        <v>4876</v>
      </c>
      <c r="D156" s="10" t="s">
        <v>24</v>
      </c>
      <c r="E156" s="10" t="s">
        <v>25</v>
      </c>
      <c r="F156" s="20" t="s">
        <v>4877</v>
      </c>
      <c r="G156" s="15" t="s">
        <v>4878</v>
      </c>
      <c r="H156" s="108" t="s">
        <v>225</v>
      </c>
      <c r="I156" s="18" t="s">
        <v>117</v>
      </c>
      <c r="J156" s="18" t="s">
        <v>1035</v>
      </c>
      <c r="K156" s="23" t="s">
        <v>4880</v>
      </c>
      <c r="L156" s="25" t="str">
        <f>"RUTL-"&amp;RIGHT(K156,8)</f>
        <v>RUTL-R90T9487</v>
      </c>
      <c r="M156" s="34" t="s">
        <v>40</v>
      </c>
      <c r="N156" s="39" t="s">
        <v>414</v>
      </c>
      <c r="O156" s="23"/>
      <c r="P156" s="39" t="s">
        <v>90</v>
      </c>
      <c r="Q156" s="63" t="s">
        <v>4881</v>
      </c>
      <c r="R156" s="15" t="s">
        <v>235</v>
      </c>
      <c r="S156" s="37" t="s">
        <v>57</v>
      </c>
      <c r="T156" s="105" t="s">
        <v>148</v>
      </c>
      <c r="U156" s="39" t="s">
        <v>1056</v>
      </c>
      <c r="V156" s="170">
        <v>43661</v>
      </c>
      <c r="W156" s="23"/>
      <c r="X156" s="71"/>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row>
    <row r="157" spans="1:135" ht="30" customHeight="1" thickBot="1" x14ac:dyDescent="0.3">
      <c r="A157" s="578" t="s">
        <v>6298</v>
      </c>
      <c r="B157" s="8">
        <v>15601</v>
      </c>
      <c r="C157" s="52" t="s">
        <v>6295</v>
      </c>
      <c r="D157" s="10" t="s">
        <v>980</v>
      </c>
      <c r="E157" s="11" t="s">
        <v>25</v>
      </c>
      <c r="F157" s="20" t="s">
        <v>6296</v>
      </c>
      <c r="G157" s="15" t="s">
        <v>3993</v>
      </c>
      <c r="H157" s="53" t="s">
        <v>1319</v>
      </c>
      <c r="I157" s="24" t="s">
        <v>48</v>
      </c>
      <c r="J157" s="24" t="s">
        <v>6297</v>
      </c>
      <c r="K157" s="23" t="s">
        <v>6299</v>
      </c>
      <c r="L157" s="25" t="str">
        <f>"RUTL-"&amp;RIGHT(K157,8)</f>
        <v>RUTL-C9114K7V</v>
      </c>
      <c r="M157" s="34" t="s">
        <v>40</v>
      </c>
      <c r="N157" s="23"/>
      <c r="O157" s="23"/>
      <c r="P157" s="39" t="s">
        <v>90</v>
      </c>
      <c r="Q157" s="63" t="s">
        <v>146</v>
      </c>
      <c r="R157" s="15" t="s">
        <v>56</v>
      </c>
      <c r="S157" s="40" t="s">
        <v>57</v>
      </c>
      <c r="T157" s="105" t="s">
        <v>148</v>
      </c>
      <c r="U157" s="39" t="s">
        <v>5498</v>
      </c>
      <c r="V157" s="48"/>
      <c r="W157" s="23"/>
      <c r="X157" s="71"/>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row>
    <row r="158" spans="1:135" ht="30" customHeight="1" thickBot="1" x14ac:dyDescent="0.3">
      <c r="A158" s="578" t="s">
        <v>5181</v>
      </c>
      <c r="B158" s="51">
        <v>12227</v>
      </c>
      <c r="C158" s="72" t="s">
        <v>5177</v>
      </c>
      <c r="D158" s="10" t="s">
        <v>5178</v>
      </c>
      <c r="E158" s="122" t="s">
        <v>25</v>
      </c>
      <c r="F158" s="20" t="s">
        <v>5179</v>
      </c>
      <c r="G158" s="15" t="s">
        <v>648</v>
      </c>
      <c r="H158" s="179" t="s">
        <v>381</v>
      </c>
      <c r="I158" s="18" t="s">
        <v>48</v>
      </c>
      <c r="J158" s="18" t="s">
        <v>5180</v>
      </c>
      <c r="K158" s="124" t="s">
        <v>5182</v>
      </c>
      <c r="L158" s="25" t="str">
        <f>"RUTL-"&amp;RIGHT(K158,8)</f>
        <v>RUTL-C9164N8V</v>
      </c>
      <c r="M158" s="129" t="s">
        <v>40</v>
      </c>
      <c r="N158" s="39" t="s">
        <v>87</v>
      </c>
      <c r="O158" s="124"/>
      <c r="P158" s="39" t="s">
        <v>90</v>
      </c>
      <c r="Q158" s="39" t="s">
        <v>5183</v>
      </c>
      <c r="R158" s="121" t="s">
        <v>56</v>
      </c>
      <c r="S158" s="37" t="s">
        <v>57</v>
      </c>
      <c r="T158" s="373" t="s">
        <v>273</v>
      </c>
      <c r="U158" s="39" t="s">
        <v>5184</v>
      </c>
      <c r="V158" s="124"/>
      <c r="W158" s="124"/>
      <c r="X158" s="71"/>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row>
    <row r="159" spans="1:135" ht="30" customHeight="1" thickBot="1" x14ac:dyDescent="0.3">
      <c r="A159" s="578" t="s">
        <v>657</v>
      </c>
      <c r="B159" s="177" t="s">
        <v>644</v>
      </c>
      <c r="C159" s="72" t="s">
        <v>645</v>
      </c>
      <c r="D159" s="121" t="s">
        <v>24</v>
      </c>
      <c r="E159" s="122" t="s">
        <v>25</v>
      </c>
      <c r="F159" s="162" t="s">
        <v>647</v>
      </c>
      <c r="G159" s="15" t="s">
        <v>648</v>
      </c>
      <c r="H159" s="179" t="s">
        <v>652</v>
      </c>
      <c r="I159" s="18" t="s">
        <v>48</v>
      </c>
      <c r="J159" s="18" t="s">
        <v>654</v>
      </c>
      <c r="K159" s="23" t="s">
        <v>659</v>
      </c>
      <c r="L159" s="127" t="str">
        <f>"RUTL-"&amp;RIGHT(K159,8)</f>
        <v>RUTL-C9164N84</v>
      </c>
      <c r="M159" s="129" t="s">
        <v>40</v>
      </c>
      <c r="N159" s="121" t="s">
        <v>664</v>
      </c>
      <c r="O159" s="180"/>
      <c r="P159" s="39" t="s">
        <v>90</v>
      </c>
      <c r="Q159" s="124"/>
      <c r="R159" s="121" t="s">
        <v>56</v>
      </c>
      <c r="S159" s="182" t="s">
        <v>669</v>
      </c>
      <c r="T159" s="137" t="s">
        <v>674</v>
      </c>
      <c r="U159" s="138" t="s">
        <v>677</v>
      </c>
      <c r="V159" s="124"/>
      <c r="W159" s="124"/>
      <c r="X159" s="71"/>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row>
    <row r="160" spans="1:135" ht="30" customHeight="1" thickBot="1" x14ac:dyDescent="0.3">
      <c r="A160" s="578" t="s">
        <v>6729</v>
      </c>
      <c r="B160" s="51">
        <v>16565</v>
      </c>
      <c r="C160" s="72" t="s">
        <v>6727</v>
      </c>
      <c r="D160" s="10" t="s">
        <v>24</v>
      </c>
      <c r="E160" s="11" t="s">
        <v>25</v>
      </c>
      <c r="F160" s="20" t="s">
        <v>6728</v>
      </c>
      <c r="G160" s="15" t="s">
        <v>443</v>
      </c>
      <c r="H160" s="104" t="s">
        <v>3573</v>
      </c>
      <c r="I160" s="18" t="s">
        <v>48</v>
      </c>
      <c r="J160" s="18" t="s">
        <v>5180</v>
      </c>
      <c r="K160" s="23" t="s">
        <v>6730</v>
      </c>
      <c r="L160" s="25" t="str">
        <f>"RUTL-"&amp;RIGHT(K160,8)</f>
        <v>RUTL-C9253VH5</v>
      </c>
      <c r="M160" s="34" t="s">
        <v>40</v>
      </c>
      <c r="N160" s="39" t="s">
        <v>414</v>
      </c>
      <c r="O160" s="39" t="s">
        <v>6731</v>
      </c>
      <c r="P160" s="39" t="s">
        <v>90</v>
      </c>
      <c r="Q160" s="113"/>
      <c r="R160" s="15" t="s">
        <v>56</v>
      </c>
      <c r="S160" s="40" t="s">
        <v>57</v>
      </c>
      <c r="T160" s="114" t="s">
        <v>273</v>
      </c>
      <c r="U160" s="39" t="s">
        <v>4783</v>
      </c>
      <c r="V160" s="23"/>
      <c r="W160" s="23"/>
      <c r="X160" s="71"/>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row>
    <row r="161" spans="1:135" ht="30" customHeight="1" thickBot="1" x14ac:dyDescent="0.3">
      <c r="A161" s="578" t="s">
        <v>2883</v>
      </c>
      <c r="B161" s="8">
        <v>1860</v>
      </c>
      <c r="C161" s="167" t="s">
        <v>2879</v>
      </c>
      <c r="D161" s="15" t="s">
        <v>2880</v>
      </c>
      <c r="E161" s="11" t="s">
        <v>25</v>
      </c>
      <c r="F161" s="20" t="s">
        <v>2881</v>
      </c>
      <c r="G161" s="15" t="s">
        <v>2794</v>
      </c>
      <c r="H161" s="313" t="s">
        <v>2182</v>
      </c>
      <c r="I161" s="18" t="s">
        <v>350</v>
      </c>
      <c r="J161" s="18" t="s">
        <v>2882</v>
      </c>
      <c r="K161" s="33" t="s">
        <v>2884</v>
      </c>
      <c r="L161" s="25" t="str">
        <f>"RUTL-"&amp;RIGHT(K161,8)</f>
        <v>RUTL-YL002URZ</v>
      </c>
      <c r="M161" s="34" t="s">
        <v>40</v>
      </c>
      <c r="N161" s="23" t="s">
        <v>1018</v>
      </c>
      <c r="O161" s="23"/>
      <c r="P161" s="23"/>
      <c r="Q161" s="113"/>
      <c r="R161" s="15" t="s">
        <v>56</v>
      </c>
      <c r="S161" s="37" t="s">
        <v>57</v>
      </c>
      <c r="T161" s="107" t="s">
        <v>453</v>
      </c>
      <c r="U161" s="39" t="s">
        <v>2886</v>
      </c>
      <c r="V161" s="23"/>
      <c r="W161" s="23"/>
      <c r="X161" s="71"/>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row>
    <row r="162" spans="1:135" ht="30" customHeight="1" thickBot="1" x14ac:dyDescent="0.3">
      <c r="A162" s="578" t="s">
        <v>6109</v>
      </c>
      <c r="B162" s="8">
        <v>15085</v>
      </c>
      <c r="C162" s="52" t="s">
        <v>6105</v>
      </c>
      <c r="D162" s="10" t="s">
        <v>6106</v>
      </c>
      <c r="E162" s="11" t="s">
        <v>25</v>
      </c>
      <c r="F162" s="20" t="s">
        <v>6107</v>
      </c>
      <c r="G162" s="15" t="s">
        <v>6108</v>
      </c>
      <c r="H162" s="37" t="s">
        <v>533</v>
      </c>
      <c r="I162" s="18" t="s">
        <v>117</v>
      </c>
      <c r="J162" s="18" t="s">
        <v>359</v>
      </c>
      <c r="K162" s="23" t="s">
        <v>6110</v>
      </c>
      <c r="L162" s="25" t="str">
        <f>"RUTL-"&amp;RIGHT(K162,8)</f>
        <v>RUTL-PF14SZ0W</v>
      </c>
      <c r="M162" s="34" t="s">
        <v>40</v>
      </c>
      <c r="N162" s="39" t="s">
        <v>3652</v>
      </c>
      <c r="O162" s="23" t="s">
        <v>6111</v>
      </c>
      <c r="P162" s="39" t="s">
        <v>90</v>
      </c>
      <c r="Q162" s="63" t="s">
        <v>6112</v>
      </c>
      <c r="R162" s="15" t="s">
        <v>56</v>
      </c>
      <c r="S162" s="37" t="s">
        <v>57</v>
      </c>
      <c r="T162" s="105" t="s">
        <v>148</v>
      </c>
      <c r="U162" s="39" t="s">
        <v>6113</v>
      </c>
      <c r="V162" s="44"/>
      <c r="W162" s="23"/>
      <c r="X162" s="71"/>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row>
    <row r="163" spans="1:135" ht="30" customHeight="1" thickBot="1" x14ac:dyDescent="0.3">
      <c r="A163" s="578" t="s">
        <v>3919</v>
      </c>
      <c r="B163" s="8">
        <v>6474</v>
      </c>
      <c r="C163" s="72" t="s">
        <v>3917</v>
      </c>
      <c r="D163" s="10" t="s">
        <v>24</v>
      </c>
      <c r="E163" s="11" t="s">
        <v>25</v>
      </c>
      <c r="F163" s="20" t="s">
        <v>3918</v>
      </c>
      <c r="G163" s="15" t="s">
        <v>3245</v>
      </c>
      <c r="H163" s="53" t="s">
        <v>1319</v>
      </c>
      <c r="I163" s="18" t="s">
        <v>135</v>
      </c>
      <c r="J163" s="18" t="s">
        <v>359</v>
      </c>
      <c r="K163" s="33" t="s">
        <v>3920</v>
      </c>
      <c r="L163" s="25" t="str">
        <f>"RUTL-"&amp;RIGHT(K163,8)</f>
        <v>RUTL-PF144RWX</v>
      </c>
      <c r="M163" s="34" t="s">
        <v>40</v>
      </c>
      <c r="N163" s="90" t="s">
        <v>87</v>
      </c>
      <c r="O163" s="23"/>
      <c r="P163" s="39" t="s">
        <v>90</v>
      </c>
      <c r="Q163" s="113"/>
      <c r="R163" s="15" t="s">
        <v>56</v>
      </c>
      <c r="S163" s="37" t="s">
        <v>57</v>
      </c>
      <c r="T163" s="41" t="s">
        <v>65</v>
      </c>
      <c r="U163" s="39" t="s">
        <v>2589</v>
      </c>
      <c r="V163" s="23"/>
      <c r="W163" s="23"/>
      <c r="X163" s="71"/>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row>
    <row r="164" spans="1:135" ht="30" customHeight="1" thickBot="1" x14ac:dyDescent="0.3">
      <c r="A164" s="578" t="s">
        <v>5525</v>
      </c>
      <c r="B164" s="8">
        <v>13123</v>
      </c>
      <c r="C164" s="72" t="s">
        <v>5522</v>
      </c>
      <c r="D164" s="10" t="s">
        <v>4684</v>
      </c>
      <c r="E164" s="11" t="s">
        <v>25</v>
      </c>
      <c r="F164" s="20" t="s">
        <v>5523</v>
      </c>
      <c r="G164" s="15" t="s">
        <v>5524</v>
      </c>
      <c r="H164" s="313" t="s">
        <v>4070</v>
      </c>
      <c r="I164" s="18" t="s">
        <v>135</v>
      </c>
      <c r="J164" s="18" t="s">
        <v>359</v>
      </c>
      <c r="K164" s="23" t="s">
        <v>5526</v>
      </c>
      <c r="L164" s="25" t="str">
        <f>"RUTL-"&amp;RIGHT(K164,8)</f>
        <v>RUTL-PF14T186</v>
      </c>
      <c r="M164" s="34" t="s">
        <v>40</v>
      </c>
      <c r="N164" s="23" t="s">
        <v>43</v>
      </c>
      <c r="O164" s="23"/>
      <c r="P164" s="39" t="s">
        <v>90</v>
      </c>
      <c r="Q164" s="63" t="s">
        <v>146</v>
      </c>
      <c r="R164" s="15" t="s">
        <v>235</v>
      </c>
      <c r="S164" s="37" t="s">
        <v>57</v>
      </c>
      <c r="T164" s="101" t="s">
        <v>96</v>
      </c>
      <c r="U164" s="39" t="s">
        <v>4157</v>
      </c>
      <c r="V164" s="23"/>
      <c r="W164" s="23"/>
      <c r="X164" s="71"/>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row>
    <row r="165" spans="1:135" ht="30" customHeight="1" thickBot="1" x14ac:dyDescent="0.3">
      <c r="A165" s="578" t="s">
        <v>1638</v>
      </c>
      <c r="B165" s="435" t="s">
        <v>1631</v>
      </c>
      <c r="C165" s="69" t="s">
        <v>1634</v>
      </c>
      <c r="D165" s="15" t="s">
        <v>1635</v>
      </c>
      <c r="E165" s="15" t="s">
        <v>25</v>
      </c>
      <c r="F165" s="20" t="s">
        <v>1636</v>
      </c>
      <c r="G165" s="15" t="s">
        <v>1637</v>
      </c>
      <c r="H165" s="17" t="s">
        <v>1154</v>
      </c>
      <c r="I165" s="18" t="s">
        <v>117</v>
      </c>
      <c r="J165" s="18" t="s">
        <v>359</v>
      </c>
      <c r="K165" s="23" t="s">
        <v>1640</v>
      </c>
      <c r="L165" s="21" t="str">
        <f>"RUTL-"&amp;RIGHT(K165,8)</f>
        <v>RUTL-PF14SZ17</v>
      </c>
      <c r="M165" s="34" t="s">
        <v>40</v>
      </c>
      <c r="N165" s="23"/>
      <c r="O165" s="23"/>
      <c r="P165" s="39" t="s">
        <v>90</v>
      </c>
      <c r="Q165" s="63" t="s">
        <v>1642</v>
      </c>
      <c r="R165" s="15" t="s">
        <v>56</v>
      </c>
      <c r="S165" s="40" t="s">
        <v>57</v>
      </c>
      <c r="T165" s="96" t="s">
        <v>148</v>
      </c>
      <c r="U165" s="39" t="s">
        <v>1644</v>
      </c>
      <c r="V165" s="23"/>
      <c r="W165" s="23"/>
      <c r="X165" s="71"/>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row>
    <row r="166" spans="1:135" ht="30" customHeight="1" thickBot="1" x14ac:dyDescent="0.3">
      <c r="A166" s="578" t="s">
        <v>5988</v>
      </c>
      <c r="B166" s="437">
        <v>14819</v>
      </c>
      <c r="C166" s="52" t="s">
        <v>5986</v>
      </c>
      <c r="D166" s="10" t="s">
        <v>24</v>
      </c>
      <c r="E166" s="11" t="s">
        <v>25</v>
      </c>
      <c r="F166" s="20" t="s">
        <v>5987</v>
      </c>
      <c r="G166" s="15" t="s">
        <v>5489</v>
      </c>
      <c r="H166" s="37" t="s">
        <v>533</v>
      </c>
      <c r="I166" s="18" t="s">
        <v>135</v>
      </c>
      <c r="J166" s="18" t="s">
        <v>359</v>
      </c>
      <c r="K166" s="23" t="s">
        <v>5989</v>
      </c>
      <c r="L166" s="25" t="str">
        <f>"RUTL-"&amp;RIGHT(K166,8)</f>
        <v>RUTL-PF14SZ0N</v>
      </c>
      <c r="M166" s="34" t="s">
        <v>40</v>
      </c>
      <c r="N166" s="23"/>
      <c r="O166" s="23"/>
      <c r="P166" s="39" t="s">
        <v>90</v>
      </c>
      <c r="Q166" s="113"/>
      <c r="R166" s="15" t="s">
        <v>56</v>
      </c>
      <c r="S166" s="37" t="s">
        <v>57</v>
      </c>
      <c r="T166" s="107" t="s">
        <v>148</v>
      </c>
      <c r="U166" s="39" t="s">
        <v>5990</v>
      </c>
      <c r="V166" s="23"/>
      <c r="W166" s="23"/>
      <c r="X166" s="71"/>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row>
    <row r="167" spans="1:135" ht="30" customHeight="1" thickBot="1" x14ac:dyDescent="0.3">
      <c r="A167" s="578" t="s">
        <v>2184</v>
      </c>
      <c r="B167" s="90" t="s">
        <v>1849</v>
      </c>
      <c r="C167" s="90" t="s">
        <v>1849</v>
      </c>
      <c r="D167" s="27" t="s">
        <v>2181</v>
      </c>
      <c r="E167" s="11" t="s">
        <v>25</v>
      </c>
      <c r="F167" s="20" t="s">
        <v>1911</v>
      </c>
      <c r="G167" s="15"/>
      <c r="H167" s="267" t="s">
        <v>1646</v>
      </c>
      <c r="I167" s="18" t="s">
        <v>135</v>
      </c>
      <c r="J167" s="18" t="s">
        <v>359</v>
      </c>
      <c r="K167" s="23" t="s">
        <v>2186</v>
      </c>
      <c r="L167" s="21" t="str">
        <f>"RUTL-"&amp;RIGHT(K167,8)</f>
        <v>RUTL-PF14SWTH</v>
      </c>
      <c r="M167" s="34" t="s">
        <v>40</v>
      </c>
      <c r="N167" s="23" t="s">
        <v>54</v>
      </c>
      <c r="O167" s="227"/>
      <c r="P167" s="39" t="s">
        <v>90</v>
      </c>
      <c r="Q167" s="113"/>
      <c r="R167" s="15" t="s">
        <v>56</v>
      </c>
      <c r="S167" s="37" t="s">
        <v>57</v>
      </c>
      <c r="T167" s="101" t="s">
        <v>453</v>
      </c>
      <c r="U167" s="47" t="s">
        <v>2188</v>
      </c>
      <c r="V167" s="23"/>
      <c r="W167" s="23"/>
      <c r="X167" s="71"/>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row>
    <row r="168" spans="1:135" ht="30" customHeight="1" thickBot="1" x14ac:dyDescent="0.3">
      <c r="A168" s="578" t="s">
        <v>1061</v>
      </c>
      <c r="B168" s="8">
        <v>444</v>
      </c>
      <c r="C168" s="72" t="s">
        <v>1057</v>
      </c>
      <c r="D168" s="15" t="s">
        <v>1058</v>
      </c>
      <c r="E168" s="11" t="s">
        <v>25</v>
      </c>
      <c r="F168" s="20" t="s">
        <v>1059</v>
      </c>
      <c r="G168" s="15" t="s">
        <v>606</v>
      </c>
      <c r="H168" s="53" t="s">
        <v>76</v>
      </c>
      <c r="I168" s="18" t="s">
        <v>135</v>
      </c>
      <c r="J168" s="18" t="s">
        <v>359</v>
      </c>
      <c r="K168" s="23" t="s">
        <v>1070</v>
      </c>
      <c r="L168" s="25" t="str">
        <f>"RUTL-"&amp;RIGHT(K168,8)</f>
        <v>RUTL-PF14T18U</v>
      </c>
      <c r="M168" s="34" t="s">
        <v>40</v>
      </c>
      <c r="N168" s="15" t="s">
        <v>319</v>
      </c>
      <c r="O168" s="23"/>
      <c r="P168" s="39" t="s">
        <v>90</v>
      </c>
      <c r="Q168" s="63" t="s">
        <v>1074</v>
      </c>
      <c r="R168" s="15" t="s">
        <v>56</v>
      </c>
      <c r="S168" s="37" t="s">
        <v>57</v>
      </c>
      <c r="T168" s="105" t="s">
        <v>148</v>
      </c>
      <c r="U168" s="39" t="s">
        <v>1076</v>
      </c>
      <c r="V168" s="23"/>
      <c r="W168" s="23"/>
      <c r="X168" s="71"/>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row>
    <row r="169" spans="1:135" ht="30" customHeight="1" thickBot="1" x14ac:dyDescent="0.3">
      <c r="A169" s="578" t="s">
        <v>4368</v>
      </c>
      <c r="B169" s="8">
        <v>8179</v>
      </c>
      <c r="C169" s="52" t="s">
        <v>4365</v>
      </c>
      <c r="D169" s="10" t="s">
        <v>24</v>
      </c>
      <c r="E169" s="11" t="s">
        <v>25</v>
      </c>
      <c r="F169" s="20" t="s">
        <v>4366</v>
      </c>
      <c r="G169" s="15" t="s">
        <v>4367</v>
      </c>
      <c r="H169" s="17" t="s">
        <v>891</v>
      </c>
      <c r="I169" s="18" t="s">
        <v>135</v>
      </c>
      <c r="J169" s="18" t="s">
        <v>359</v>
      </c>
      <c r="K169" s="33" t="s">
        <v>4369</v>
      </c>
      <c r="L169" s="25" t="str">
        <f>"RUTL-"&amp;RIGHT(K169,8)</f>
        <v>RUTL-PF14T1JV</v>
      </c>
      <c r="M169" s="34" t="s">
        <v>40</v>
      </c>
      <c r="N169" s="23" t="s">
        <v>2447</v>
      </c>
      <c r="O169" s="175"/>
      <c r="P169" s="39" t="s">
        <v>90</v>
      </c>
      <c r="Q169" s="254"/>
      <c r="R169" s="15" t="s">
        <v>56</v>
      </c>
      <c r="S169" s="37" t="s">
        <v>57</v>
      </c>
      <c r="T169" s="101" t="s">
        <v>96</v>
      </c>
      <c r="U169" s="39" t="s">
        <v>3984</v>
      </c>
      <c r="V169" s="23"/>
      <c r="W169" s="23"/>
      <c r="X169" s="71"/>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row>
    <row r="170" spans="1:135" ht="30" customHeight="1" thickBot="1" x14ac:dyDescent="0.3">
      <c r="A170" s="578" t="s">
        <v>4167</v>
      </c>
      <c r="B170" s="8">
        <v>7437</v>
      </c>
      <c r="C170" s="72" t="s">
        <v>4165</v>
      </c>
      <c r="D170" s="174" t="s">
        <v>1471</v>
      </c>
      <c r="E170" s="11" t="s">
        <v>25</v>
      </c>
      <c r="F170" s="20" t="s">
        <v>4166</v>
      </c>
      <c r="G170" s="15" t="s">
        <v>889</v>
      </c>
      <c r="H170" s="17" t="s">
        <v>891</v>
      </c>
      <c r="I170" s="18" t="s">
        <v>117</v>
      </c>
      <c r="J170" s="18" t="s">
        <v>359</v>
      </c>
      <c r="K170" s="33" t="s">
        <v>4168</v>
      </c>
      <c r="L170" s="25" t="str">
        <f>"RUTL-"&amp;RIGHT(K170,8)</f>
        <v>RUTL-PF14T173</v>
      </c>
      <c r="M170" s="34" t="s">
        <v>40</v>
      </c>
      <c r="N170" s="23" t="s">
        <v>43</v>
      </c>
      <c r="O170" s="23"/>
      <c r="P170" s="39" t="s">
        <v>90</v>
      </c>
      <c r="Q170" s="243" t="s">
        <v>4169</v>
      </c>
      <c r="R170" s="15" t="s">
        <v>56</v>
      </c>
      <c r="S170" s="23"/>
      <c r="T170" s="105" t="s">
        <v>148</v>
      </c>
      <c r="U170" s="39" t="s">
        <v>4170</v>
      </c>
      <c r="V170" s="23"/>
      <c r="W170" s="23"/>
      <c r="X170" s="71"/>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row>
    <row r="171" spans="1:135" ht="30" customHeight="1" thickBot="1" x14ac:dyDescent="0.3">
      <c r="A171" s="578" t="s">
        <v>7282</v>
      </c>
      <c r="B171" s="51">
        <v>18228</v>
      </c>
      <c r="C171" s="52" t="s">
        <v>7280</v>
      </c>
      <c r="D171" s="10" t="s">
        <v>24</v>
      </c>
      <c r="E171" s="11" t="s">
        <v>25</v>
      </c>
      <c r="F171" s="12" t="s">
        <v>7281</v>
      </c>
      <c r="G171" s="15" t="s">
        <v>6226</v>
      </c>
      <c r="H171" s="148" t="s">
        <v>436</v>
      </c>
      <c r="I171" s="18" t="s">
        <v>117</v>
      </c>
      <c r="J171" s="18" t="s">
        <v>359</v>
      </c>
      <c r="K171" s="33" t="s">
        <v>7283</v>
      </c>
      <c r="L171" s="25" t="str">
        <f>"RUTL-"&amp;RIGHT(K171,8)</f>
        <v>RUTL-PF144AV2</v>
      </c>
      <c r="M171" s="34" t="s">
        <v>40</v>
      </c>
      <c r="N171" s="23" t="s">
        <v>43</v>
      </c>
      <c r="O171" s="23"/>
      <c r="P171" s="39" t="s">
        <v>90</v>
      </c>
      <c r="Q171" s="63" t="s">
        <v>7284</v>
      </c>
      <c r="R171" s="15" t="s">
        <v>56</v>
      </c>
      <c r="S171" s="17" t="s">
        <v>669</v>
      </c>
      <c r="T171" s="105" t="s">
        <v>148</v>
      </c>
      <c r="U171" s="39" t="s">
        <v>4748</v>
      </c>
      <c r="V171" s="23"/>
      <c r="W171" s="23"/>
      <c r="X171" s="71"/>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row>
    <row r="172" spans="1:135" ht="30" customHeight="1" thickBot="1" x14ac:dyDescent="0.3">
      <c r="A172" s="578" t="s">
        <v>4356</v>
      </c>
      <c r="B172" s="8">
        <v>8157</v>
      </c>
      <c r="C172" s="72" t="s">
        <v>4353</v>
      </c>
      <c r="D172" s="10" t="s">
        <v>24</v>
      </c>
      <c r="E172" s="11" t="s">
        <v>25</v>
      </c>
      <c r="F172" s="20" t="s">
        <v>4354</v>
      </c>
      <c r="G172" s="15" t="s">
        <v>4355</v>
      </c>
      <c r="H172" s="17" t="s">
        <v>891</v>
      </c>
      <c r="I172" s="18" t="s">
        <v>117</v>
      </c>
      <c r="J172" s="18" t="s">
        <v>359</v>
      </c>
      <c r="K172" s="33" t="s">
        <v>4357</v>
      </c>
      <c r="L172" s="25" t="str">
        <f>"RUTL-"&amp;RIGHT(K172,8)</f>
        <v>RUTL-PF144TXB</v>
      </c>
      <c r="M172" s="34" t="s">
        <v>40</v>
      </c>
      <c r="N172" s="23"/>
      <c r="O172" s="23"/>
      <c r="P172" s="23"/>
      <c r="Q172" s="113"/>
      <c r="R172" s="15" t="s">
        <v>56</v>
      </c>
      <c r="S172" s="37" t="s">
        <v>57</v>
      </c>
      <c r="T172" s="107" t="s">
        <v>453</v>
      </c>
      <c r="U172" s="57" t="s">
        <v>281</v>
      </c>
      <c r="V172" s="23"/>
      <c r="W172" s="23"/>
      <c r="X172" s="71"/>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row>
    <row r="173" spans="1:135" ht="30" customHeight="1" thickBot="1" x14ac:dyDescent="0.3">
      <c r="A173" s="578" t="s">
        <v>1388</v>
      </c>
      <c r="B173" s="216" t="s">
        <v>1382</v>
      </c>
      <c r="C173" s="69" t="s">
        <v>1383</v>
      </c>
      <c r="D173" s="15" t="s">
        <v>1385</v>
      </c>
      <c r="E173" s="122" t="s">
        <v>25</v>
      </c>
      <c r="F173" s="20" t="s">
        <v>1386</v>
      </c>
      <c r="G173" s="15" t="s">
        <v>1387</v>
      </c>
      <c r="H173" s="17" t="s">
        <v>891</v>
      </c>
      <c r="I173" s="18" t="s">
        <v>586</v>
      </c>
      <c r="J173" s="18" t="s">
        <v>359</v>
      </c>
      <c r="K173" s="124" t="s">
        <v>1389</v>
      </c>
      <c r="L173" s="127" t="str">
        <f>"RUTL-"&amp;RIGHT(K173,8)</f>
        <v>RUTL-PF14SQHW</v>
      </c>
      <c r="M173" s="129" t="s">
        <v>40</v>
      </c>
      <c r="N173" s="185"/>
      <c r="O173" s="185"/>
      <c r="P173" s="14"/>
      <c r="Q173" s="14" t="s">
        <v>1392</v>
      </c>
      <c r="R173" s="121" t="s">
        <v>56</v>
      </c>
      <c r="S173" s="151" t="s">
        <v>57</v>
      </c>
      <c r="T173" s="228" t="s">
        <v>1393</v>
      </c>
      <c r="U173" s="138" t="s">
        <v>1394</v>
      </c>
      <c r="V173" s="14"/>
      <c r="W173" s="14"/>
      <c r="X173" s="71"/>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row>
    <row r="174" spans="1:135" ht="30" customHeight="1" thickBot="1" x14ac:dyDescent="0.3">
      <c r="A174" s="578" t="s">
        <v>4051</v>
      </c>
      <c r="B174" s="51">
        <v>7010</v>
      </c>
      <c r="C174" s="72" t="s">
        <v>4049</v>
      </c>
      <c r="D174" s="15" t="s">
        <v>24</v>
      </c>
      <c r="E174" s="11" t="s">
        <v>25</v>
      </c>
      <c r="F174" s="20" t="s">
        <v>4050</v>
      </c>
      <c r="G174" s="15" t="s">
        <v>2040</v>
      </c>
      <c r="H174" s="17" t="s">
        <v>1154</v>
      </c>
      <c r="I174" s="18" t="s">
        <v>135</v>
      </c>
      <c r="J174" s="18" t="s">
        <v>359</v>
      </c>
      <c r="K174" s="33" t="s">
        <v>4052</v>
      </c>
      <c r="L174" s="25" t="str">
        <f>"RUTL-"&amp;RIGHT(K174,8)</f>
        <v>RUTL-PF14SUQE</v>
      </c>
      <c r="M174" s="34" t="s">
        <v>40</v>
      </c>
      <c r="N174" s="15" t="s">
        <v>319</v>
      </c>
      <c r="O174" s="23"/>
      <c r="P174" s="359" t="s">
        <v>1231</v>
      </c>
      <c r="Q174" s="113" t="s">
        <v>4053</v>
      </c>
      <c r="R174" s="15" t="s">
        <v>56</v>
      </c>
      <c r="S174" s="37" t="s">
        <v>57</v>
      </c>
      <c r="T174" s="105" t="s">
        <v>4054</v>
      </c>
      <c r="U174" s="39" t="s">
        <v>4055</v>
      </c>
      <c r="V174" s="23"/>
      <c r="W174" s="23"/>
      <c r="X174" s="71"/>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row>
    <row r="175" spans="1:135" ht="30" customHeight="1" thickBot="1" x14ac:dyDescent="0.3">
      <c r="A175" s="578" t="s">
        <v>2175</v>
      </c>
      <c r="B175" s="271" t="s">
        <v>2162</v>
      </c>
      <c r="C175" s="69" t="s">
        <v>2170</v>
      </c>
      <c r="D175" s="10" t="s">
        <v>24</v>
      </c>
      <c r="E175" s="122" t="s">
        <v>25</v>
      </c>
      <c r="F175" s="20" t="s">
        <v>2172</v>
      </c>
      <c r="G175" s="15" t="s">
        <v>2173</v>
      </c>
      <c r="H175" s="17" t="s">
        <v>470</v>
      </c>
      <c r="I175" s="18" t="s">
        <v>38</v>
      </c>
      <c r="J175" s="18" t="s">
        <v>359</v>
      </c>
      <c r="K175" s="124" t="s">
        <v>2176</v>
      </c>
      <c r="L175" s="127" t="str">
        <f>"RUTL-"&amp;RIGHT(K175,8)</f>
        <v>RUTL-PF14T1VM</v>
      </c>
      <c r="M175" s="129" t="s">
        <v>40</v>
      </c>
      <c r="N175" s="14"/>
      <c r="O175" s="124"/>
      <c r="P175" s="124"/>
      <c r="Q175" s="124"/>
      <c r="R175" s="121" t="s">
        <v>56</v>
      </c>
      <c r="S175" s="124"/>
      <c r="T175" s="124" t="s">
        <v>2177</v>
      </c>
      <c r="U175" s="312" t="s">
        <v>2178</v>
      </c>
      <c r="V175" s="124"/>
      <c r="W175" s="124"/>
      <c r="X175" s="71"/>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row>
    <row r="176" spans="1:135" ht="30" customHeight="1" thickBot="1" x14ac:dyDescent="0.3">
      <c r="A176" s="578" t="s">
        <v>4963</v>
      </c>
      <c r="B176" s="16">
        <v>11174</v>
      </c>
      <c r="C176" s="72" t="s">
        <v>4960</v>
      </c>
      <c r="D176" s="10" t="s">
        <v>4961</v>
      </c>
      <c r="E176" s="10" t="s">
        <v>25</v>
      </c>
      <c r="F176" s="20" t="s">
        <v>4962</v>
      </c>
      <c r="G176" s="15" t="s">
        <v>3745</v>
      </c>
      <c r="H176" s="17" t="s">
        <v>470</v>
      </c>
      <c r="I176" s="18" t="s">
        <v>135</v>
      </c>
      <c r="J176" s="24" t="s">
        <v>1035</v>
      </c>
      <c r="K176" s="23" t="s">
        <v>4964</v>
      </c>
      <c r="L176" s="25" t="str">
        <f>"RUTL-"&amp;RIGHT(K176,8)</f>
        <v>RUTL-R90TY3EF</v>
      </c>
      <c r="M176" s="34" t="s">
        <v>40</v>
      </c>
      <c r="N176" s="23" t="s">
        <v>54</v>
      </c>
      <c r="O176" s="32"/>
      <c r="P176" s="39" t="s">
        <v>90</v>
      </c>
      <c r="Q176" s="36"/>
      <c r="R176" s="15" t="s">
        <v>56</v>
      </c>
      <c r="S176" s="40" t="s">
        <v>57</v>
      </c>
      <c r="T176" s="41" t="s">
        <v>65</v>
      </c>
      <c r="U176" s="39" t="s">
        <v>4965</v>
      </c>
      <c r="V176" s="48"/>
      <c r="W176" s="23"/>
      <c r="X176" s="71"/>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row>
    <row r="177" spans="1:135" ht="30" customHeight="1" thickBot="1" x14ac:dyDescent="0.3">
      <c r="A177" s="578" t="s">
        <v>2923</v>
      </c>
      <c r="B177" s="8">
        <v>1994</v>
      </c>
      <c r="C177" s="52" t="s">
        <v>2922</v>
      </c>
      <c r="D177" s="134" t="s">
        <v>493</v>
      </c>
      <c r="E177" s="11" t="s">
        <v>25</v>
      </c>
      <c r="F177" s="20"/>
      <c r="G177" s="15" t="s">
        <v>606</v>
      </c>
      <c r="H177" s="17" t="s">
        <v>470</v>
      </c>
      <c r="I177" s="18" t="s">
        <v>135</v>
      </c>
      <c r="J177" s="18" t="s">
        <v>323</v>
      </c>
      <c r="K177" s="33" t="s">
        <v>2924</v>
      </c>
      <c r="L177" s="25" t="str">
        <f>"RUTL-"&amp;RIGHT(K177,8)</f>
        <v>RUTL-LR08MD87</v>
      </c>
      <c r="M177" s="34" t="s">
        <v>40</v>
      </c>
      <c r="N177" s="23"/>
      <c r="O177" s="23"/>
      <c r="P177" s="23"/>
      <c r="Q177" s="113"/>
      <c r="R177" s="15" t="s">
        <v>235</v>
      </c>
      <c r="S177" s="37" t="s">
        <v>57</v>
      </c>
      <c r="T177" s="87" t="s">
        <v>273</v>
      </c>
      <c r="U177" s="23" t="s">
        <v>2925</v>
      </c>
      <c r="V177" s="23"/>
      <c r="W177" s="23"/>
      <c r="X177" s="71"/>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row>
    <row r="178" spans="1:135" ht="30" customHeight="1" thickBot="1" x14ac:dyDescent="0.3">
      <c r="A178" s="578" t="s">
        <v>5835</v>
      </c>
      <c r="B178" s="437">
        <v>14424</v>
      </c>
      <c r="C178" s="72" t="s">
        <v>5832</v>
      </c>
      <c r="D178" s="10" t="s">
        <v>24</v>
      </c>
      <c r="E178" s="11" t="s">
        <v>25</v>
      </c>
      <c r="F178" s="20"/>
      <c r="G178" s="15" t="s">
        <v>5833</v>
      </c>
      <c r="H178" s="173" t="s">
        <v>81</v>
      </c>
      <c r="I178" s="18" t="s">
        <v>48</v>
      </c>
      <c r="J178" s="18" t="s">
        <v>5834</v>
      </c>
      <c r="K178" s="23" t="s">
        <v>5836</v>
      </c>
      <c r="L178" s="25" t="str">
        <f>"RUTL-"&amp;RIGHT(K178,8)</f>
        <v>RUTL-MP1Z7VGW</v>
      </c>
      <c r="M178" s="34" t="s">
        <v>40</v>
      </c>
      <c r="N178" s="23"/>
      <c r="O178" s="23"/>
      <c r="P178" s="23"/>
      <c r="Q178" s="113"/>
      <c r="R178" s="15" t="s">
        <v>56</v>
      </c>
      <c r="S178" s="40" t="s">
        <v>57</v>
      </c>
      <c r="T178" s="107" t="s">
        <v>453</v>
      </c>
      <c r="U178" s="39" t="s">
        <v>297</v>
      </c>
      <c r="V178" s="23"/>
      <c r="W178" s="23"/>
      <c r="X178" s="71"/>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row>
    <row r="179" spans="1:135" ht="30" customHeight="1" thickBot="1" x14ac:dyDescent="0.3">
      <c r="A179" s="578" t="s">
        <v>2535</v>
      </c>
      <c r="B179" s="75" t="s">
        <v>2531</v>
      </c>
      <c r="C179" s="69" t="s">
        <v>2532</v>
      </c>
      <c r="D179" s="10" t="s">
        <v>24</v>
      </c>
      <c r="E179" s="11" t="s">
        <v>25</v>
      </c>
      <c r="F179" s="20" t="s">
        <v>2533</v>
      </c>
      <c r="G179" s="15" t="s">
        <v>443</v>
      </c>
      <c r="H179" s="18" t="s">
        <v>1398</v>
      </c>
      <c r="I179" s="18" t="s">
        <v>48</v>
      </c>
      <c r="J179" s="18" t="s">
        <v>2534</v>
      </c>
      <c r="K179" s="124" t="s">
        <v>2536</v>
      </c>
      <c r="L179" s="127" t="str">
        <f>"RUTL-"&amp;RIGHT(K179,8)</f>
        <v>RUTL-MP1Z7VHF</v>
      </c>
      <c r="M179" s="129" t="s">
        <v>40</v>
      </c>
      <c r="N179" s="23"/>
      <c r="O179" s="23"/>
      <c r="P179" s="39" t="s">
        <v>90</v>
      </c>
      <c r="Q179" s="23"/>
      <c r="R179" s="121" t="s">
        <v>56</v>
      </c>
      <c r="S179" s="37" t="s">
        <v>57</v>
      </c>
      <c r="T179" s="23" t="s">
        <v>2540</v>
      </c>
      <c r="U179" s="47" t="s">
        <v>2542</v>
      </c>
      <c r="V179" s="23"/>
      <c r="W179" s="23"/>
      <c r="X179" s="71"/>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row>
    <row r="180" spans="1:135" ht="30" customHeight="1" thickBot="1" x14ac:dyDescent="0.3">
      <c r="A180" s="578" t="s">
        <v>595</v>
      </c>
      <c r="B180" s="172"/>
      <c r="C180" s="99" t="s">
        <v>580</v>
      </c>
      <c r="D180" s="174" t="s">
        <v>583</v>
      </c>
      <c r="E180" s="23"/>
      <c r="F180" s="23"/>
      <c r="G180" s="15" t="s">
        <v>588</v>
      </c>
      <c r="H180" s="17" t="s">
        <v>591</v>
      </c>
      <c r="I180" s="18" t="s">
        <v>350</v>
      </c>
      <c r="J180" s="18" t="s">
        <v>593</v>
      </c>
      <c r="K180" s="23" t="s">
        <v>597</v>
      </c>
      <c r="L180" s="21" t="str">
        <f>"RUTL-"&amp;RIGHT(K180,8)</f>
        <v>RUTL-YL00STYS</v>
      </c>
      <c r="M180" s="144" t="s">
        <v>40</v>
      </c>
      <c r="N180" s="15" t="s">
        <v>319</v>
      </c>
      <c r="O180" s="15"/>
      <c r="P180" s="39" t="s">
        <v>602</v>
      </c>
      <c r="Q180" s="23"/>
      <c r="R180" s="15" t="s">
        <v>56</v>
      </c>
      <c r="S180" s="37" t="s">
        <v>57</v>
      </c>
      <c r="T180" s="107" t="s">
        <v>453</v>
      </c>
      <c r="U180" s="21" t="s">
        <v>605</v>
      </c>
      <c r="V180" s="23"/>
      <c r="W180" s="23"/>
      <c r="X180" s="71"/>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row>
    <row r="181" spans="1:135" ht="30" customHeight="1" thickBot="1" x14ac:dyDescent="0.3">
      <c r="A181" s="578" t="s">
        <v>1782</v>
      </c>
      <c r="B181" s="23"/>
      <c r="C181" s="99" t="s">
        <v>1779</v>
      </c>
      <c r="D181" s="15" t="s">
        <v>24</v>
      </c>
      <c r="E181" s="28" t="s">
        <v>25</v>
      </c>
      <c r="F181" s="20"/>
      <c r="G181" s="12" t="s">
        <v>1270</v>
      </c>
      <c r="H181" s="53" t="s">
        <v>1273</v>
      </c>
      <c r="I181" s="18" t="s">
        <v>1310</v>
      </c>
      <c r="J181" s="18" t="s">
        <v>1276</v>
      </c>
      <c r="K181" s="23" t="s">
        <v>1784</v>
      </c>
      <c r="L181" s="21" t="str">
        <f>"RUTL-"&amp;RIGHT(K181,8)</f>
        <v>RUTL-PC1SQYHV</v>
      </c>
      <c r="M181" s="23"/>
      <c r="N181" s="39" t="s">
        <v>87</v>
      </c>
      <c r="O181" s="39" t="s">
        <v>1792</v>
      </c>
      <c r="P181" s="39" t="s">
        <v>864</v>
      </c>
      <c r="Q181" s="23"/>
      <c r="R181" s="23"/>
      <c r="S181" s="23"/>
      <c r="T181" s="41" t="s">
        <v>1793</v>
      </c>
      <c r="U181" s="39" t="s">
        <v>1794</v>
      </c>
      <c r="V181" s="23"/>
      <c r="W181" s="23"/>
      <c r="X181" s="71"/>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row>
    <row r="182" spans="1:135" ht="30" customHeight="1" thickBot="1" x14ac:dyDescent="0.3">
      <c r="A182" s="578" t="s">
        <v>1349</v>
      </c>
      <c r="B182" s="23"/>
      <c r="C182" s="99" t="s">
        <v>1345</v>
      </c>
      <c r="D182" s="15" t="s">
        <v>24</v>
      </c>
      <c r="E182" s="28" t="s">
        <v>25</v>
      </c>
      <c r="F182" s="20"/>
      <c r="G182" s="12" t="s">
        <v>1270</v>
      </c>
      <c r="H182" s="53" t="s">
        <v>1273</v>
      </c>
      <c r="I182" s="18" t="s">
        <v>1310</v>
      </c>
      <c r="J182" s="18" t="s">
        <v>1276</v>
      </c>
      <c r="K182" s="23" t="s">
        <v>1352</v>
      </c>
      <c r="L182" s="21" t="str">
        <f>"RUTL-"&amp;RIGHT(K182,8)</f>
        <v>RUTL-PC1SQYJX</v>
      </c>
      <c r="M182" s="23"/>
      <c r="N182" s="39" t="s">
        <v>87</v>
      </c>
      <c r="O182" s="39" t="s">
        <v>1357</v>
      </c>
      <c r="P182" s="39" t="s">
        <v>864</v>
      </c>
      <c r="Q182" s="23"/>
      <c r="R182" s="23"/>
      <c r="S182" s="23"/>
      <c r="T182" s="23"/>
      <c r="U182" s="23"/>
      <c r="V182" s="23"/>
      <c r="W182" s="23"/>
      <c r="X182" s="71"/>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row>
    <row r="183" spans="1:135" ht="30" customHeight="1" thickBot="1" x14ac:dyDescent="0.3">
      <c r="A183" s="578" t="s">
        <v>1371</v>
      </c>
      <c r="B183" s="23"/>
      <c r="C183" s="99" t="s">
        <v>1367</v>
      </c>
      <c r="D183" s="15" t="s">
        <v>24</v>
      </c>
      <c r="E183" s="28" t="s">
        <v>25</v>
      </c>
      <c r="F183" s="20"/>
      <c r="G183" s="12" t="s">
        <v>1270</v>
      </c>
      <c r="H183" s="53" t="s">
        <v>1273</v>
      </c>
      <c r="I183" s="18" t="s">
        <v>1310</v>
      </c>
      <c r="J183" s="18" t="s">
        <v>1276</v>
      </c>
      <c r="K183" s="23" t="s">
        <v>1373</v>
      </c>
      <c r="L183" s="21" t="str">
        <f>"RUTL-"&amp;RIGHT(K183,8)</f>
        <v>RUTL-PC1SQYJR</v>
      </c>
      <c r="M183" s="23"/>
      <c r="N183" s="39" t="s">
        <v>87</v>
      </c>
      <c r="O183" s="39" t="s">
        <v>1375</v>
      </c>
      <c r="P183" s="39" t="s">
        <v>864</v>
      </c>
      <c r="Q183" s="23"/>
      <c r="R183" s="15" t="s">
        <v>56</v>
      </c>
      <c r="S183" s="37" t="s">
        <v>57</v>
      </c>
      <c r="T183" s="23" t="s">
        <v>96</v>
      </c>
      <c r="U183" s="47" t="s">
        <v>1377</v>
      </c>
      <c r="V183" s="246"/>
      <c r="W183" s="23"/>
      <c r="X183" s="71"/>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row>
    <row r="184" spans="1:135" ht="30" customHeight="1" thickBot="1" x14ac:dyDescent="0.3">
      <c r="A184" s="578" t="s">
        <v>1380</v>
      </c>
      <c r="B184" s="23" t="s">
        <v>1378</v>
      </c>
      <c r="C184" s="99" t="s">
        <v>1379</v>
      </c>
      <c r="D184" s="15" t="s">
        <v>24</v>
      </c>
      <c r="E184" s="28" t="s">
        <v>25</v>
      </c>
      <c r="F184" s="20"/>
      <c r="G184" s="12" t="s">
        <v>1270</v>
      </c>
      <c r="H184" s="53" t="s">
        <v>1273</v>
      </c>
      <c r="I184" s="18" t="s">
        <v>1310</v>
      </c>
      <c r="J184" s="18" t="s">
        <v>1276</v>
      </c>
      <c r="K184" s="23" t="s">
        <v>1381</v>
      </c>
      <c r="L184" s="21" t="str">
        <f>"RUTL-"&amp;RIGHT(K184,8)</f>
        <v>RUTL-PC1SQYHQ</v>
      </c>
      <c r="M184" s="23"/>
      <c r="N184" s="39" t="s">
        <v>87</v>
      </c>
      <c r="O184" s="39" t="s">
        <v>1384</v>
      </c>
      <c r="P184" s="39" t="s">
        <v>864</v>
      </c>
      <c r="Q184" s="23"/>
      <c r="R184" s="15" t="s">
        <v>56</v>
      </c>
      <c r="S184" s="37" t="s">
        <v>57</v>
      </c>
      <c r="T184" s="107" t="s">
        <v>1390</v>
      </c>
      <c r="U184" s="47" t="s">
        <v>1391</v>
      </c>
      <c r="V184" s="23"/>
      <c r="W184" s="23"/>
      <c r="X184" s="71"/>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row>
    <row r="185" spans="1:135" ht="30" customHeight="1" thickBot="1" x14ac:dyDescent="0.3">
      <c r="A185" s="578" t="s">
        <v>1413</v>
      </c>
      <c r="B185" s="23"/>
      <c r="C185" s="99" t="s">
        <v>1410</v>
      </c>
      <c r="D185" s="15" t="s">
        <v>24</v>
      </c>
      <c r="E185" s="28" t="s">
        <v>25</v>
      </c>
      <c r="F185" s="20"/>
      <c r="G185" s="12" t="s">
        <v>1270</v>
      </c>
      <c r="H185" s="53" t="s">
        <v>1273</v>
      </c>
      <c r="I185" s="18" t="s">
        <v>1310</v>
      </c>
      <c r="J185" s="18" t="s">
        <v>1276</v>
      </c>
      <c r="K185" s="23" t="s">
        <v>1415</v>
      </c>
      <c r="L185" s="21" t="str">
        <f>"RUTL-"&amp;RIGHT(K185,8)</f>
        <v>RUTL-PC1SQYHN</v>
      </c>
      <c r="M185" s="23"/>
      <c r="N185" s="39" t="s">
        <v>87</v>
      </c>
      <c r="O185" s="39" t="s">
        <v>1417</v>
      </c>
      <c r="P185" s="39" t="s">
        <v>864</v>
      </c>
      <c r="Q185" s="23"/>
      <c r="R185" s="15" t="s">
        <v>56</v>
      </c>
      <c r="S185" s="37" t="s">
        <v>57</v>
      </c>
      <c r="T185" s="108" t="s">
        <v>273</v>
      </c>
      <c r="U185" s="47" t="s">
        <v>1419</v>
      </c>
      <c r="V185" s="23"/>
      <c r="W185" s="23"/>
      <c r="X185" s="71"/>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row>
    <row r="186" spans="1:135" ht="30" customHeight="1" thickBot="1" x14ac:dyDescent="0.3">
      <c r="A186" s="578" t="s">
        <v>1438</v>
      </c>
      <c r="B186" s="23"/>
      <c r="C186" s="99" t="s">
        <v>1433</v>
      </c>
      <c r="D186" s="15" t="s">
        <v>24</v>
      </c>
      <c r="E186" s="28" t="s">
        <v>25</v>
      </c>
      <c r="F186" s="20"/>
      <c r="G186" s="12" t="s">
        <v>1270</v>
      </c>
      <c r="H186" s="53" t="s">
        <v>1273</v>
      </c>
      <c r="I186" s="18" t="s">
        <v>1310</v>
      </c>
      <c r="J186" s="18" t="s">
        <v>1276</v>
      </c>
      <c r="K186" s="23" t="s">
        <v>1440</v>
      </c>
      <c r="L186" s="21" t="str">
        <f>"RUTL-"&amp;RIGHT(K186,8)</f>
        <v>RUTL-PC1SQYHH</v>
      </c>
      <c r="M186" s="23"/>
      <c r="N186" s="39" t="s">
        <v>87</v>
      </c>
      <c r="O186" s="39" t="s">
        <v>1442</v>
      </c>
      <c r="P186" s="39" t="s">
        <v>864</v>
      </c>
      <c r="Q186" s="23"/>
      <c r="R186" s="15" t="s">
        <v>56</v>
      </c>
      <c r="S186" s="37" t="s">
        <v>57</v>
      </c>
      <c r="T186" s="107" t="s">
        <v>453</v>
      </c>
      <c r="U186" s="47" t="s">
        <v>1444</v>
      </c>
      <c r="V186" s="23"/>
      <c r="W186" s="23"/>
      <c r="X186" s="71"/>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row>
    <row r="187" spans="1:135" ht="30" customHeight="1" thickBot="1" x14ac:dyDescent="0.3">
      <c r="A187" s="578">
        <v>100000001594</v>
      </c>
      <c r="B187" s="8">
        <v>10576</v>
      </c>
      <c r="C187" s="167" t="s">
        <v>4825</v>
      </c>
      <c r="D187" s="10" t="s">
        <v>24</v>
      </c>
      <c r="E187" s="10" t="s">
        <v>25</v>
      </c>
      <c r="F187" s="20" t="s">
        <v>4826</v>
      </c>
      <c r="G187" s="15" t="s">
        <v>2794</v>
      </c>
      <c r="H187" s="313" t="s">
        <v>2182</v>
      </c>
      <c r="I187" s="18" t="s">
        <v>350</v>
      </c>
      <c r="J187" s="18" t="s">
        <v>4827</v>
      </c>
      <c r="K187" s="23" t="s">
        <v>4828</v>
      </c>
      <c r="L187" s="25" t="str">
        <f>"RUTL-"&amp;RIGHT(K187,8)</f>
        <v>RUTL-YL00STZ0</v>
      </c>
      <c r="M187" s="34" t="s">
        <v>40</v>
      </c>
      <c r="N187" s="39" t="s">
        <v>414</v>
      </c>
      <c r="O187" s="23"/>
      <c r="P187" s="39" t="s">
        <v>90</v>
      </c>
      <c r="Q187" s="63" t="s">
        <v>4829</v>
      </c>
      <c r="R187" s="15" t="s">
        <v>56</v>
      </c>
      <c r="S187" s="37" t="s">
        <v>57</v>
      </c>
      <c r="T187" s="105" t="s">
        <v>148</v>
      </c>
      <c r="U187" s="39" t="s">
        <v>4742</v>
      </c>
      <c r="V187" s="23"/>
      <c r="W187" s="23"/>
      <c r="X187" s="71"/>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row>
    <row r="188" spans="1:135" ht="30" customHeight="1" thickBot="1" x14ac:dyDescent="0.3">
      <c r="A188" s="578">
        <v>100000001595</v>
      </c>
      <c r="B188" s="8">
        <v>1766</v>
      </c>
      <c r="C188" s="167" t="s">
        <v>2829</v>
      </c>
      <c r="D188" s="174" t="s">
        <v>1471</v>
      </c>
      <c r="E188" s="11" t="s">
        <v>25</v>
      </c>
      <c r="F188" s="20" t="s">
        <v>2831</v>
      </c>
      <c r="G188" s="15" t="s">
        <v>2794</v>
      </c>
      <c r="H188" s="313" t="s">
        <v>2182</v>
      </c>
      <c r="I188" s="18" t="s">
        <v>350</v>
      </c>
      <c r="J188" s="18" t="s">
        <v>593</v>
      </c>
      <c r="K188" s="33" t="s">
        <v>2835</v>
      </c>
      <c r="L188" s="25" t="str">
        <f>"RUTL-"&amp;RIGHT(K188,8)</f>
        <v>RUTL-YL00STZP</v>
      </c>
      <c r="M188" s="34" t="s">
        <v>40</v>
      </c>
      <c r="N188" s="175"/>
      <c r="O188" s="175"/>
      <c r="P188" s="175"/>
      <c r="Q188" s="63" t="s">
        <v>2837</v>
      </c>
      <c r="R188" s="15" t="s">
        <v>56</v>
      </c>
      <c r="S188" s="23"/>
      <c r="T188" s="53"/>
      <c r="U188" s="23" t="s">
        <v>2838</v>
      </c>
      <c r="V188" s="23"/>
      <c r="W188" s="23"/>
      <c r="X188" s="71"/>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row>
    <row r="189" spans="1:135" ht="30" customHeight="1" thickBot="1" x14ac:dyDescent="0.3">
      <c r="A189" s="578" t="s">
        <v>7626</v>
      </c>
      <c r="B189" s="216" t="s">
        <v>7622</v>
      </c>
      <c r="C189" s="72" t="s">
        <v>7623</v>
      </c>
      <c r="D189" s="10" t="s">
        <v>24</v>
      </c>
      <c r="E189" s="11" t="s">
        <v>25</v>
      </c>
      <c r="F189" s="20" t="s">
        <v>7624</v>
      </c>
      <c r="G189" s="15" t="s">
        <v>7625</v>
      </c>
      <c r="H189" s="53" t="s">
        <v>1319</v>
      </c>
      <c r="I189" s="18" t="s">
        <v>350</v>
      </c>
      <c r="J189" s="18" t="s">
        <v>593</v>
      </c>
      <c r="K189" s="124" t="s">
        <v>7627</v>
      </c>
      <c r="L189" s="127" t="str">
        <f>"RUTL-"&amp;RIGHT(K189,8)</f>
        <v>RUTL-YL00SV07</v>
      </c>
      <c r="M189" s="129" t="s">
        <v>40</v>
      </c>
      <c r="N189" s="185" t="s">
        <v>319</v>
      </c>
      <c r="O189" s="124"/>
      <c r="P189" s="39" t="s">
        <v>90</v>
      </c>
      <c r="Q189" s="124"/>
      <c r="R189" s="15" t="s">
        <v>56</v>
      </c>
      <c r="S189" s="37" t="s">
        <v>57</v>
      </c>
      <c r="T189" s="107" t="s">
        <v>148</v>
      </c>
      <c r="U189" s="39" t="s">
        <v>7628</v>
      </c>
      <c r="V189" s="124"/>
      <c r="W189" s="124"/>
      <c r="X189" s="71"/>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row>
    <row r="190" spans="1:135" ht="30" customHeight="1" thickBot="1" x14ac:dyDescent="0.3">
      <c r="A190" s="578" t="s">
        <v>2012</v>
      </c>
      <c r="B190" s="90" t="s">
        <v>1849</v>
      </c>
      <c r="C190" s="90" t="s">
        <v>1849</v>
      </c>
      <c r="D190" s="15" t="s">
        <v>2009</v>
      </c>
      <c r="E190" s="11" t="s">
        <v>25</v>
      </c>
      <c r="F190" s="12" t="s">
        <v>2010</v>
      </c>
      <c r="G190" s="15" t="s">
        <v>2011</v>
      </c>
      <c r="H190" s="267" t="s">
        <v>1646</v>
      </c>
      <c r="I190" s="24" t="s">
        <v>185</v>
      </c>
      <c r="J190" s="24" t="s">
        <v>1013</v>
      </c>
      <c r="K190" s="106" t="s">
        <v>2021</v>
      </c>
      <c r="L190" s="106" t="s">
        <v>2023</v>
      </c>
      <c r="M190" s="109"/>
      <c r="N190" s="23" t="s">
        <v>87</v>
      </c>
      <c r="O190" s="23"/>
      <c r="P190" s="110" t="s">
        <v>90</v>
      </c>
      <c r="Q190" s="39"/>
      <c r="R190" s="15" t="s">
        <v>235</v>
      </c>
      <c r="S190" s="37"/>
      <c r="T190" s="64"/>
      <c r="U190" s="23" t="s">
        <v>2025</v>
      </c>
      <c r="V190" s="48">
        <v>44551</v>
      </c>
      <c r="W190" s="23" t="s">
        <v>1021</v>
      </c>
      <c r="X190" s="71"/>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row>
    <row r="191" spans="1:135" ht="30" customHeight="1" thickBot="1" x14ac:dyDescent="0.3">
      <c r="A191" s="578" t="s">
        <v>1905</v>
      </c>
      <c r="B191" s="8">
        <v>780</v>
      </c>
      <c r="C191" s="72" t="s">
        <v>1903</v>
      </c>
      <c r="D191" s="10" t="s">
        <v>24</v>
      </c>
      <c r="E191" s="11" t="s">
        <v>25</v>
      </c>
      <c r="F191" s="20" t="s">
        <v>1904</v>
      </c>
      <c r="G191" s="15" t="s">
        <v>285</v>
      </c>
      <c r="H191" s="147" t="s">
        <v>1882</v>
      </c>
      <c r="I191" s="18" t="s">
        <v>117</v>
      </c>
      <c r="J191" s="18" t="s">
        <v>1013</v>
      </c>
      <c r="K191" s="23" t="s">
        <v>1906</v>
      </c>
      <c r="L191" s="25" t="str">
        <f>"RUTL-"&amp;RIGHT(K191,8)</f>
        <v>RUTL-D12505ST</v>
      </c>
      <c r="M191" s="34" t="s">
        <v>40</v>
      </c>
      <c r="N191" s="15" t="s">
        <v>319</v>
      </c>
      <c r="O191" s="39" t="s">
        <v>1907</v>
      </c>
      <c r="P191" s="39" t="s">
        <v>90</v>
      </c>
      <c r="Q191" s="113"/>
      <c r="R191" s="15" t="s">
        <v>235</v>
      </c>
      <c r="S191" s="37" t="s">
        <v>57</v>
      </c>
      <c r="T191" s="101" t="s">
        <v>96</v>
      </c>
      <c r="U191" s="39" t="s">
        <v>1909</v>
      </c>
      <c r="V191" s="115">
        <v>44551</v>
      </c>
      <c r="W191" s="23" t="s">
        <v>1021</v>
      </c>
      <c r="X191" s="71"/>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row>
    <row r="192" spans="1:135" ht="30" customHeight="1" thickBot="1" x14ac:dyDescent="0.3">
      <c r="A192" s="578" t="s">
        <v>6961</v>
      </c>
      <c r="B192" s="51">
        <v>17090</v>
      </c>
      <c r="C192" s="69" t="s">
        <v>6959</v>
      </c>
      <c r="D192" s="10" t="s">
        <v>24</v>
      </c>
      <c r="E192" s="28" t="s">
        <v>25</v>
      </c>
      <c r="F192" s="20" t="s">
        <v>6960</v>
      </c>
      <c r="G192" s="15" t="s">
        <v>651</v>
      </c>
      <c r="H192" s="119" t="s">
        <v>312</v>
      </c>
      <c r="I192" s="18" t="s">
        <v>117</v>
      </c>
      <c r="J192" s="18" t="s">
        <v>1013</v>
      </c>
      <c r="K192" s="23" t="s">
        <v>6962</v>
      </c>
      <c r="L192" s="25" t="str">
        <f>"RUTL-"&amp;RIGHT(K192,8)</f>
        <v>RUTL-D1250662</v>
      </c>
      <c r="M192" s="34" t="s">
        <v>40</v>
      </c>
      <c r="N192" s="39" t="s">
        <v>87</v>
      </c>
      <c r="O192" s="39" t="s">
        <v>6963</v>
      </c>
      <c r="P192" s="39" t="s">
        <v>90</v>
      </c>
      <c r="Q192" s="113"/>
      <c r="R192" s="15" t="s">
        <v>56</v>
      </c>
      <c r="S192" s="37" t="s">
        <v>57</v>
      </c>
      <c r="T192" s="105" t="s">
        <v>6964</v>
      </c>
      <c r="U192" s="39" t="s">
        <v>1864</v>
      </c>
      <c r="V192" s="115">
        <v>44551</v>
      </c>
      <c r="W192" s="23" t="s">
        <v>1021</v>
      </c>
      <c r="X192" s="71"/>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row>
    <row r="193" spans="1:135" ht="30" customHeight="1" thickBot="1" x14ac:dyDescent="0.3">
      <c r="A193" s="578" t="s">
        <v>1015</v>
      </c>
      <c r="B193" s="8">
        <v>435</v>
      </c>
      <c r="C193" s="72" t="s">
        <v>1003</v>
      </c>
      <c r="D193" s="15" t="s">
        <v>24</v>
      </c>
      <c r="E193" s="11" t="s">
        <v>25</v>
      </c>
      <c r="F193" s="20" t="s">
        <v>1004</v>
      </c>
      <c r="G193" s="15" t="s">
        <v>1007</v>
      </c>
      <c r="H193" s="31" t="s">
        <v>92</v>
      </c>
      <c r="I193" s="18" t="s">
        <v>135</v>
      </c>
      <c r="J193" s="18" t="s">
        <v>1013</v>
      </c>
      <c r="K193" s="23" t="s">
        <v>1017</v>
      </c>
      <c r="L193" s="25" t="str">
        <f>"RUTL-"&amp;RIGHT(K193,8)</f>
        <v>RUTL-D1250618</v>
      </c>
      <c r="M193" s="34" t="s">
        <v>40</v>
      </c>
      <c r="N193" s="23" t="s">
        <v>1018</v>
      </c>
      <c r="O193" s="23"/>
      <c r="P193" s="39" t="s">
        <v>90</v>
      </c>
      <c r="Q193" s="113"/>
      <c r="R193" s="15" t="s">
        <v>235</v>
      </c>
      <c r="S193" s="37" t="s">
        <v>57</v>
      </c>
      <c r="T193" s="101" t="s">
        <v>96</v>
      </c>
      <c r="U193" s="39" t="s">
        <v>1020</v>
      </c>
      <c r="V193" s="115">
        <v>44551</v>
      </c>
      <c r="W193" s="23" t="s">
        <v>1021</v>
      </c>
      <c r="X193" s="71"/>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row>
    <row r="194" spans="1:135" ht="30" customHeight="1" thickBot="1" x14ac:dyDescent="0.3">
      <c r="A194" s="578" t="s">
        <v>1916</v>
      </c>
      <c r="B194" s="51" t="s">
        <v>1912</v>
      </c>
      <c r="C194" s="72" t="s">
        <v>1913</v>
      </c>
      <c r="D194" s="10" t="s">
        <v>24</v>
      </c>
      <c r="E194" s="11" t="s">
        <v>25</v>
      </c>
      <c r="F194" s="20" t="s">
        <v>1914</v>
      </c>
      <c r="G194" s="15" t="s">
        <v>1915</v>
      </c>
      <c r="H194" s="17" t="s">
        <v>1846</v>
      </c>
      <c r="I194" s="18" t="s">
        <v>135</v>
      </c>
      <c r="J194" s="18" t="s">
        <v>1013</v>
      </c>
      <c r="K194" s="23" t="s">
        <v>1920</v>
      </c>
      <c r="L194" s="21" t="str">
        <f>"RUTL-"&amp;RIGHT(K194,8)</f>
        <v>RUTL-D12506FL</v>
      </c>
      <c r="M194" s="34" t="s">
        <v>40</v>
      </c>
      <c r="N194" s="32" t="s">
        <v>54</v>
      </c>
      <c r="O194" s="175"/>
      <c r="P194" s="39" t="s">
        <v>90</v>
      </c>
      <c r="Q194" s="290" t="s">
        <v>146</v>
      </c>
      <c r="R194" s="15" t="s">
        <v>56</v>
      </c>
      <c r="S194" s="37" t="s">
        <v>57</v>
      </c>
      <c r="T194" s="118" t="s">
        <v>1793</v>
      </c>
      <c r="U194" s="39" t="s">
        <v>1923</v>
      </c>
      <c r="V194" s="115">
        <v>44551</v>
      </c>
      <c r="W194" s="23" t="s">
        <v>1021</v>
      </c>
      <c r="X194" s="71"/>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row>
    <row r="195" spans="1:135" ht="30" customHeight="1" thickBot="1" x14ac:dyDescent="0.3">
      <c r="A195" s="578" t="s">
        <v>1932</v>
      </c>
      <c r="B195" s="120" t="s">
        <v>1927</v>
      </c>
      <c r="C195" s="72" t="s">
        <v>1929</v>
      </c>
      <c r="D195" s="15" t="s">
        <v>959</v>
      </c>
      <c r="E195" s="11" t="s">
        <v>25</v>
      </c>
      <c r="F195" s="20" t="s">
        <v>1930</v>
      </c>
      <c r="G195" s="15" t="s">
        <v>1931</v>
      </c>
      <c r="H195" s="17" t="s">
        <v>1846</v>
      </c>
      <c r="I195" s="18" t="s">
        <v>38</v>
      </c>
      <c r="J195" s="18" t="s">
        <v>1013</v>
      </c>
      <c r="K195" s="124" t="s">
        <v>1940</v>
      </c>
      <c r="L195" s="127" t="s">
        <v>1941</v>
      </c>
      <c r="M195" s="129" t="s">
        <v>40</v>
      </c>
      <c r="N195" s="39" t="s">
        <v>410</v>
      </c>
      <c r="O195" s="39" t="s">
        <v>1942</v>
      </c>
      <c r="P195" s="39" t="s">
        <v>90</v>
      </c>
      <c r="Q195" s="188" t="s">
        <v>1945</v>
      </c>
      <c r="R195" s="121" t="s">
        <v>56</v>
      </c>
      <c r="S195" s="37" t="s">
        <v>57</v>
      </c>
      <c r="T195" s="107" t="s">
        <v>148</v>
      </c>
      <c r="U195" s="47" t="s">
        <v>1946</v>
      </c>
      <c r="V195" s="115">
        <v>44551</v>
      </c>
      <c r="W195" s="23" t="s">
        <v>1021</v>
      </c>
      <c r="X195" s="71"/>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row>
    <row r="196" spans="1:135" ht="30" customHeight="1" thickBot="1" x14ac:dyDescent="0.3">
      <c r="A196" s="578" t="s">
        <v>4702</v>
      </c>
      <c r="B196" s="16">
        <v>9728</v>
      </c>
      <c r="C196" s="69" t="s">
        <v>4700</v>
      </c>
      <c r="D196" s="10" t="s">
        <v>24</v>
      </c>
      <c r="E196" s="11" t="s">
        <v>25</v>
      </c>
      <c r="F196" s="12" t="s">
        <v>4701</v>
      </c>
      <c r="G196" s="15" t="s">
        <v>1351</v>
      </c>
      <c r="H196" s="108" t="s">
        <v>225</v>
      </c>
      <c r="I196" s="18" t="s">
        <v>135</v>
      </c>
      <c r="J196" s="18" t="s">
        <v>1013</v>
      </c>
      <c r="K196" s="33" t="s">
        <v>4703</v>
      </c>
      <c r="L196" s="25" t="str">
        <f>"RUTL-"&amp;RIGHT(K196,8)</f>
        <v>RUTL-D12505SS</v>
      </c>
      <c r="M196" s="34" t="s">
        <v>40</v>
      </c>
      <c r="N196" s="39" t="s">
        <v>87</v>
      </c>
      <c r="O196" s="23"/>
      <c r="P196" s="35" t="s">
        <v>90</v>
      </c>
      <c r="Q196" s="36" t="s">
        <v>4704</v>
      </c>
      <c r="R196" s="15" t="s">
        <v>56</v>
      </c>
      <c r="S196" s="37" t="s">
        <v>57</v>
      </c>
      <c r="T196" s="38" t="s">
        <v>58</v>
      </c>
      <c r="U196" s="39" t="s">
        <v>883</v>
      </c>
      <c r="V196" s="115">
        <v>44551</v>
      </c>
      <c r="W196" s="23" t="s">
        <v>1021</v>
      </c>
      <c r="X196" s="71"/>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row>
    <row r="197" spans="1:135" ht="30" customHeight="1" thickBot="1" x14ac:dyDescent="0.3">
      <c r="A197" s="578" t="s">
        <v>4615</v>
      </c>
      <c r="B197" s="16">
        <v>9455</v>
      </c>
      <c r="C197" s="167" t="s">
        <v>4612</v>
      </c>
      <c r="D197" s="10" t="s">
        <v>24</v>
      </c>
      <c r="E197" s="11" t="s">
        <v>25</v>
      </c>
      <c r="F197" s="20" t="s">
        <v>4613</v>
      </c>
      <c r="G197" s="15" t="s">
        <v>4614</v>
      </c>
      <c r="H197" s="147" t="s">
        <v>434</v>
      </c>
      <c r="I197" s="18" t="s">
        <v>135</v>
      </c>
      <c r="J197" s="18" t="s">
        <v>1013</v>
      </c>
      <c r="K197" s="33" t="s">
        <v>4616</v>
      </c>
      <c r="L197" s="25" t="str">
        <f>"RUTL-"&amp;RIGHT(K197,8)</f>
        <v>RUTL-D12506DR</v>
      </c>
      <c r="M197" s="34" t="s">
        <v>40</v>
      </c>
      <c r="N197" s="23"/>
      <c r="O197" s="23"/>
      <c r="P197" s="23"/>
      <c r="Q197" s="113"/>
      <c r="R197" s="15" t="s">
        <v>235</v>
      </c>
      <c r="S197" s="37" t="s">
        <v>57</v>
      </c>
      <c r="T197" s="101" t="s">
        <v>96</v>
      </c>
      <c r="U197" s="39" t="s">
        <v>3185</v>
      </c>
      <c r="V197" s="115">
        <v>44551</v>
      </c>
      <c r="W197" s="23" t="s">
        <v>1021</v>
      </c>
      <c r="X197" s="71"/>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row>
    <row r="198" spans="1:135" ht="30" customHeight="1" thickBot="1" x14ac:dyDescent="0.3">
      <c r="A198" s="578" t="s">
        <v>7532</v>
      </c>
      <c r="B198" s="51" t="s">
        <v>7528</v>
      </c>
      <c r="C198" s="72" t="s">
        <v>7529</v>
      </c>
      <c r="D198" s="10" t="s">
        <v>24</v>
      </c>
      <c r="E198" s="28" t="s">
        <v>25</v>
      </c>
      <c r="F198" s="20" t="s">
        <v>7530</v>
      </c>
      <c r="G198" s="15" t="s">
        <v>7531</v>
      </c>
      <c r="H198" s="17" t="s">
        <v>470</v>
      </c>
      <c r="I198" s="18" t="s">
        <v>135</v>
      </c>
      <c r="J198" s="18" t="s">
        <v>1013</v>
      </c>
      <c r="K198" s="23" t="s">
        <v>7533</v>
      </c>
      <c r="L198" s="21" t="str">
        <f>"RUTL-"&amp;RIGHT(K198,10)</f>
        <v>RUTL-CND12505S9</v>
      </c>
      <c r="M198" s="34" t="s">
        <v>40</v>
      </c>
      <c r="N198" s="23" t="s">
        <v>43</v>
      </c>
      <c r="O198" s="23"/>
      <c r="P198" s="39" t="s">
        <v>90</v>
      </c>
      <c r="Q198" s="113"/>
      <c r="R198" s="15" t="s">
        <v>56</v>
      </c>
      <c r="S198" s="40" t="s">
        <v>57</v>
      </c>
      <c r="T198" s="107" t="s">
        <v>7534</v>
      </c>
      <c r="U198" s="23" t="s">
        <v>7535</v>
      </c>
      <c r="V198" s="115">
        <v>44551</v>
      </c>
      <c r="W198" s="23" t="s">
        <v>1021</v>
      </c>
      <c r="X198" s="71"/>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row>
    <row r="199" spans="1:135" ht="30" customHeight="1" thickBot="1" x14ac:dyDescent="0.3">
      <c r="A199" s="578" t="s">
        <v>4679</v>
      </c>
      <c r="B199" s="16">
        <v>9647</v>
      </c>
      <c r="C199" s="72" t="s">
        <v>4676</v>
      </c>
      <c r="D199" s="10" t="s">
        <v>24</v>
      </c>
      <c r="E199" s="11" t="s">
        <v>25</v>
      </c>
      <c r="F199" s="20" t="s">
        <v>4677</v>
      </c>
      <c r="G199" s="15" t="s">
        <v>3745</v>
      </c>
      <c r="H199" s="104" t="s">
        <v>4678</v>
      </c>
      <c r="I199" s="18" t="s">
        <v>135</v>
      </c>
      <c r="J199" s="18" t="s">
        <v>1013</v>
      </c>
      <c r="K199" s="33" t="s">
        <v>4680</v>
      </c>
      <c r="L199" s="25" t="str">
        <f>"RUTL-"&amp;RIGHT(K199,8)</f>
        <v>RUTL-D12505JS</v>
      </c>
      <c r="M199" s="34" t="s">
        <v>40</v>
      </c>
      <c r="N199" s="348" t="s">
        <v>410</v>
      </c>
      <c r="O199" s="23"/>
      <c r="P199" s="39" t="s">
        <v>90</v>
      </c>
      <c r="Q199" s="63" t="s">
        <v>4681</v>
      </c>
      <c r="R199" s="15" t="s">
        <v>56</v>
      </c>
      <c r="S199" s="37" t="s">
        <v>57</v>
      </c>
      <c r="T199" s="105" t="s">
        <v>148</v>
      </c>
      <c r="U199" s="39" t="s">
        <v>4682</v>
      </c>
      <c r="V199" s="23"/>
      <c r="W199" s="23"/>
      <c r="X199" s="71"/>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row>
    <row r="200" spans="1:135" ht="30" customHeight="1" thickBot="1" x14ac:dyDescent="0.3">
      <c r="A200" s="578" t="s">
        <v>2933</v>
      </c>
      <c r="B200" s="8">
        <v>2017</v>
      </c>
      <c r="C200" s="72" t="s">
        <v>2931</v>
      </c>
      <c r="D200" s="15" t="s">
        <v>24</v>
      </c>
      <c r="E200" s="11" t="s">
        <v>25</v>
      </c>
      <c r="F200" s="20" t="s">
        <v>2932</v>
      </c>
      <c r="G200" s="15" t="s">
        <v>1546</v>
      </c>
      <c r="H200" s="53" t="s">
        <v>76</v>
      </c>
      <c r="I200" s="18" t="s">
        <v>135</v>
      </c>
      <c r="J200" s="18" t="s">
        <v>1013</v>
      </c>
      <c r="K200" s="33" t="s">
        <v>2934</v>
      </c>
      <c r="L200" s="25" t="str">
        <f>"RUTL-"&amp;RIGHT(K200,8)</f>
        <v>RUTL-D12505L3</v>
      </c>
      <c r="M200" s="34" t="s">
        <v>40</v>
      </c>
      <c r="N200" s="39" t="s">
        <v>87</v>
      </c>
      <c r="O200" s="23"/>
      <c r="P200" s="23"/>
      <c r="Q200" s="113"/>
      <c r="R200" s="15" t="s">
        <v>56</v>
      </c>
      <c r="S200" s="37" t="s">
        <v>57</v>
      </c>
      <c r="T200" s="108" t="s">
        <v>273</v>
      </c>
      <c r="U200" s="39" t="s">
        <v>2935</v>
      </c>
      <c r="V200" s="115">
        <v>44551</v>
      </c>
      <c r="W200" s="23" t="s">
        <v>1021</v>
      </c>
      <c r="X200" s="71"/>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row>
    <row r="201" spans="1:135" ht="30" customHeight="1" thickBot="1" x14ac:dyDescent="0.3">
      <c r="A201" s="578" t="s">
        <v>1955</v>
      </c>
      <c r="B201" s="271" t="s">
        <v>1949</v>
      </c>
      <c r="C201" s="72" t="s">
        <v>1950</v>
      </c>
      <c r="D201" s="15" t="s">
        <v>24</v>
      </c>
      <c r="E201" s="122" t="s">
        <v>25</v>
      </c>
      <c r="F201" s="20" t="s">
        <v>1951</v>
      </c>
      <c r="G201" s="15" t="s">
        <v>1952</v>
      </c>
      <c r="H201" s="17" t="s">
        <v>1846</v>
      </c>
      <c r="I201" s="18" t="s">
        <v>38</v>
      </c>
      <c r="J201" s="18" t="s">
        <v>1013</v>
      </c>
      <c r="K201" s="124" t="s">
        <v>1962</v>
      </c>
      <c r="L201" s="127" t="str">
        <f>"RUTL-"&amp;RIGHT(K201,10)</f>
        <v>RUTL-CND12505QN</v>
      </c>
      <c r="M201" s="129" t="s">
        <v>40</v>
      </c>
      <c r="N201" s="185" t="s">
        <v>410</v>
      </c>
      <c r="O201" s="185"/>
      <c r="P201" s="39" t="s">
        <v>90</v>
      </c>
      <c r="Q201" s="14" t="s">
        <v>1966</v>
      </c>
      <c r="R201" s="121" t="s">
        <v>56</v>
      </c>
      <c r="S201" s="151" t="s">
        <v>57</v>
      </c>
      <c r="T201" s="153" t="s">
        <v>1967</v>
      </c>
      <c r="U201" s="138" t="s">
        <v>1968</v>
      </c>
      <c r="V201" s="212">
        <v>43236</v>
      </c>
      <c r="W201" s="213"/>
      <c r="X201" s="71"/>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row>
    <row r="202" spans="1:135" ht="30" customHeight="1" thickBot="1" x14ac:dyDescent="0.3">
      <c r="A202" s="578" t="s">
        <v>5926</v>
      </c>
      <c r="B202" s="437">
        <v>14705</v>
      </c>
      <c r="C202" s="72" t="s">
        <v>5924</v>
      </c>
      <c r="D202" s="10" t="s">
        <v>24</v>
      </c>
      <c r="E202" s="11" t="s">
        <v>25</v>
      </c>
      <c r="F202" s="20" t="s">
        <v>5925</v>
      </c>
      <c r="G202" s="15" t="s">
        <v>2384</v>
      </c>
      <c r="H202" s="291" t="s">
        <v>2294</v>
      </c>
      <c r="I202" s="18" t="s">
        <v>135</v>
      </c>
      <c r="J202" s="18" t="s">
        <v>1013</v>
      </c>
      <c r="K202" s="23" t="s">
        <v>5927</v>
      </c>
      <c r="L202" s="25" t="str">
        <f>"RUTL-"&amp;RIGHT(K202,8)</f>
        <v>RUTL-D12505JM</v>
      </c>
      <c r="M202" s="34" t="s">
        <v>40</v>
      </c>
      <c r="N202" s="23"/>
      <c r="O202" s="23"/>
      <c r="P202" s="23"/>
      <c r="Q202" s="113"/>
      <c r="R202" s="15" t="s">
        <v>235</v>
      </c>
      <c r="S202" s="23"/>
      <c r="T202" s="107" t="s">
        <v>453</v>
      </c>
      <c r="U202" s="23" t="s">
        <v>5928</v>
      </c>
      <c r="V202" s="115">
        <v>44551</v>
      </c>
      <c r="W202" s="23" t="s">
        <v>1021</v>
      </c>
      <c r="X202" s="71"/>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row>
    <row r="203" spans="1:135" ht="30" customHeight="1" thickBot="1" x14ac:dyDescent="0.3">
      <c r="A203" s="578" t="s">
        <v>4362</v>
      </c>
      <c r="B203" s="51">
        <v>8162</v>
      </c>
      <c r="C203" s="72" t="s">
        <v>4358</v>
      </c>
      <c r="D203" s="10" t="s">
        <v>4359</v>
      </c>
      <c r="E203" s="11" t="s">
        <v>25</v>
      </c>
      <c r="F203" s="20" t="s">
        <v>4360</v>
      </c>
      <c r="G203" s="15" t="s">
        <v>4361</v>
      </c>
      <c r="H203" s="17" t="s">
        <v>1846</v>
      </c>
      <c r="I203" s="18" t="s">
        <v>135</v>
      </c>
      <c r="J203" s="18" t="s">
        <v>1013</v>
      </c>
      <c r="K203" s="33" t="s">
        <v>4363</v>
      </c>
      <c r="L203" s="21" t="str">
        <f>"RUTL-"&amp;RIGHT(K203,10)</f>
        <v>RUTL-CND12505J9</v>
      </c>
      <c r="M203" s="34" t="s">
        <v>40</v>
      </c>
      <c r="N203" s="23" t="s">
        <v>43</v>
      </c>
      <c r="O203" s="23"/>
      <c r="P203" s="39" t="s">
        <v>90</v>
      </c>
      <c r="Q203" s="90" t="s">
        <v>146</v>
      </c>
      <c r="R203" s="15" t="s">
        <v>56</v>
      </c>
      <c r="S203" s="37" t="s">
        <v>57</v>
      </c>
      <c r="T203" s="105" t="s">
        <v>148</v>
      </c>
      <c r="U203" s="39" t="s">
        <v>4364</v>
      </c>
      <c r="V203" s="115">
        <v>44551</v>
      </c>
      <c r="W203" s="23" t="s">
        <v>1021</v>
      </c>
      <c r="X203" s="71"/>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row>
    <row r="204" spans="1:135" ht="30" customHeight="1" thickBot="1" x14ac:dyDescent="0.3">
      <c r="A204" s="578" t="s">
        <v>4303</v>
      </c>
      <c r="B204" s="8">
        <v>7975</v>
      </c>
      <c r="C204" s="52" t="s">
        <v>4301</v>
      </c>
      <c r="D204" s="10" t="s">
        <v>24</v>
      </c>
      <c r="E204" s="11" t="s">
        <v>25</v>
      </c>
      <c r="F204" s="20" t="s">
        <v>4302</v>
      </c>
      <c r="G204" s="15" t="s">
        <v>2271</v>
      </c>
      <c r="H204" s="53" t="s">
        <v>609</v>
      </c>
      <c r="I204" s="18" t="s">
        <v>135</v>
      </c>
      <c r="J204" s="18" t="s">
        <v>1013</v>
      </c>
      <c r="K204" s="33" t="s">
        <v>4304</v>
      </c>
      <c r="L204" s="25" t="str">
        <f>"RUTL-"&amp;RIGHT(K204,8)</f>
        <v>RUTL-D125065M</v>
      </c>
      <c r="M204" s="34" t="s">
        <v>40</v>
      </c>
      <c r="N204" s="23" t="s">
        <v>43</v>
      </c>
      <c r="O204" s="23"/>
      <c r="P204" s="39" t="s">
        <v>90</v>
      </c>
      <c r="Q204" s="113"/>
      <c r="R204" s="15" t="s">
        <v>56</v>
      </c>
      <c r="S204" s="37" t="s">
        <v>57</v>
      </c>
      <c r="T204" s="107" t="s">
        <v>453</v>
      </c>
      <c r="U204" s="39" t="s">
        <v>3460</v>
      </c>
      <c r="V204" s="115">
        <v>44551</v>
      </c>
      <c r="W204" s="23" t="s">
        <v>1021</v>
      </c>
      <c r="X204" s="71"/>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row>
    <row r="205" spans="1:135" ht="30" customHeight="1" thickBot="1" x14ac:dyDescent="0.3">
      <c r="A205" s="578" t="s">
        <v>5049</v>
      </c>
      <c r="B205" s="51">
        <v>11465</v>
      </c>
      <c r="C205" s="72" t="s">
        <v>5046</v>
      </c>
      <c r="D205" s="10" t="s">
        <v>24</v>
      </c>
      <c r="E205" s="28" t="s">
        <v>25</v>
      </c>
      <c r="F205" s="20" t="s">
        <v>5047</v>
      </c>
      <c r="G205" s="15" t="s">
        <v>3948</v>
      </c>
      <c r="H205" s="147" t="s">
        <v>5048</v>
      </c>
      <c r="I205" s="18" t="s">
        <v>135</v>
      </c>
      <c r="J205" s="18" t="s">
        <v>1013</v>
      </c>
      <c r="K205" s="33" t="s">
        <v>5050</v>
      </c>
      <c r="L205" s="25" t="str">
        <f>"RUTL-"&amp;RIGHT(K205,8)</f>
        <v>RUTL-D12505KX</v>
      </c>
      <c r="M205" s="34" t="s">
        <v>40</v>
      </c>
      <c r="N205" s="39" t="s">
        <v>87</v>
      </c>
      <c r="O205" s="23"/>
      <c r="P205" s="39" t="s">
        <v>90</v>
      </c>
      <c r="Q205" s="23"/>
      <c r="R205" s="15" t="s">
        <v>56</v>
      </c>
      <c r="S205" s="21" t="s">
        <v>57</v>
      </c>
      <c r="T205" s="274" t="s">
        <v>58</v>
      </c>
      <c r="U205" s="39" t="s">
        <v>3193</v>
      </c>
      <c r="V205" s="115">
        <v>44551</v>
      </c>
      <c r="W205" s="23" t="s">
        <v>1021</v>
      </c>
      <c r="X205" s="71"/>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row>
    <row r="206" spans="1:135" ht="30" customHeight="1" thickBot="1" x14ac:dyDescent="0.3">
      <c r="A206" s="578" t="s">
        <v>3433</v>
      </c>
      <c r="B206" s="16">
        <v>3925</v>
      </c>
      <c r="C206" s="69" t="s">
        <v>3431</v>
      </c>
      <c r="D206" s="15" t="s">
        <v>24</v>
      </c>
      <c r="E206" s="11" t="s">
        <v>25</v>
      </c>
      <c r="F206" s="12" t="s">
        <v>3432</v>
      </c>
      <c r="G206" s="15" t="s">
        <v>606</v>
      </c>
      <c r="H206" s="53" t="s">
        <v>76</v>
      </c>
      <c r="I206" s="18" t="s">
        <v>135</v>
      </c>
      <c r="J206" s="18" t="s">
        <v>1013</v>
      </c>
      <c r="K206" s="33" t="s">
        <v>3434</v>
      </c>
      <c r="L206" s="25" t="str">
        <f>"RUTL-"&amp;RIGHT(K206,8)</f>
        <v>RUTL-D12505TD</v>
      </c>
      <c r="M206" s="34" t="s">
        <v>40</v>
      </c>
      <c r="N206" s="23" t="s">
        <v>54</v>
      </c>
      <c r="O206" s="23"/>
      <c r="P206" s="90" t="s">
        <v>90</v>
      </c>
      <c r="Q206" s="113"/>
      <c r="R206" s="15" t="s">
        <v>56</v>
      </c>
      <c r="S206" s="37" t="s">
        <v>57</v>
      </c>
      <c r="T206" s="41" t="s">
        <v>65</v>
      </c>
      <c r="U206" s="39" t="s">
        <v>3435</v>
      </c>
      <c r="V206" s="115">
        <v>44551</v>
      </c>
      <c r="W206" s="23" t="s">
        <v>1021</v>
      </c>
      <c r="X206" s="71"/>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row>
    <row r="207" spans="1:135" ht="30" customHeight="1" thickBot="1" x14ac:dyDescent="0.3">
      <c r="A207" s="578" t="s">
        <v>4177</v>
      </c>
      <c r="B207" s="8">
        <v>7463</v>
      </c>
      <c r="C207" s="167" t="s">
        <v>4175</v>
      </c>
      <c r="D207" s="10" t="s">
        <v>24</v>
      </c>
      <c r="E207" s="11" t="s">
        <v>25</v>
      </c>
      <c r="F207" s="20" t="s">
        <v>4176</v>
      </c>
      <c r="G207" s="15" t="s">
        <v>3323</v>
      </c>
      <c r="H207" s="147" t="s">
        <v>434</v>
      </c>
      <c r="I207" s="18" t="s">
        <v>135</v>
      </c>
      <c r="J207" s="18" t="s">
        <v>1013</v>
      </c>
      <c r="K207" s="33" t="s">
        <v>4178</v>
      </c>
      <c r="L207" s="25" t="str">
        <f>"RUTL-"&amp;RIGHT(K207,8)</f>
        <v>RUTL-D12506DT</v>
      </c>
      <c r="M207" s="34" t="s">
        <v>40</v>
      </c>
      <c r="N207" s="39" t="s">
        <v>414</v>
      </c>
      <c r="O207" s="39" t="s">
        <v>4179</v>
      </c>
      <c r="P207" s="35" t="s">
        <v>46</v>
      </c>
      <c r="Q207" s="113"/>
      <c r="R207" s="15" t="s">
        <v>235</v>
      </c>
      <c r="S207" s="37" t="s">
        <v>57</v>
      </c>
      <c r="T207" s="101" t="s">
        <v>96</v>
      </c>
      <c r="U207" s="39" t="s">
        <v>4180</v>
      </c>
      <c r="V207" s="115">
        <v>44551</v>
      </c>
      <c r="W207" s="23" t="s">
        <v>1021</v>
      </c>
      <c r="X207" s="71"/>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row>
    <row r="208" spans="1:135" ht="30" customHeight="1" thickBot="1" x14ac:dyDescent="0.3">
      <c r="A208" s="578" t="s">
        <v>4673</v>
      </c>
      <c r="B208" s="16">
        <v>9627</v>
      </c>
      <c r="C208" s="72" t="s">
        <v>4670</v>
      </c>
      <c r="D208" s="10" t="s">
        <v>24</v>
      </c>
      <c r="E208" s="11" t="s">
        <v>25</v>
      </c>
      <c r="F208" s="20" t="s">
        <v>4671</v>
      </c>
      <c r="G208" s="15" t="s">
        <v>4672</v>
      </c>
      <c r="H208" s="102" t="s">
        <v>3496</v>
      </c>
      <c r="I208" s="18" t="s">
        <v>4338</v>
      </c>
      <c r="J208" s="18" t="s">
        <v>1013</v>
      </c>
      <c r="K208" s="33" t="s">
        <v>4674</v>
      </c>
      <c r="L208" s="25" t="str">
        <f>"RUTL-"&amp;RIGHT(K208,8)</f>
        <v>RUTL-D12506BD</v>
      </c>
      <c r="M208" s="34" t="s">
        <v>40</v>
      </c>
      <c r="N208" s="39" t="s">
        <v>410</v>
      </c>
      <c r="O208" s="39" t="s">
        <v>4675</v>
      </c>
      <c r="P208" s="39" t="s">
        <v>90</v>
      </c>
      <c r="Q208" s="113"/>
      <c r="R208" s="15" t="s">
        <v>56</v>
      </c>
      <c r="S208" s="232" t="s">
        <v>296</v>
      </c>
      <c r="T208" s="101" t="s">
        <v>96</v>
      </c>
      <c r="U208" s="39" t="s">
        <v>2337</v>
      </c>
      <c r="V208" s="115">
        <v>44551</v>
      </c>
      <c r="W208" s="23" t="s">
        <v>1021</v>
      </c>
      <c r="X208" s="71"/>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row>
    <row r="209" spans="1:135" ht="30" customHeight="1" thickBot="1" x14ac:dyDescent="0.3">
      <c r="A209" s="578" t="s">
        <v>4510</v>
      </c>
      <c r="B209" s="51">
        <v>8992</v>
      </c>
      <c r="C209" s="72" t="s">
        <v>4508</v>
      </c>
      <c r="D209" s="10" t="s">
        <v>24</v>
      </c>
      <c r="E209" s="11" t="s">
        <v>25</v>
      </c>
      <c r="F209" s="20" t="s">
        <v>4509</v>
      </c>
      <c r="G209" s="15" t="s">
        <v>3295</v>
      </c>
      <c r="H209" s="22" t="s">
        <v>2658</v>
      </c>
      <c r="I209" s="18" t="s">
        <v>135</v>
      </c>
      <c r="J209" s="18" t="s">
        <v>1013</v>
      </c>
      <c r="K209" s="33" t="s">
        <v>4511</v>
      </c>
      <c r="L209" s="25" t="str">
        <f>"RUTL-"&amp;RIGHT(K209,8)</f>
        <v>RUTL-D12505WV</v>
      </c>
      <c r="M209" s="34" t="s">
        <v>40</v>
      </c>
      <c r="N209" s="39" t="s">
        <v>87</v>
      </c>
      <c r="O209" s="39" t="s">
        <v>4512</v>
      </c>
      <c r="P209" s="39" t="s">
        <v>90</v>
      </c>
      <c r="Q209" s="113"/>
      <c r="R209" s="15" t="s">
        <v>56</v>
      </c>
      <c r="S209" s="37" t="s">
        <v>57</v>
      </c>
      <c r="T209" s="41" t="s">
        <v>65</v>
      </c>
      <c r="U209" s="23" t="s">
        <v>4513</v>
      </c>
      <c r="V209" s="44">
        <v>44551</v>
      </c>
      <c r="W209" s="23" t="s">
        <v>1021</v>
      </c>
      <c r="X209" s="71"/>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row>
    <row r="210" spans="1:135" ht="30" customHeight="1" thickBot="1" x14ac:dyDescent="0.3">
      <c r="A210" s="578" t="s">
        <v>7115</v>
      </c>
      <c r="B210" s="16">
        <v>17563</v>
      </c>
      <c r="C210" s="72" t="s">
        <v>7112</v>
      </c>
      <c r="D210" s="10" t="s">
        <v>24</v>
      </c>
      <c r="E210" s="11" t="s">
        <v>25</v>
      </c>
      <c r="F210" s="20" t="s">
        <v>7113</v>
      </c>
      <c r="G210" s="15" t="s">
        <v>7114</v>
      </c>
      <c r="H210" s="148" t="s">
        <v>436</v>
      </c>
      <c r="I210" s="18" t="s">
        <v>117</v>
      </c>
      <c r="J210" s="18" t="s">
        <v>1013</v>
      </c>
      <c r="K210" s="33" t="s">
        <v>7116</v>
      </c>
      <c r="L210" s="25" t="str">
        <f>"RUTL-"&amp;RIGHT(K210,8)</f>
        <v>RUTL-D12506G5</v>
      </c>
      <c r="M210" s="34" t="s">
        <v>40</v>
      </c>
      <c r="N210" s="23"/>
      <c r="O210" s="23"/>
      <c r="P210" s="39" t="s">
        <v>90</v>
      </c>
      <c r="Q210" s="113"/>
      <c r="R210" s="15" t="s">
        <v>56</v>
      </c>
      <c r="S210" s="37" t="s">
        <v>57</v>
      </c>
      <c r="T210" s="68" t="s">
        <v>148</v>
      </c>
      <c r="U210" s="39" t="s">
        <v>7117</v>
      </c>
      <c r="V210" s="115">
        <v>44551</v>
      </c>
      <c r="W210" s="23" t="s">
        <v>1021</v>
      </c>
      <c r="X210" s="71"/>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row>
    <row r="211" spans="1:135" ht="30" customHeight="1" thickBot="1" x14ac:dyDescent="0.3">
      <c r="A211" s="578" t="s">
        <v>3699</v>
      </c>
      <c r="B211" s="8">
        <v>5129</v>
      </c>
      <c r="C211" s="72" t="s">
        <v>3696</v>
      </c>
      <c r="D211" s="15" t="s">
        <v>24</v>
      </c>
      <c r="E211" s="11" t="s">
        <v>25</v>
      </c>
      <c r="F211" s="20" t="s">
        <v>3697</v>
      </c>
      <c r="G211" s="15" t="s">
        <v>3698</v>
      </c>
      <c r="H211" s="31" t="s">
        <v>92</v>
      </c>
      <c r="I211" s="18" t="s">
        <v>117</v>
      </c>
      <c r="J211" s="18" t="s">
        <v>1013</v>
      </c>
      <c r="K211" s="33" t="s">
        <v>3700</v>
      </c>
      <c r="L211" s="25" t="str">
        <f>"RUTL-"&amp;RIGHT(K211,8)</f>
        <v>RUTL-D12506FJ</v>
      </c>
      <c r="M211" s="34" t="s">
        <v>40</v>
      </c>
      <c r="N211" s="23"/>
      <c r="O211" s="23"/>
      <c r="P211" s="23"/>
      <c r="Q211" s="113"/>
      <c r="R211" s="15" t="s">
        <v>235</v>
      </c>
      <c r="S211" s="23"/>
      <c r="T211" s="23"/>
      <c r="U211" s="23" t="s">
        <v>3701</v>
      </c>
      <c r="V211" s="115">
        <v>44551</v>
      </c>
      <c r="W211" s="23" t="s">
        <v>1021</v>
      </c>
      <c r="X211" s="71"/>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row>
    <row r="212" spans="1:135" ht="30" customHeight="1" thickBot="1" x14ac:dyDescent="0.3">
      <c r="A212" s="578" t="s">
        <v>5310</v>
      </c>
      <c r="B212" s="8">
        <v>12598</v>
      </c>
      <c r="C212" s="167" t="s">
        <v>5306</v>
      </c>
      <c r="D212" s="10" t="s">
        <v>24</v>
      </c>
      <c r="E212" s="11" t="s">
        <v>25</v>
      </c>
      <c r="F212" s="20" t="s">
        <v>5307</v>
      </c>
      <c r="G212" s="15" t="s">
        <v>5308</v>
      </c>
      <c r="H212" s="47" t="s">
        <v>5309</v>
      </c>
      <c r="I212" s="18" t="s">
        <v>117</v>
      </c>
      <c r="J212" s="18" t="s">
        <v>1013</v>
      </c>
      <c r="K212" s="23" t="s">
        <v>5311</v>
      </c>
      <c r="L212" s="25" t="str">
        <f>"RUTL-"&amp;RIGHT(K212,8)</f>
        <v>RUTL-D12505SY</v>
      </c>
      <c r="M212" s="34" t="s">
        <v>40</v>
      </c>
      <c r="N212" s="23" t="s">
        <v>87</v>
      </c>
      <c r="O212" s="23"/>
      <c r="P212" s="39" t="s">
        <v>90</v>
      </c>
      <c r="Q212" s="328"/>
      <c r="R212" s="15" t="s">
        <v>56</v>
      </c>
      <c r="S212" s="37" t="s">
        <v>57</v>
      </c>
      <c r="T212" s="101" t="s">
        <v>96</v>
      </c>
      <c r="U212" s="39" t="s">
        <v>5312</v>
      </c>
      <c r="V212" s="115">
        <v>44551</v>
      </c>
      <c r="W212" s="23" t="s">
        <v>1021</v>
      </c>
      <c r="X212" s="71"/>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row>
    <row r="213" spans="1:135" ht="30" customHeight="1" thickBot="1" x14ac:dyDescent="0.3">
      <c r="A213" s="578" t="s">
        <v>3804</v>
      </c>
      <c r="B213" s="8">
        <v>5825</v>
      </c>
      <c r="C213" s="72" t="s">
        <v>3802</v>
      </c>
      <c r="D213" s="10" t="s">
        <v>24</v>
      </c>
      <c r="E213" s="11" t="s">
        <v>25</v>
      </c>
      <c r="F213" s="20" t="s">
        <v>3803</v>
      </c>
      <c r="G213" s="15" t="s">
        <v>2271</v>
      </c>
      <c r="H213" s="104" t="s">
        <v>349</v>
      </c>
      <c r="I213" s="18" t="s">
        <v>135</v>
      </c>
      <c r="J213" s="18" t="s">
        <v>1013</v>
      </c>
      <c r="K213" s="33" t="s">
        <v>3805</v>
      </c>
      <c r="L213" s="25" t="str">
        <f>"RUTL-"&amp;RIGHT(K213,8)</f>
        <v>RUTL-D12505HR</v>
      </c>
      <c r="M213" s="34" t="s">
        <v>40</v>
      </c>
      <c r="N213" s="23" t="s">
        <v>43</v>
      </c>
      <c r="O213" s="23"/>
      <c r="P213" s="39" t="s">
        <v>90</v>
      </c>
      <c r="Q213" s="113"/>
      <c r="R213" s="15" t="s">
        <v>56</v>
      </c>
      <c r="S213" s="23" t="s">
        <v>57</v>
      </c>
      <c r="T213" s="23" t="s">
        <v>273</v>
      </c>
      <c r="U213" s="39" t="s">
        <v>1406</v>
      </c>
      <c r="V213" s="23"/>
      <c r="W213" s="23"/>
      <c r="X213" s="71"/>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row>
    <row r="214" spans="1:135" ht="30" customHeight="1" thickBot="1" x14ac:dyDescent="0.3">
      <c r="A214" s="578" t="s">
        <v>3246</v>
      </c>
      <c r="B214" s="8">
        <v>3276</v>
      </c>
      <c r="C214" s="72" t="s">
        <v>3243</v>
      </c>
      <c r="D214" s="15" t="s">
        <v>24</v>
      </c>
      <c r="E214" s="11" t="s">
        <v>25</v>
      </c>
      <c r="F214" s="12" t="s">
        <v>3244</v>
      </c>
      <c r="G214" s="15" t="s">
        <v>3245</v>
      </c>
      <c r="H214" s="17" t="s">
        <v>682</v>
      </c>
      <c r="I214" s="18" t="s">
        <v>772</v>
      </c>
      <c r="J214" s="18" t="s">
        <v>1112</v>
      </c>
      <c r="K214" s="33" t="s">
        <v>3247</v>
      </c>
      <c r="L214" s="25" t="str">
        <f>"RUTL-"&amp;RIGHT(K214,8)</f>
        <v>RUTL-PF2TY8WX</v>
      </c>
      <c r="M214" s="34" t="s">
        <v>40</v>
      </c>
      <c r="N214" s="39" t="s">
        <v>87</v>
      </c>
      <c r="O214" s="23"/>
      <c r="P214" s="39" t="s">
        <v>90</v>
      </c>
      <c r="Q214" s="63" t="s">
        <v>3248</v>
      </c>
      <c r="R214" s="15" t="s">
        <v>56</v>
      </c>
      <c r="S214" s="37" t="s">
        <v>57</v>
      </c>
      <c r="T214" s="105" t="s">
        <v>148</v>
      </c>
      <c r="U214" s="23" t="s">
        <v>1841</v>
      </c>
      <c r="V214" s="23"/>
      <c r="W214" s="23"/>
      <c r="X214" s="71"/>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row>
    <row r="215" spans="1:135" ht="30" customHeight="1" thickBot="1" x14ac:dyDescent="0.3">
      <c r="A215" s="578" t="s">
        <v>1114</v>
      </c>
      <c r="B215" s="8">
        <v>455</v>
      </c>
      <c r="C215" s="72" t="s">
        <v>1105</v>
      </c>
      <c r="D215" s="10" t="s">
        <v>746</v>
      </c>
      <c r="E215" s="11" t="s">
        <v>25</v>
      </c>
      <c r="F215" s="20" t="s">
        <v>1107</v>
      </c>
      <c r="G215" s="15" t="s">
        <v>1108</v>
      </c>
      <c r="H215" s="147" t="s">
        <v>1109</v>
      </c>
      <c r="I215" s="18" t="s">
        <v>1110</v>
      </c>
      <c r="J215" s="18" t="s">
        <v>1112</v>
      </c>
      <c r="K215" s="23" t="s">
        <v>1116</v>
      </c>
      <c r="L215" s="25" t="str">
        <f>"RUTL-"&amp;RIGHT(K215,8)</f>
        <v>RUTL-PF2TYG12</v>
      </c>
      <c r="M215" s="34" t="s">
        <v>40</v>
      </c>
      <c r="N215" s="23" t="s">
        <v>990</v>
      </c>
      <c r="O215" s="23"/>
      <c r="P215" s="39" t="s">
        <v>90</v>
      </c>
      <c r="Q215" s="113"/>
      <c r="R215" s="23" t="s">
        <v>56</v>
      </c>
      <c r="S215" s="37" t="s">
        <v>57</v>
      </c>
      <c r="T215" s="23"/>
      <c r="U215" s="39" t="s">
        <v>1121</v>
      </c>
      <c r="V215" s="23"/>
      <c r="W215" s="23"/>
      <c r="X215" s="71"/>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row>
    <row r="216" spans="1:135" ht="30" customHeight="1" thickBot="1" x14ac:dyDescent="0.3">
      <c r="A216" s="578" t="s">
        <v>7342</v>
      </c>
      <c r="B216" s="51">
        <v>18432</v>
      </c>
      <c r="C216" s="72" t="s">
        <v>7339</v>
      </c>
      <c r="D216" s="10" t="s">
        <v>24</v>
      </c>
      <c r="E216" s="28" t="s">
        <v>25</v>
      </c>
      <c r="F216" s="20" t="s">
        <v>7340</v>
      </c>
      <c r="G216" s="15" t="s">
        <v>7341</v>
      </c>
      <c r="H216" s="104" t="s">
        <v>329</v>
      </c>
      <c r="I216" s="18" t="s">
        <v>1778</v>
      </c>
      <c r="J216" s="18" t="s">
        <v>1112</v>
      </c>
      <c r="K216" s="124" t="s">
        <v>7343</v>
      </c>
      <c r="L216" s="25" t="str">
        <f>"RUTL-"&amp;RIGHT(K216,8)</f>
        <v>RUTL-PF2TM25W</v>
      </c>
      <c r="M216" s="129" t="s">
        <v>40</v>
      </c>
      <c r="N216" s="14"/>
      <c r="O216" s="14"/>
      <c r="P216" s="39" t="s">
        <v>90</v>
      </c>
      <c r="Q216" s="39" t="s">
        <v>146</v>
      </c>
      <c r="R216" s="15" t="s">
        <v>56</v>
      </c>
      <c r="S216" s="37" t="s">
        <v>57</v>
      </c>
      <c r="T216" s="105" t="s">
        <v>148</v>
      </c>
      <c r="U216" s="39" t="s">
        <v>7041</v>
      </c>
      <c r="V216" s="14"/>
      <c r="W216" s="14"/>
      <c r="X216" s="71"/>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row>
    <row r="217" spans="1:135" ht="30" customHeight="1" thickBot="1" x14ac:dyDescent="0.3">
      <c r="A217" s="578" t="s">
        <v>2056</v>
      </c>
      <c r="B217" s="8">
        <v>856</v>
      </c>
      <c r="C217" s="72" t="s">
        <v>2052</v>
      </c>
      <c r="D217" s="10" t="s">
        <v>2053</v>
      </c>
      <c r="E217" s="11" t="s">
        <v>25</v>
      </c>
      <c r="F217" s="20" t="s">
        <v>2054</v>
      </c>
      <c r="G217" s="15" t="s">
        <v>2055</v>
      </c>
      <c r="H217" s="147" t="s">
        <v>1882</v>
      </c>
      <c r="I217" s="18" t="s">
        <v>772</v>
      </c>
      <c r="J217" s="18" t="s">
        <v>1112</v>
      </c>
      <c r="K217" s="23" t="s">
        <v>2058</v>
      </c>
      <c r="L217" s="25" t="str">
        <f>"RUTL-"&amp;RIGHT(K217,8)</f>
        <v>RUTL-PF2VTHSH</v>
      </c>
      <c r="M217" s="34" t="s">
        <v>40</v>
      </c>
      <c r="N217" s="39" t="s">
        <v>87</v>
      </c>
      <c r="O217" s="23"/>
      <c r="P217" s="23"/>
      <c r="Q217" s="113"/>
      <c r="R217" s="15" t="s">
        <v>235</v>
      </c>
      <c r="S217" s="23"/>
      <c r="T217" s="23"/>
      <c r="U217" s="39" t="s">
        <v>2060</v>
      </c>
      <c r="V217" s="23"/>
      <c r="W217" s="23"/>
      <c r="X217" s="71"/>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row>
    <row r="218" spans="1:135" ht="30" customHeight="1" thickBot="1" x14ac:dyDescent="0.3">
      <c r="A218" s="578" t="s">
        <v>6944</v>
      </c>
      <c r="B218" s="51">
        <v>17078</v>
      </c>
      <c r="C218" s="72" t="s">
        <v>6942</v>
      </c>
      <c r="D218" s="10" t="s">
        <v>24</v>
      </c>
      <c r="E218" s="419" t="s">
        <v>25</v>
      </c>
      <c r="F218" s="20" t="s">
        <v>6943</v>
      </c>
      <c r="G218" s="15" t="s">
        <v>2115</v>
      </c>
      <c r="H218" s="76" t="s">
        <v>3543</v>
      </c>
      <c r="I218" s="18" t="s">
        <v>772</v>
      </c>
      <c r="J218" s="24" t="s">
        <v>1112</v>
      </c>
      <c r="K218" s="159" t="s">
        <v>6945</v>
      </c>
      <c r="L218" s="25" t="str">
        <f>"RUTL-"&amp;RIGHT(K218,8)</f>
        <v>RUTL-PF2TXSE1</v>
      </c>
      <c r="M218" s="34" t="s">
        <v>40</v>
      </c>
      <c r="N218" s="420" t="s">
        <v>410</v>
      </c>
      <c r="O218" s="420"/>
      <c r="P218" s="39" t="s">
        <v>90</v>
      </c>
      <c r="Q218" s="159"/>
      <c r="R218" s="163" t="s">
        <v>235</v>
      </c>
      <c r="S218" s="37" t="s">
        <v>57</v>
      </c>
      <c r="T218" s="41" t="s">
        <v>65</v>
      </c>
      <c r="U218" s="39" t="s">
        <v>6946</v>
      </c>
      <c r="V218" s="159"/>
      <c r="W218" s="159"/>
      <c r="X218" s="71"/>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row>
    <row r="219" spans="1:135" ht="30" customHeight="1" thickBot="1" x14ac:dyDescent="0.3">
      <c r="A219" s="578" t="s">
        <v>7631</v>
      </c>
      <c r="B219" s="120">
        <v>8483</v>
      </c>
      <c r="C219" s="72" t="s">
        <v>7629</v>
      </c>
      <c r="D219" s="10" t="s">
        <v>24</v>
      </c>
      <c r="E219" s="11" t="s">
        <v>25</v>
      </c>
      <c r="F219" s="12" t="s">
        <v>7630</v>
      </c>
      <c r="G219" s="15" t="s">
        <v>3517</v>
      </c>
      <c r="H219" s="17" t="s">
        <v>891</v>
      </c>
      <c r="I219" s="24" t="s">
        <v>1110</v>
      </c>
      <c r="J219" s="24" t="s">
        <v>1112</v>
      </c>
      <c r="K219" s="23" t="s">
        <v>7632</v>
      </c>
      <c r="L219" s="21" t="str">
        <f>"RUTL-"&amp;RIGHT(K219,8)</f>
        <v>RUTL-PF2TLXDL</v>
      </c>
      <c r="M219" s="34" t="s">
        <v>40</v>
      </c>
      <c r="N219" s="39" t="s">
        <v>87</v>
      </c>
      <c r="O219" s="39" t="s">
        <v>7633</v>
      </c>
      <c r="P219" s="39" t="s">
        <v>90</v>
      </c>
      <c r="Q219" s="113"/>
      <c r="R219" s="15" t="s">
        <v>56</v>
      </c>
      <c r="S219" s="37" t="s">
        <v>180</v>
      </c>
      <c r="T219" s="41" t="s">
        <v>7634</v>
      </c>
      <c r="U219" s="23" t="s">
        <v>7635</v>
      </c>
      <c r="V219" s="23"/>
      <c r="W219" s="23"/>
      <c r="X219" s="71"/>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row>
    <row r="220" spans="1:135" ht="30" customHeight="1" thickBot="1" x14ac:dyDescent="0.3">
      <c r="A220" s="578" t="s">
        <v>3840</v>
      </c>
      <c r="B220" s="8">
        <v>6080</v>
      </c>
      <c r="C220" s="52" t="s">
        <v>3838</v>
      </c>
      <c r="D220" s="10" t="s">
        <v>746</v>
      </c>
      <c r="E220" s="11" t="s">
        <v>25</v>
      </c>
      <c r="F220" s="20" t="s">
        <v>3839</v>
      </c>
      <c r="G220" s="15" t="s">
        <v>1622</v>
      </c>
      <c r="H220" s="119" t="s">
        <v>1071</v>
      </c>
      <c r="I220" s="18" t="s">
        <v>772</v>
      </c>
      <c r="J220" s="18" t="s">
        <v>1112</v>
      </c>
      <c r="K220" s="33" t="s">
        <v>3841</v>
      </c>
      <c r="L220" s="25" t="str">
        <f>"RUTL-"&amp;RIGHT(K220,8)</f>
        <v>RUTL-PF2VTSPL</v>
      </c>
      <c r="M220" s="34" t="s">
        <v>40</v>
      </c>
      <c r="N220" s="23" t="s">
        <v>664</v>
      </c>
      <c r="O220" s="23"/>
      <c r="P220" s="23"/>
      <c r="Q220" s="113"/>
      <c r="R220" s="15" t="s">
        <v>235</v>
      </c>
      <c r="S220" s="37"/>
      <c r="T220" s="107" t="s">
        <v>453</v>
      </c>
      <c r="U220" s="23" t="s">
        <v>3842</v>
      </c>
      <c r="V220" s="23"/>
      <c r="W220" s="23"/>
      <c r="X220" s="71"/>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row>
    <row r="221" spans="1:135" ht="30" customHeight="1" thickBot="1" x14ac:dyDescent="0.3">
      <c r="A221" s="578" t="s">
        <v>7199</v>
      </c>
      <c r="B221" s="51">
        <v>17722</v>
      </c>
      <c r="C221" s="52" t="s">
        <v>7197</v>
      </c>
      <c r="D221" s="10" t="s">
        <v>24</v>
      </c>
      <c r="E221" s="11" t="s">
        <v>25</v>
      </c>
      <c r="F221" s="20" t="s">
        <v>7198</v>
      </c>
      <c r="G221" s="15" t="s">
        <v>1525</v>
      </c>
      <c r="H221" s="53" t="s">
        <v>1204</v>
      </c>
      <c r="I221" s="18" t="s">
        <v>772</v>
      </c>
      <c r="J221" s="18" t="s">
        <v>1112</v>
      </c>
      <c r="K221" s="33" t="s">
        <v>7200</v>
      </c>
      <c r="L221" s="25" t="str">
        <f>"RUTL-"&amp;RIGHT(K221,8)</f>
        <v>RUTL-PF2TM258</v>
      </c>
      <c r="M221" s="34" t="s">
        <v>40</v>
      </c>
      <c r="N221" s="39" t="s">
        <v>87</v>
      </c>
      <c r="O221" s="23"/>
      <c r="P221" s="90" t="s">
        <v>90</v>
      </c>
      <c r="Q221" s="113"/>
      <c r="R221" s="15" t="s">
        <v>56</v>
      </c>
      <c r="S221" s="40" t="s">
        <v>57</v>
      </c>
      <c r="T221" s="118" t="s">
        <v>65</v>
      </c>
      <c r="U221" s="39" t="s">
        <v>3396</v>
      </c>
      <c r="V221" s="23"/>
      <c r="W221" s="23"/>
      <c r="X221" s="71"/>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row>
    <row r="222" spans="1:135" ht="30" customHeight="1" thickBot="1" x14ac:dyDescent="0.3">
      <c r="A222" s="578" t="s">
        <v>5275</v>
      </c>
      <c r="B222" s="8">
        <v>12489</v>
      </c>
      <c r="C222" s="52" t="s">
        <v>5273</v>
      </c>
      <c r="D222" s="10" t="s">
        <v>24</v>
      </c>
      <c r="E222" s="11" t="s">
        <v>25</v>
      </c>
      <c r="F222" s="20" t="s">
        <v>5274</v>
      </c>
      <c r="G222" s="15" t="s">
        <v>3948</v>
      </c>
      <c r="H222" s="147" t="s">
        <v>1882</v>
      </c>
      <c r="I222" s="18" t="s">
        <v>135</v>
      </c>
      <c r="J222" s="18" t="s">
        <v>3537</v>
      </c>
      <c r="K222" s="23" t="s">
        <v>5276</v>
      </c>
      <c r="L222" s="25" t="str">
        <f>"RUTL-"&amp;RIGHT(K222,8)</f>
        <v>RUTL-PF2TYFX6</v>
      </c>
      <c r="M222" s="34" t="s">
        <v>40</v>
      </c>
      <c r="N222" s="23" t="s">
        <v>43</v>
      </c>
      <c r="O222" s="23"/>
      <c r="P222" s="39" t="s">
        <v>90</v>
      </c>
      <c r="Q222" s="113"/>
      <c r="R222" s="15" t="s">
        <v>56</v>
      </c>
      <c r="S222" s="37" t="s">
        <v>57</v>
      </c>
      <c r="T222" s="23" t="s">
        <v>1630</v>
      </c>
      <c r="U222" s="39" t="s">
        <v>5277</v>
      </c>
      <c r="V222" s="23"/>
      <c r="W222" s="23"/>
      <c r="X222" s="71"/>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row>
    <row r="223" spans="1:135" ht="30" customHeight="1" thickBot="1" x14ac:dyDescent="0.3">
      <c r="A223" s="578" t="s">
        <v>4809</v>
      </c>
      <c r="B223" s="16">
        <v>10508</v>
      </c>
      <c r="C223" s="72" t="s">
        <v>4806</v>
      </c>
      <c r="D223" s="10" t="s">
        <v>24</v>
      </c>
      <c r="E223" s="10" t="s">
        <v>25</v>
      </c>
      <c r="F223" s="20" t="s">
        <v>4807</v>
      </c>
      <c r="G223" s="15" t="s">
        <v>4808</v>
      </c>
      <c r="H223" s="313" t="s">
        <v>4465</v>
      </c>
      <c r="I223" s="18" t="s">
        <v>772</v>
      </c>
      <c r="J223" s="18" t="s">
        <v>1112</v>
      </c>
      <c r="K223" s="33" t="s">
        <v>4810</v>
      </c>
      <c r="L223" s="25" t="str">
        <f>"RUTL-"&amp;RIGHT(K223,8)</f>
        <v>RUTL-PF2VTP0F</v>
      </c>
      <c r="M223" s="34" t="s">
        <v>40</v>
      </c>
      <c r="N223" s="23" t="s">
        <v>43</v>
      </c>
      <c r="O223" s="23"/>
      <c r="P223" s="23"/>
      <c r="Q223" s="63" t="s">
        <v>146</v>
      </c>
      <c r="R223" s="15" t="s">
        <v>56</v>
      </c>
      <c r="S223" s="37" t="s">
        <v>57</v>
      </c>
      <c r="T223" s="101" t="s">
        <v>96</v>
      </c>
      <c r="U223" s="39" t="s">
        <v>4811</v>
      </c>
      <c r="V223" s="23"/>
      <c r="W223" s="23"/>
      <c r="X223" s="71"/>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row>
    <row r="224" spans="1:135" ht="30" customHeight="1" thickBot="1" x14ac:dyDescent="0.3">
      <c r="A224" s="578" t="s">
        <v>3155</v>
      </c>
      <c r="B224" s="8">
        <v>2861</v>
      </c>
      <c r="C224" s="72" t="s">
        <v>3152</v>
      </c>
      <c r="D224" s="10" t="s">
        <v>24</v>
      </c>
      <c r="E224" s="11" t="s">
        <v>25</v>
      </c>
      <c r="F224" s="20" t="s">
        <v>3154</v>
      </c>
      <c r="G224" s="15" t="s">
        <v>78</v>
      </c>
      <c r="H224" s="148" t="s">
        <v>3028</v>
      </c>
      <c r="I224" s="18" t="s">
        <v>772</v>
      </c>
      <c r="J224" s="18" t="s">
        <v>1112</v>
      </c>
      <c r="K224" s="33" t="s">
        <v>3157</v>
      </c>
      <c r="L224" s="25" t="str">
        <f>"RUTL-"&amp;RIGHT(K224,8)</f>
        <v>RUTL-PF2VTM98</v>
      </c>
      <c r="M224" s="34" t="s">
        <v>40</v>
      </c>
      <c r="N224" s="39" t="s">
        <v>87</v>
      </c>
      <c r="O224" s="23"/>
      <c r="P224" s="23"/>
      <c r="Q224" s="113"/>
      <c r="R224" s="15" t="s">
        <v>3158</v>
      </c>
      <c r="S224" s="23"/>
      <c r="T224" s="23"/>
      <c r="U224" s="39" t="s">
        <v>3159</v>
      </c>
      <c r="V224" s="23"/>
      <c r="W224" s="23"/>
      <c r="X224" s="71"/>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row>
    <row r="225" spans="1:135" ht="30" customHeight="1" thickBot="1" x14ac:dyDescent="0.3">
      <c r="A225" s="578" t="s">
        <v>3164</v>
      </c>
      <c r="B225" s="8">
        <v>2960</v>
      </c>
      <c r="C225" s="231" t="s">
        <v>3160</v>
      </c>
      <c r="D225" s="140" t="s">
        <v>24</v>
      </c>
      <c r="E225" s="11" t="s">
        <v>25</v>
      </c>
      <c r="F225" s="20" t="s">
        <v>3161</v>
      </c>
      <c r="G225" s="59" t="s">
        <v>3162</v>
      </c>
      <c r="H225" s="147" t="s">
        <v>1882</v>
      </c>
      <c r="I225" s="142" t="s">
        <v>772</v>
      </c>
      <c r="J225" s="18" t="s">
        <v>1112</v>
      </c>
      <c r="K225" s="33" t="s">
        <v>3165</v>
      </c>
      <c r="L225" s="25" t="str">
        <f>"RUTL-"&amp;RIGHT(K225,8)</f>
        <v>RUTL-PF2TYFZN</v>
      </c>
      <c r="M225" s="34" t="s">
        <v>40</v>
      </c>
      <c r="N225" s="39" t="s">
        <v>87</v>
      </c>
      <c r="O225" s="23"/>
      <c r="P225" s="23"/>
      <c r="Q225" s="113"/>
      <c r="R225" s="15" t="s">
        <v>235</v>
      </c>
      <c r="S225" s="23"/>
      <c r="T225" s="23"/>
      <c r="U225" s="39" t="s">
        <v>3166</v>
      </c>
      <c r="V225" s="242"/>
      <c r="W225" s="23"/>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row>
    <row r="226" spans="1:135" ht="30" customHeight="1" thickBot="1" x14ac:dyDescent="0.3">
      <c r="A226" s="578" t="s">
        <v>5620</v>
      </c>
      <c r="B226" s="435">
        <v>13376</v>
      </c>
      <c r="C226" s="52" t="s">
        <v>5618</v>
      </c>
      <c r="D226" s="10" t="s">
        <v>24</v>
      </c>
      <c r="E226" s="28" t="s">
        <v>25</v>
      </c>
      <c r="F226" s="12" t="s">
        <v>5619</v>
      </c>
      <c r="G226" s="15" t="s">
        <v>3948</v>
      </c>
      <c r="H226" s="147" t="s">
        <v>1882</v>
      </c>
      <c r="I226" s="18" t="s">
        <v>772</v>
      </c>
      <c r="J226" s="24" t="s">
        <v>1112</v>
      </c>
      <c r="K226" s="23" t="s">
        <v>5621</v>
      </c>
      <c r="L226" s="25" t="str">
        <f>"RUTL-"&amp;RIGHT(K226,8)</f>
        <v>RUTL-PF2VTM9Q</v>
      </c>
      <c r="M226" s="34" t="s">
        <v>40</v>
      </c>
      <c r="N226" s="23"/>
      <c r="O226" s="23"/>
      <c r="P226" s="23"/>
      <c r="Q226" s="113"/>
      <c r="R226" s="15" t="s">
        <v>235</v>
      </c>
      <c r="S226" s="40" t="s">
        <v>57</v>
      </c>
      <c r="T226" s="274" t="s">
        <v>58</v>
      </c>
      <c r="U226" s="39" t="s">
        <v>5140</v>
      </c>
      <c r="V226" s="23"/>
      <c r="W226" s="23"/>
      <c r="X226" s="71"/>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row>
    <row r="227" spans="1:135" ht="30" customHeight="1" thickBot="1" x14ac:dyDescent="0.3">
      <c r="A227" s="578" t="s">
        <v>5236</v>
      </c>
      <c r="B227" s="8">
        <v>12399</v>
      </c>
      <c r="C227" s="72" t="s">
        <v>5234</v>
      </c>
      <c r="D227" s="10" t="s">
        <v>24</v>
      </c>
      <c r="E227" s="11" t="s">
        <v>25</v>
      </c>
      <c r="F227" s="20" t="s">
        <v>5235</v>
      </c>
      <c r="G227" s="15" t="s">
        <v>448</v>
      </c>
      <c r="H227" s="22" t="s">
        <v>4594</v>
      </c>
      <c r="I227" s="18" t="s">
        <v>1110</v>
      </c>
      <c r="J227" s="18" t="s">
        <v>1112</v>
      </c>
      <c r="K227" s="23" t="s">
        <v>5237</v>
      </c>
      <c r="L227" s="25" t="str">
        <f>"RUTL-"&amp;RIGHT(K227,8)</f>
        <v>RUTL-PF2TM25B</v>
      </c>
      <c r="M227" s="34" t="s">
        <v>40</v>
      </c>
      <c r="N227" s="39" t="s">
        <v>87</v>
      </c>
      <c r="O227" s="39" t="s">
        <v>5238</v>
      </c>
      <c r="P227" s="23"/>
      <c r="Q227" s="113"/>
      <c r="R227" s="15" t="s">
        <v>235</v>
      </c>
      <c r="S227" s="23"/>
      <c r="T227" s="107" t="s">
        <v>453</v>
      </c>
      <c r="U227" s="23" t="s">
        <v>605</v>
      </c>
      <c r="V227" s="23"/>
      <c r="W227" s="23"/>
      <c r="X227" s="71"/>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row>
    <row r="228" spans="1:135" ht="30" customHeight="1" thickBot="1" x14ac:dyDescent="0.3">
      <c r="A228" s="578" t="s">
        <v>5973</v>
      </c>
      <c r="B228" s="437">
        <v>14770</v>
      </c>
      <c r="C228" s="52" t="s">
        <v>5971</v>
      </c>
      <c r="D228" s="10" t="s">
        <v>24</v>
      </c>
      <c r="E228" s="11" t="s">
        <v>25</v>
      </c>
      <c r="F228" s="29" t="s">
        <v>5972</v>
      </c>
      <c r="G228" s="15" t="s">
        <v>904</v>
      </c>
      <c r="H228" s="97" t="s">
        <v>852</v>
      </c>
      <c r="I228" s="18" t="s">
        <v>772</v>
      </c>
      <c r="J228" s="18" t="s">
        <v>1112</v>
      </c>
      <c r="K228" s="23" t="s">
        <v>5974</v>
      </c>
      <c r="L228" s="25" t="str">
        <f>"RUTL-"&amp;RIGHT(K228,8)</f>
        <v>RUTL-PF2TYGX5</v>
      </c>
      <c r="M228" s="34" t="s">
        <v>40</v>
      </c>
      <c r="N228" s="39" t="s">
        <v>473</v>
      </c>
      <c r="O228" s="39" t="s">
        <v>5975</v>
      </c>
      <c r="P228" s="39" t="s">
        <v>90</v>
      </c>
      <c r="Q228" s="100"/>
      <c r="R228" s="15" t="s">
        <v>56</v>
      </c>
      <c r="S228" s="37" t="s">
        <v>57</v>
      </c>
      <c r="T228" s="350" t="s">
        <v>148</v>
      </c>
      <c r="U228" s="39" t="s">
        <v>4220</v>
      </c>
      <c r="V228" s="306"/>
      <c r="W228" s="32"/>
      <c r="X228" s="71"/>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row>
    <row r="229" spans="1:135" ht="30" customHeight="1" thickBot="1" x14ac:dyDescent="0.3">
      <c r="A229" s="578" t="s">
        <v>5904</v>
      </c>
      <c r="B229" s="437">
        <v>14687</v>
      </c>
      <c r="C229" s="52" t="s">
        <v>5901</v>
      </c>
      <c r="D229" s="10" t="s">
        <v>24</v>
      </c>
      <c r="E229" s="11" t="s">
        <v>25</v>
      </c>
      <c r="F229" s="20" t="s">
        <v>5902</v>
      </c>
      <c r="G229" s="15" t="s">
        <v>5903</v>
      </c>
      <c r="H229" s="147" t="s">
        <v>1882</v>
      </c>
      <c r="I229" s="18" t="s">
        <v>772</v>
      </c>
      <c r="J229" s="18" t="s">
        <v>1112</v>
      </c>
      <c r="K229" s="23" t="s">
        <v>5905</v>
      </c>
      <c r="L229" s="25" t="str">
        <f>"RUTL-"&amp;RIGHT(K229,8)</f>
        <v>RUTL-PF2TLV8S</v>
      </c>
      <c r="M229" s="34" t="s">
        <v>40</v>
      </c>
      <c r="N229" s="39" t="s">
        <v>87</v>
      </c>
      <c r="O229" s="23"/>
      <c r="P229" s="90" t="s">
        <v>90</v>
      </c>
      <c r="Q229" s="91" t="s">
        <v>5906</v>
      </c>
      <c r="R229" s="15" t="s">
        <v>56</v>
      </c>
      <c r="S229" s="40" t="s">
        <v>57</v>
      </c>
      <c r="T229" s="105" t="s">
        <v>148</v>
      </c>
      <c r="U229" s="39" t="s">
        <v>1599</v>
      </c>
      <c r="V229" s="23"/>
      <c r="W229" s="23"/>
      <c r="X229" s="71"/>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row>
    <row r="230" spans="1:135" ht="30" customHeight="1" thickBot="1" x14ac:dyDescent="0.3">
      <c r="A230" s="578" t="s">
        <v>2116</v>
      </c>
      <c r="B230" s="90" t="s">
        <v>1849</v>
      </c>
      <c r="C230" s="90" t="s">
        <v>1849</v>
      </c>
      <c r="D230" s="307" t="s">
        <v>2112</v>
      </c>
      <c r="E230" s="11" t="s">
        <v>25</v>
      </c>
      <c r="F230" s="20" t="s">
        <v>2113</v>
      </c>
      <c r="G230" s="15" t="s">
        <v>2115</v>
      </c>
      <c r="H230" s="267" t="s">
        <v>1646</v>
      </c>
      <c r="I230" s="18" t="s">
        <v>772</v>
      </c>
      <c r="J230" s="18" t="s">
        <v>1112</v>
      </c>
      <c r="K230" s="23" t="s">
        <v>2117</v>
      </c>
      <c r="L230" s="21" t="str">
        <f>"RUTL-"&amp;RIGHT(K230,8)</f>
        <v>RUTL-PF2TYGX0</v>
      </c>
      <c r="M230" s="34" t="s">
        <v>40</v>
      </c>
      <c r="N230" s="39" t="s">
        <v>473</v>
      </c>
      <c r="O230" s="39" t="s">
        <v>2121</v>
      </c>
      <c r="P230" s="39" t="s">
        <v>90</v>
      </c>
      <c r="Q230" s="63" t="s">
        <v>146</v>
      </c>
      <c r="R230" s="15" t="s">
        <v>56</v>
      </c>
      <c r="S230" s="37" t="s">
        <v>57</v>
      </c>
      <c r="T230" s="68" t="s">
        <v>148</v>
      </c>
      <c r="U230" s="39" t="s">
        <v>2122</v>
      </c>
      <c r="V230" s="23"/>
      <c r="W230" s="23"/>
      <c r="X230" s="71"/>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row>
    <row r="231" spans="1:135" ht="30" customHeight="1" thickBot="1" x14ac:dyDescent="0.3">
      <c r="A231" s="578" t="s">
        <v>3261</v>
      </c>
      <c r="B231" s="8">
        <v>3317</v>
      </c>
      <c r="C231" s="72" t="s">
        <v>3258</v>
      </c>
      <c r="D231" s="15" t="s">
        <v>24</v>
      </c>
      <c r="E231" s="11" t="s">
        <v>25</v>
      </c>
      <c r="F231" s="20" t="s">
        <v>3259</v>
      </c>
      <c r="G231" s="15" t="s">
        <v>78</v>
      </c>
      <c r="H231" s="148" t="s">
        <v>3260</v>
      </c>
      <c r="I231" s="18" t="s">
        <v>772</v>
      </c>
      <c r="J231" s="18" t="s">
        <v>1112</v>
      </c>
      <c r="K231" s="33" t="s">
        <v>3262</v>
      </c>
      <c r="L231" s="25" t="str">
        <f>"RUTL-"&amp;RIGHT(K231,8)</f>
        <v>RUTL-PF2TYFXY</v>
      </c>
      <c r="M231" s="34" t="s">
        <v>40</v>
      </c>
      <c r="N231" s="23" t="s">
        <v>3263</v>
      </c>
      <c r="O231" s="39" t="s">
        <v>3264</v>
      </c>
      <c r="P231" s="23"/>
      <c r="Q231" s="113"/>
      <c r="R231" s="15" t="s">
        <v>235</v>
      </c>
      <c r="S231" s="23"/>
      <c r="T231" s="23"/>
      <c r="U231" s="39" t="s">
        <v>705</v>
      </c>
      <c r="V231" s="23"/>
      <c r="W231" s="23"/>
      <c r="X231" s="71"/>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row>
    <row r="232" spans="1:135" ht="30" customHeight="1" thickBot="1" x14ac:dyDescent="0.3">
      <c r="A232" s="578" t="s">
        <v>6042</v>
      </c>
      <c r="B232" s="439">
        <v>14934</v>
      </c>
      <c r="C232" s="72" t="s">
        <v>6039</v>
      </c>
      <c r="D232" s="10" t="s">
        <v>24</v>
      </c>
      <c r="E232" s="11" t="s">
        <v>25</v>
      </c>
      <c r="F232" s="20" t="s">
        <v>6040</v>
      </c>
      <c r="G232" s="15" t="s">
        <v>6041</v>
      </c>
      <c r="H232" s="147" t="s">
        <v>1882</v>
      </c>
      <c r="I232" s="18" t="s">
        <v>772</v>
      </c>
      <c r="J232" s="18" t="s">
        <v>1112</v>
      </c>
      <c r="K232" s="23" t="s">
        <v>6043</v>
      </c>
      <c r="L232" s="25" t="str">
        <f>"RUTL-"&amp;RIGHT(K232,8)</f>
        <v>RUTL-PF2TLQB5</v>
      </c>
      <c r="M232" s="34" t="s">
        <v>40</v>
      </c>
      <c r="N232" s="39" t="s">
        <v>87</v>
      </c>
      <c r="O232" s="23"/>
      <c r="P232" s="39" t="s">
        <v>90</v>
      </c>
      <c r="Q232" s="63" t="s">
        <v>6044</v>
      </c>
      <c r="R232" s="15" t="s">
        <v>56</v>
      </c>
      <c r="S232" s="37" t="s">
        <v>57</v>
      </c>
      <c r="T232" s="274" t="s">
        <v>58</v>
      </c>
      <c r="U232" s="39" t="s">
        <v>3781</v>
      </c>
      <c r="V232" s="23"/>
      <c r="W232" s="23"/>
      <c r="X232" s="71"/>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row>
    <row r="233" spans="1:135" ht="30" customHeight="1" thickBot="1" x14ac:dyDescent="0.3">
      <c r="A233" s="578" t="s">
        <v>5293</v>
      </c>
      <c r="B233" s="8">
        <v>12530</v>
      </c>
      <c r="C233" s="52" t="s">
        <v>5289</v>
      </c>
      <c r="D233" s="10" t="s">
        <v>24</v>
      </c>
      <c r="E233" s="11" t="s">
        <v>25</v>
      </c>
      <c r="F233" s="20" t="s">
        <v>5290</v>
      </c>
      <c r="G233" s="15" t="s">
        <v>5291</v>
      </c>
      <c r="H233" s="17" t="s">
        <v>29</v>
      </c>
      <c r="I233" s="18" t="s">
        <v>5292</v>
      </c>
      <c r="J233" s="18" t="s">
        <v>1112</v>
      </c>
      <c r="K233" s="23" t="s">
        <v>5294</v>
      </c>
      <c r="L233" s="25" t="str">
        <f>"RUTL-"&amp;RIGHT(K233,8)</f>
        <v>RUTL-PF2TLXDS</v>
      </c>
      <c r="M233" s="34" t="s">
        <v>40</v>
      </c>
      <c r="N233" s="39" t="s">
        <v>410</v>
      </c>
      <c r="O233" s="23"/>
      <c r="P233" s="23"/>
      <c r="Q233" s="113"/>
      <c r="R233" s="15" t="s">
        <v>235</v>
      </c>
      <c r="S233" s="23"/>
      <c r="T233" s="107" t="s">
        <v>453</v>
      </c>
      <c r="U233" s="39" t="s">
        <v>4559</v>
      </c>
      <c r="V233" s="23"/>
      <c r="W233" s="23"/>
      <c r="X233" s="71"/>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row>
    <row r="234" spans="1:135" ht="30" customHeight="1" thickBot="1" x14ac:dyDescent="0.3">
      <c r="A234" s="578" t="s">
        <v>6031</v>
      </c>
      <c r="B234" s="437">
        <v>14920</v>
      </c>
      <c r="C234" s="72" t="s">
        <v>6028</v>
      </c>
      <c r="D234" s="10" t="s">
        <v>24</v>
      </c>
      <c r="E234" s="11" t="s">
        <v>25</v>
      </c>
      <c r="F234" s="20" t="s">
        <v>6029</v>
      </c>
      <c r="G234" s="15" t="s">
        <v>6030</v>
      </c>
      <c r="H234" s="22" t="s">
        <v>197</v>
      </c>
      <c r="I234" s="18" t="s">
        <v>772</v>
      </c>
      <c r="J234" s="18" t="s">
        <v>1112</v>
      </c>
      <c r="K234" s="23" t="s">
        <v>6032</v>
      </c>
      <c r="L234" s="25" t="str">
        <f>"RUTL-"&amp;RIGHT(K234,8)</f>
        <v>RUTL-PF2TYDC2</v>
      </c>
      <c r="M234" s="34" t="s">
        <v>40</v>
      </c>
      <c r="N234" s="23" t="s">
        <v>410</v>
      </c>
      <c r="O234" s="23"/>
      <c r="P234" s="39" t="s">
        <v>90</v>
      </c>
      <c r="Q234" s="113"/>
      <c r="R234" s="15" t="s">
        <v>56</v>
      </c>
      <c r="S234" s="37" t="s">
        <v>57</v>
      </c>
      <c r="T234" s="107" t="s">
        <v>453</v>
      </c>
      <c r="U234" s="39" t="s">
        <v>3460</v>
      </c>
      <c r="V234" s="23"/>
      <c r="W234" s="23"/>
      <c r="X234" s="71"/>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row>
    <row r="235" spans="1:135" ht="30" customHeight="1" thickBot="1" x14ac:dyDescent="0.3">
      <c r="A235" s="578" t="s">
        <v>5741</v>
      </c>
      <c r="B235" s="8">
        <v>13667</v>
      </c>
      <c r="C235" s="52" t="s">
        <v>5739</v>
      </c>
      <c r="D235" s="10" t="s">
        <v>24</v>
      </c>
      <c r="E235" s="11" t="s">
        <v>25</v>
      </c>
      <c r="F235" s="20" t="s">
        <v>5740</v>
      </c>
      <c r="G235" s="15" t="s">
        <v>1476</v>
      </c>
      <c r="H235" s="147" t="s">
        <v>5048</v>
      </c>
      <c r="I235" s="18" t="s">
        <v>117</v>
      </c>
      <c r="J235" s="18" t="s">
        <v>3537</v>
      </c>
      <c r="K235" s="23" t="s">
        <v>5742</v>
      </c>
      <c r="L235" s="25" t="str">
        <f>"RUTL-"&amp;RIGHT(K235,8)</f>
        <v>RUTL-PF2TYG0G</v>
      </c>
      <c r="M235" s="34" t="s">
        <v>40</v>
      </c>
      <c r="N235" s="23"/>
      <c r="O235" s="23"/>
      <c r="P235" s="23"/>
      <c r="Q235" s="63" t="s">
        <v>5743</v>
      </c>
      <c r="R235" s="15" t="s">
        <v>56</v>
      </c>
      <c r="S235" s="37" t="s">
        <v>57</v>
      </c>
      <c r="T235" s="104" t="s">
        <v>273</v>
      </c>
      <c r="U235" s="39" t="s">
        <v>5744</v>
      </c>
      <c r="V235" s="23"/>
      <c r="W235" s="23"/>
      <c r="X235" s="71"/>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row>
    <row r="236" spans="1:135" ht="30" customHeight="1" thickBot="1" x14ac:dyDescent="0.3">
      <c r="A236" s="578" t="s">
        <v>4459</v>
      </c>
      <c r="B236" s="16">
        <v>8495</v>
      </c>
      <c r="C236" s="52" t="s">
        <v>4455</v>
      </c>
      <c r="D236" s="10" t="s">
        <v>24</v>
      </c>
      <c r="E236" s="11" t="s">
        <v>25</v>
      </c>
      <c r="F236" s="20" t="s">
        <v>4456</v>
      </c>
      <c r="G236" s="15" t="s">
        <v>3455</v>
      </c>
      <c r="H236" s="102" t="s">
        <v>287</v>
      </c>
      <c r="I236" s="18" t="s">
        <v>4457</v>
      </c>
      <c r="J236" s="18" t="s">
        <v>4458</v>
      </c>
      <c r="K236" s="33" t="s">
        <v>4460</v>
      </c>
      <c r="L236" s="25" t="str">
        <f>"RUTL-"&amp;RIGHT(K236,8)</f>
        <v>RUTL-PF2TYFY5</v>
      </c>
      <c r="M236" s="34" t="s">
        <v>40</v>
      </c>
      <c r="N236" s="23" t="s">
        <v>43</v>
      </c>
      <c r="O236" s="23"/>
      <c r="P236" s="39" t="s">
        <v>90</v>
      </c>
      <c r="Q236" s="243" t="s">
        <v>2516</v>
      </c>
      <c r="R236" s="15" t="s">
        <v>56</v>
      </c>
      <c r="S236" s="232" t="s">
        <v>296</v>
      </c>
      <c r="T236" s="107" t="s">
        <v>148</v>
      </c>
      <c r="U236" s="39" t="s">
        <v>4461</v>
      </c>
      <c r="V236" s="23"/>
      <c r="W236" s="23"/>
      <c r="X236" s="71"/>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row>
    <row r="237" spans="1:135" ht="30" customHeight="1" thickBot="1" x14ac:dyDescent="0.3">
      <c r="A237" s="578" t="s">
        <v>4957</v>
      </c>
      <c r="B237" s="120">
        <v>11172</v>
      </c>
      <c r="C237" s="52" t="s">
        <v>4955</v>
      </c>
      <c r="D237" s="10" t="s">
        <v>24</v>
      </c>
      <c r="E237" s="10" t="s">
        <v>25</v>
      </c>
      <c r="F237" s="162" t="s">
        <v>4956</v>
      </c>
      <c r="G237" s="15" t="s">
        <v>1622</v>
      </c>
      <c r="H237" s="119" t="s">
        <v>960</v>
      </c>
      <c r="I237" s="18" t="s">
        <v>1778</v>
      </c>
      <c r="J237" s="18" t="s">
        <v>1112</v>
      </c>
      <c r="K237" s="124" t="s">
        <v>4958</v>
      </c>
      <c r="L237" s="25" t="str">
        <f>"RUTL-"&amp;RIGHT(K237,8)</f>
        <v>RUTL-PF2VSVTT</v>
      </c>
      <c r="M237" s="129" t="s">
        <v>40</v>
      </c>
      <c r="N237" s="14" t="s">
        <v>43</v>
      </c>
      <c r="O237" s="14"/>
      <c r="P237" s="39" t="s">
        <v>90</v>
      </c>
      <c r="Q237" s="14"/>
      <c r="R237" s="121" t="s">
        <v>56</v>
      </c>
      <c r="S237" s="37" t="s">
        <v>57</v>
      </c>
      <c r="T237" s="153" t="s">
        <v>453</v>
      </c>
      <c r="U237" s="39" t="s">
        <v>4959</v>
      </c>
      <c r="V237" s="14"/>
      <c r="W237" s="14"/>
      <c r="X237" s="71"/>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row>
    <row r="238" spans="1:135" ht="30" customHeight="1" thickBot="1" x14ac:dyDescent="0.3">
      <c r="A238" s="578" t="s">
        <v>3538</v>
      </c>
      <c r="B238" s="8">
        <v>4302</v>
      </c>
      <c r="C238" s="72" t="s">
        <v>3534</v>
      </c>
      <c r="D238" s="15" t="s">
        <v>24</v>
      </c>
      <c r="E238" s="11" t="s">
        <v>25</v>
      </c>
      <c r="F238" s="20" t="s">
        <v>3535</v>
      </c>
      <c r="G238" s="15" t="s">
        <v>3536</v>
      </c>
      <c r="H238" s="17" t="s">
        <v>470</v>
      </c>
      <c r="I238" s="18" t="s">
        <v>772</v>
      </c>
      <c r="J238" s="18" t="s">
        <v>3537</v>
      </c>
      <c r="K238" s="33" t="s">
        <v>3539</v>
      </c>
      <c r="L238" s="25" t="str">
        <f>"RUTL-"&amp;RIGHT(K238,8)</f>
        <v>RUTL-PF2TLN0D</v>
      </c>
      <c r="M238" s="34" t="s">
        <v>40</v>
      </c>
      <c r="N238" s="39" t="s">
        <v>87</v>
      </c>
      <c r="O238" s="23"/>
      <c r="P238" s="39" t="s">
        <v>90</v>
      </c>
      <c r="Q238" s="113"/>
      <c r="R238" s="15" t="s">
        <v>235</v>
      </c>
      <c r="S238" s="37" t="s">
        <v>57</v>
      </c>
      <c r="T238" s="107" t="s">
        <v>3540</v>
      </c>
      <c r="U238" s="39" t="s">
        <v>2370</v>
      </c>
      <c r="V238" s="23"/>
      <c r="W238" s="23"/>
      <c r="X238" s="71"/>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row>
    <row r="239" spans="1:135" ht="30" customHeight="1" thickBot="1" x14ac:dyDescent="0.3">
      <c r="A239" s="578" t="s">
        <v>1780</v>
      </c>
      <c r="B239" s="120" t="s">
        <v>1773</v>
      </c>
      <c r="C239" s="72" t="s">
        <v>1774</v>
      </c>
      <c r="D239" s="10" t="s">
        <v>24</v>
      </c>
      <c r="E239" s="122" t="s">
        <v>25</v>
      </c>
      <c r="F239" s="20" t="s">
        <v>1775</v>
      </c>
      <c r="G239" s="15" t="s">
        <v>1776</v>
      </c>
      <c r="H239" s="17" t="s">
        <v>1777</v>
      </c>
      <c r="I239" s="18" t="s">
        <v>1778</v>
      </c>
      <c r="J239" s="18" t="s">
        <v>1112</v>
      </c>
      <c r="K239" s="124" t="s">
        <v>1781</v>
      </c>
      <c r="L239" s="127" t="str">
        <f>"RUTL-"&amp;RIGHT(K239,8)</f>
        <v>RUTL-PF2TM25Q</v>
      </c>
      <c r="M239" s="129" t="s">
        <v>40</v>
      </c>
      <c r="N239" s="185" t="s">
        <v>87</v>
      </c>
      <c r="O239" s="262" t="s">
        <v>1783</v>
      </c>
      <c r="P239" s="124"/>
      <c r="Q239" s="124"/>
      <c r="R239" s="121" t="s">
        <v>56</v>
      </c>
      <c r="S239" s="37" t="s">
        <v>57</v>
      </c>
      <c r="T239" s="124" t="s">
        <v>1785</v>
      </c>
      <c r="U239" s="279" t="s">
        <v>1786</v>
      </c>
      <c r="V239" s="124"/>
      <c r="W239" s="124"/>
      <c r="X239" s="71"/>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row>
    <row r="240" spans="1:135" ht="30" customHeight="1" thickBot="1" x14ac:dyDescent="0.3">
      <c r="A240" s="578" t="s">
        <v>5391</v>
      </c>
      <c r="B240" s="8">
        <v>12721</v>
      </c>
      <c r="C240" s="72" t="s">
        <v>5388</v>
      </c>
      <c r="D240" s="10" t="s">
        <v>5389</v>
      </c>
      <c r="E240" s="11" t="s">
        <v>25</v>
      </c>
      <c r="F240" s="20" t="s">
        <v>5390</v>
      </c>
      <c r="G240" s="15" t="s">
        <v>904</v>
      </c>
      <c r="H240" s="119" t="s">
        <v>852</v>
      </c>
      <c r="I240" s="18" t="s">
        <v>772</v>
      </c>
      <c r="J240" s="18" t="s">
        <v>1112</v>
      </c>
      <c r="K240" s="23" t="s">
        <v>5392</v>
      </c>
      <c r="L240" s="25" t="str">
        <f>"RUTL-"&amp;RIGHT(K240,8)</f>
        <v>RUTL-PF2TYCQG</v>
      </c>
      <c r="M240" s="34" t="s">
        <v>40</v>
      </c>
      <c r="N240" s="39" t="s">
        <v>990</v>
      </c>
      <c r="O240" s="39" t="s">
        <v>5393</v>
      </c>
      <c r="P240" s="39" t="s">
        <v>90</v>
      </c>
      <c r="Q240" s="63" t="s">
        <v>146</v>
      </c>
      <c r="R240" s="15" t="s">
        <v>56</v>
      </c>
      <c r="S240" s="37" t="s">
        <v>57</v>
      </c>
      <c r="T240" s="107" t="s">
        <v>148</v>
      </c>
      <c r="U240" s="39" t="s">
        <v>5394</v>
      </c>
      <c r="V240" s="23"/>
      <c r="W240" s="23"/>
      <c r="X240" s="71"/>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row>
    <row r="241" spans="1:135" ht="30" customHeight="1" thickBot="1" x14ac:dyDescent="0.3">
      <c r="A241" s="578" t="s">
        <v>7640</v>
      </c>
      <c r="B241" s="51" t="s">
        <v>7636</v>
      </c>
      <c r="C241" s="72" t="s">
        <v>7637</v>
      </c>
      <c r="D241" s="10" t="s">
        <v>24</v>
      </c>
      <c r="E241" s="11" t="s">
        <v>25</v>
      </c>
      <c r="F241" s="20" t="s">
        <v>7638</v>
      </c>
      <c r="G241" s="15" t="s">
        <v>7639</v>
      </c>
      <c r="H241" s="17" t="s">
        <v>1154</v>
      </c>
      <c r="I241" s="18" t="s">
        <v>1778</v>
      </c>
      <c r="J241" s="18" t="s">
        <v>1112</v>
      </c>
      <c r="K241" s="124" t="s">
        <v>7641</v>
      </c>
      <c r="L241" s="127" t="str">
        <f>"RUTL-"&amp;RIGHT(K241,8)</f>
        <v>RUTL-PF2VTMA0</v>
      </c>
      <c r="M241" s="144" t="s">
        <v>40</v>
      </c>
      <c r="N241" s="39" t="s">
        <v>87</v>
      </c>
      <c r="O241" s="23"/>
      <c r="P241" s="39" t="s">
        <v>90</v>
      </c>
      <c r="Q241" s="39" t="s">
        <v>7642</v>
      </c>
      <c r="R241" s="121" t="s">
        <v>56</v>
      </c>
      <c r="S241" s="40" t="s">
        <v>57</v>
      </c>
      <c r="T241" s="105" t="s">
        <v>148</v>
      </c>
      <c r="U241" s="47" t="s">
        <v>7643</v>
      </c>
      <c r="V241" s="23"/>
      <c r="W241" s="23"/>
      <c r="X241" s="71"/>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row>
    <row r="242" spans="1:135" ht="30" customHeight="1" thickBot="1" x14ac:dyDescent="0.35">
      <c r="A242" s="578" t="s">
        <v>1855</v>
      </c>
      <c r="B242" s="90" t="s">
        <v>1849</v>
      </c>
      <c r="C242" s="90" t="s">
        <v>1849</v>
      </c>
      <c r="D242" s="463" t="s">
        <v>1851</v>
      </c>
      <c r="E242" s="266" t="s">
        <v>25</v>
      </c>
      <c r="F242" s="12" t="s">
        <v>1852</v>
      </c>
      <c r="G242" s="15" t="s">
        <v>1853</v>
      </c>
      <c r="H242" s="267" t="s">
        <v>1646</v>
      </c>
      <c r="I242" s="24" t="s">
        <v>185</v>
      </c>
      <c r="J242" s="24" t="s">
        <v>1112</v>
      </c>
      <c r="K242" s="106" t="s">
        <v>1857</v>
      </c>
      <c r="L242" s="106" t="s">
        <v>1858</v>
      </c>
      <c r="M242" s="109"/>
      <c r="N242" s="23" t="s">
        <v>87</v>
      </c>
      <c r="O242" s="23"/>
      <c r="P242" s="110"/>
      <c r="Q242" s="39"/>
      <c r="R242" s="15" t="s">
        <v>235</v>
      </c>
      <c r="S242" s="37"/>
      <c r="T242" s="64" t="s">
        <v>1861</v>
      </c>
      <c r="U242" s="23" t="s">
        <v>1862</v>
      </c>
      <c r="V242" s="48"/>
      <c r="W242" s="23"/>
      <c r="X242" s="71"/>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row>
    <row r="243" spans="1:135" ht="30" customHeight="1" thickBot="1" x14ac:dyDescent="0.3">
      <c r="A243" s="578" t="s">
        <v>2951</v>
      </c>
      <c r="B243" s="8">
        <v>2128</v>
      </c>
      <c r="C243" s="72" t="s">
        <v>2947</v>
      </c>
      <c r="D243" s="10" t="s">
        <v>2948</v>
      </c>
      <c r="E243" s="11" t="s">
        <v>25</v>
      </c>
      <c r="F243" s="20" t="s">
        <v>2949</v>
      </c>
      <c r="G243" s="15" t="s">
        <v>2950</v>
      </c>
      <c r="H243" s="147" t="s">
        <v>434</v>
      </c>
      <c r="I243" s="18" t="s">
        <v>772</v>
      </c>
      <c r="J243" s="18" t="s">
        <v>1112</v>
      </c>
      <c r="K243" s="33" t="s">
        <v>2952</v>
      </c>
      <c r="L243" s="25" t="str">
        <f>"RUTL-"&amp;RIGHT(K243,8)</f>
        <v>RUTL-PF2TLQB1</v>
      </c>
      <c r="M243" s="34" t="s">
        <v>40</v>
      </c>
      <c r="N243" s="39" t="s">
        <v>87</v>
      </c>
      <c r="O243" s="23"/>
      <c r="P243" s="39" t="s">
        <v>90</v>
      </c>
      <c r="Q243" s="113"/>
      <c r="R243" s="15" t="s">
        <v>56</v>
      </c>
      <c r="S243" s="37" t="s">
        <v>57</v>
      </c>
      <c r="T243" s="101" t="s">
        <v>96</v>
      </c>
      <c r="U243" s="23" t="s">
        <v>1406</v>
      </c>
      <c r="V243" s="23"/>
      <c r="W243" s="23"/>
      <c r="X243" s="71"/>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row>
    <row r="244" spans="1:135" ht="30" customHeight="1" thickBot="1" x14ac:dyDescent="0.3">
      <c r="A244" s="578" t="s">
        <v>6179</v>
      </c>
      <c r="B244" s="446">
        <v>15336</v>
      </c>
      <c r="C244" s="72" t="s">
        <v>6175</v>
      </c>
      <c r="D244" s="10" t="s">
        <v>24</v>
      </c>
      <c r="E244" s="11" t="s">
        <v>25</v>
      </c>
      <c r="F244" s="20" t="s">
        <v>6176</v>
      </c>
      <c r="G244" s="15" t="s">
        <v>3556</v>
      </c>
      <c r="H244" s="17" t="s">
        <v>29</v>
      </c>
      <c r="I244" s="18" t="s">
        <v>772</v>
      </c>
      <c r="J244" s="18" t="s">
        <v>1112</v>
      </c>
      <c r="K244" s="23" t="s">
        <v>6182</v>
      </c>
      <c r="L244" s="25" t="str">
        <f>"RUTL-"&amp;RIGHT(K244,8)</f>
        <v>RUTL-PF2TYDCL</v>
      </c>
      <c r="M244" s="511" t="s">
        <v>40</v>
      </c>
      <c r="N244" s="461" t="s">
        <v>319</v>
      </c>
      <c r="O244" s="518" t="s">
        <v>6184</v>
      </c>
      <c r="P244" s="515" t="s">
        <v>90</v>
      </c>
      <c r="Q244" s="527"/>
      <c r="R244" s="461" t="s">
        <v>56</v>
      </c>
      <c r="S244" s="545" t="s">
        <v>57</v>
      </c>
      <c r="T244" s="553" t="s">
        <v>273</v>
      </c>
      <c r="U244" s="39" t="s">
        <v>911</v>
      </c>
      <c r="V244" s="564"/>
      <c r="W244" s="493"/>
    </row>
    <row r="245" spans="1:135" ht="30" customHeight="1" thickBot="1" x14ac:dyDescent="0.3">
      <c r="A245" s="578" t="s">
        <v>5673</v>
      </c>
      <c r="B245" s="8">
        <v>13497</v>
      </c>
      <c r="C245" s="72" t="s">
        <v>5671</v>
      </c>
      <c r="D245" s="10" t="s">
        <v>24</v>
      </c>
      <c r="E245" s="11" t="s">
        <v>25</v>
      </c>
      <c r="F245" s="20" t="s">
        <v>5672</v>
      </c>
      <c r="G245" s="15" t="s">
        <v>1566</v>
      </c>
      <c r="H245" s="17" t="s">
        <v>470</v>
      </c>
      <c r="I245" s="18" t="s">
        <v>772</v>
      </c>
      <c r="J245" s="18" t="s">
        <v>260</v>
      </c>
      <c r="K245" s="23" t="s">
        <v>5674</v>
      </c>
      <c r="L245" s="25" t="str">
        <f>"RUTL-"&amp;RIGHT(K245,8)</f>
        <v>RUTL-CKB0JK3</v>
      </c>
      <c r="M245" s="34" t="s">
        <v>40</v>
      </c>
      <c r="N245" s="23"/>
      <c r="O245" s="23"/>
      <c r="P245" s="72"/>
      <c r="Q245" s="100"/>
      <c r="R245" s="15" t="s">
        <v>1328</v>
      </c>
      <c r="S245" s="37" t="s">
        <v>57</v>
      </c>
      <c r="T245" s="107" t="s">
        <v>453</v>
      </c>
      <c r="U245" s="39" t="s">
        <v>3032</v>
      </c>
      <c r="V245" s="115">
        <v>44551</v>
      </c>
      <c r="W245" s="23" t="s">
        <v>275</v>
      </c>
      <c r="X245" s="71"/>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row>
    <row r="246" spans="1:135" ht="30" customHeight="1" thickBot="1" x14ac:dyDescent="0.3">
      <c r="A246" s="578" t="s">
        <v>4307</v>
      </c>
      <c r="B246" s="8">
        <v>7981</v>
      </c>
      <c r="C246" s="72" t="s">
        <v>4305</v>
      </c>
      <c r="D246" s="10" t="s">
        <v>24</v>
      </c>
      <c r="E246" s="11" t="s">
        <v>25</v>
      </c>
      <c r="F246" s="20" t="s">
        <v>4306</v>
      </c>
      <c r="G246" s="15" t="s">
        <v>3151</v>
      </c>
      <c r="H246" s="102" t="s">
        <v>3496</v>
      </c>
      <c r="I246" s="18" t="s">
        <v>117</v>
      </c>
      <c r="J246" s="18" t="s">
        <v>260</v>
      </c>
      <c r="K246" s="33" t="s">
        <v>4308</v>
      </c>
      <c r="L246" s="25" t="str">
        <f>"RUTL-"&amp;RIGHT(K246,8)</f>
        <v>RUTL-B2JZHK3</v>
      </c>
      <c r="M246" s="34" t="s">
        <v>40</v>
      </c>
      <c r="N246" s="135"/>
      <c r="O246" s="23"/>
      <c r="P246" s="23"/>
      <c r="Q246" s="113"/>
      <c r="R246" s="15" t="s">
        <v>56</v>
      </c>
      <c r="S246" s="21"/>
      <c r="T246" s="107" t="s">
        <v>148</v>
      </c>
      <c r="U246" s="39" t="s">
        <v>4309</v>
      </c>
      <c r="V246" s="115">
        <v>44551</v>
      </c>
      <c r="W246" s="23" t="s">
        <v>275</v>
      </c>
      <c r="X246" s="71"/>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row>
    <row r="247" spans="1:135" ht="30" customHeight="1" thickBot="1" x14ac:dyDescent="0.3">
      <c r="A247" s="578" t="s">
        <v>1569</v>
      </c>
      <c r="B247" s="8">
        <v>643</v>
      </c>
      <c r="C247" s="52" t="s">
        <v>1564</v>
      </c>
      <c r="D247" s="15" t="s">
        <v>24</v>
      </c>
      <c r="E247" s="11" t="s">
        <v>25</v>
      </c>
      <c r="F247" s="12" t="s">
        <v>1565</v>
      </c>
      <c r="G247" s="15" t="s">
        <v>1566</v>
      </c>
      <c r="H247" s="17" t="s">
        <v>1154</v>
      </c>
      <c r="I247" s="18" t="s">
        <v>772</v>
      </c>
      <c r="J247" s="18" t="s">
        <v>260</v>
      </c>
      <c r="K247" s="23" t="s">
        <v>1572</v>
      </c>
      <c r="L247" s="25" t="str">
        <f>"RUTL-"&amp;RIGHT(K247,8)</f>
        <v>RUTL-1K50JK3</v>
      </c>
      <c r="M247" s="34" t="s">
        <v>40</v>
      </c>
      <c r="N247" s="23"/>
      <c r="O247" s="23"/>
      <c r="P247" s="23"/>
      <c r="Q247" s="113"/>
      <c r="R247" s="15" t="s">
        <v>56</v>
      </c>
      <c r="S247" s="37" t="s">
        <v>57</v>
      </c>
      <c r="T247" s="107" t="s">
        <v>453</v>
      </c>
      <c r="U247" s="39" t="s">
        <v>1575</v>
      </c>
      <c r="V247" s="115">
        <v>44551</v>
      </c>
      <c r="W247" s="23" t="s">
        <v>275</v>
      </c>
      <c r="X247" s="71"/>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row>
    <row r="248" spans="1:135" ht="30" customHeight="1" thickBot="1" x14ac:dyDescent="0.3">
      <c r="A248" s="578" t="s">
        <v>5584</v>
      </c>
      <c r="B248" s="8">
        <v>13300</v>
      </c>
      <c r="C248" s="72" t="s">
        <v>5580</v>
      </c>
      <c r="D248" s="10" t="s">
        <v>24</v>
      </c>
      <c r="E248" s="11" t="s">
        <v>25</v>
      </c>
      <c r="F248" s="20" t="s">
        <v>5581</v>
      </c>
      <c r="G248" s="15" t="s">
        <v>3329</v>
      </c>
      <c r="H248" s="102" t="s">
        <v>5582</v>
      </c>
      <c r="I248" s="18" t="s">
        <v>5583</v>
      </c>
      <c r="J248" s="18" t="s">
        <v>260</v>
      </c>
      <c r="K248" s="23" t="s">
        <v>5585</v>
      </c>
      <c r="L248" s="25" t="str">
        <f>"RUTL-"&amp;RIGHT(K248,8)</f>
        <v>RUTL-5D51JK3</v>
      </c>
      <c r="M248" s="34" t="s">
        <v>40</v>
      </c>
      <c r="N248" s="39" t="s">
        <v>87</v>
      </c>
      <c r="O248" s="39" t="s">
        <v>5586</v>
      </c>
      <c r="P248" s="39" t="s">
        <v>90</v>
      </c>
      <c r="Q248" s="63" t="s">
        <v>146</v>
      </c>
      <c r="R248" s="15" t="s">
        <v>56</v>
      </c>
      <c r="S248" s="41" t="s">
        <v>296</v>
      </c>
      <c r="T248" s="107" t="s">
        <v>148</v>
      </c>
      <c r="U248" s="39" t="s">
        <v>5587</v>
      </c>
      <c r="V248" s="115">
        <v>44551</v>
      </c>
      <c r="W248" s="23" t="s">
        <v>275</v>
      </c>
      <c r="X248" s="71"/>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row>
    <row r="249" spans="1:135" ht="30" customHeight="1" thickBot="1" x14ac:dyDescent="0.3">
      <c r="A249" s="578" t="s">
        <v>5881</v>
      </c>
      <c r="B249" s="8">
        <v>14676</v>
      </c>
      <c r="C249" s="72" t="s">
        <v>5879</v>
      </c>
      <c r="D249" s="10" t="s">
        <v>24</v>
      </c>
      <c r="E249" s="11" t="s">
        <v>25</v>
      </c>
      <c r="F249" s="20" t="s">
        <v>5880</v>
      </c>
      <c r="G249" s="15" t="s">
        <v>4567</v>
      </c>
      <c r="H249" s="173" t="s">
        <v>81</v>
      </c>
      <c r="I249" s="18" t="s">
        <v>772</v>
      </c>
      <c r="J249" s="18" t="s">
        <v>260</v>
      </c>
      <c r="K249" s="23" t="s">
        <v>5882</v>
      </c>
      <c r="L249" s="25" t="str">
        <f>"RUTL-"&amp;RIGHT(K249,8)</f>
        <v>RUTL-2KB0JK3</v>
      </c>
      <c r="M249" s="34" t="s">
        <v>40</v>
      </c>
      <c r="N249" s="23" t="s">
        <v>54</v>
      </c>
      <c r="O249" s="23"/>
      <c r="P249" s="39" t="s">
        <v>90</v>
      </c>
      <c r="Q249" s="113"/>
      <c r="R249" s="15" t="s">
        <v>56</v>
      </c>
      <c r="S249" s="37" t="s">
        <v>57</v>
      </c>
      <c r="T249" s="107" t="s">
        <v>453</v>
      </c>
      <c r="U249" s="39" t="s">
        <v>1176</v>
      </c>
      <c r="V249" s="115">
        <v>44551</v>
      </c>
      <c r="W249" s="23" t="s">
        <v>275</v>
      </c>
      <c r="X249" s="71"/>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row>
    <row r="250" spans="1:135" ht="30" customHeight="1" thickBot="1" x14ac:dyDescent="0.3">
      <c r="A250" s="578" t="s">
        <v>263</v>
      </c>
      <c r="B250" s="8">
        <v>85</v>
      </c>
      <c r="C250" s="52" t="s">
        <v>250</v>
      </c>
      <c r="D250" s="10" t="s">
        <v>24</v>
      </c>
      <c r="E250" s="11" t="s">
        <v>25</v>
      </c>
      <c r="F250" s="20" t="s">
        <v>251</v>
      </c>
      <c r="G250" s="15" t="s">
        <v>253</v>
      </c>
      <c r="H250" s="22" t="s">
        <v>255</v>
      </c>
      <c r="I250" s="18" t="s">
        <v>257</v>
      </c>
      <c r="J250" s="18" t="s">
        <v>260</v>
      </c>
      <c r="K250" s="23" t="s">
        <v>266</v>
      </c>
      <c r="L250" s="25" t="str">
        <f>"RUTL-"&amp;RIGHT(K250,8)</f>
        <v>RUTL-5MB0JK3</v>
      </c>
      <c r="M250" s="34" t="s">
        <v>40</v>
      </c>
      <c r="N250" s="39"/>
      <c r="O250" s="23"/>
      <c r="P250" s="39" t="s">
        <v>90</v>
      </c>
      <c r="Q250" s="113"/>
      <c r="R250" s="15" t="s">
        <v>56</v>
      </c>
      <c r="S250" s="37" t="s">
        <v>57</v>
      </c>
      <c r="T250" s="114" t="s">
        <v>273</v>
      </c>
      <c r="U250" s="23" t="s">
        <v>274</v>
      </c>
      <c r="V250" s="115">
        <v>44551</v>
      </c>
      <c r="W250" s="23" t="s">
        <v>275</v>
      </c>
      <c r="X250" s="71"/>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row>
    <row r="251" spans="1:135" ht="30" customHeight="1" thickBot="1" x14ac:dyDescent="0.3">
      <c r="A251" s="578" t="s">
        <v>5345</v>
      </c>
      <c r="B251" s="8">
        <v>12657</v>
      </c>
      <c r="C251" s="72" t="s">
        <v>5341</v>
      </c>
      <c r="D251" s="10" t="s">
        <v>24</v>
      </c>
      <c r="E251" s="11" t="s">
        <v>25</v>
      </c>
      <c r="F251" s="20" t="s">
        <v>5342</v>
      </c>
      <c r="G251" s="15" t="s">
        <v>3151</v>
      </c>
      <c r="H251" s="102" t="s">
        <v>5343</v>
      </c>
      <c r="I251" s="18" t="s">
        <v>5344</v>
      </c>
      <c r="J251" s="18" t="s">
        <v>260</v>
      </c>
      <c r="K251" s="23" t="s">
        <v>5346</v>
      </c>
      <c r="L251" s="25" t="str">
        <f>"RUTL-"&amp;RIGHT(K251,8)</f>
        <v>RUTL-1NB0JK3</v>
      </c>
      <c r="M251" s="34" t="s">
        <v>40</v>
      </c>
      <c r="N251" s="375" t="s">
        <v>5347</v>
      </c>
      <c r="O251" s="23" t="s">
        <v>661</v>
      </c>
      <c r="P251" s="39" t="s">
        <v>90</v>
      </c>
      <c r="Q251" s="113"/>
      <c r="R251" s="15" t="s">
        <v>56</v>
      </c>
      <c r="S251" s="41" t="s">
        <v>296</v>
      </c>
      <c r="T251" s="108" t="s">
        <v>273</v>
      </c>
      <c r="U251" s="39" t="s">
        <v>4559</v>
      </c>
      <c r="V251" s="115">
        <v>44551</v>
      </c>
      <c r="W251" s="23" t="s">
        <v>275</v>
      </c>
      <c r="X251" s="71"/>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row>
    <row r="252" spans="1:135" ht="30" customHeight="1" thickBot="1" x14ac:dyDescent="0.3">
      <c r="A252" s="578" t="s">
        <v>3960</v>
      </c>
      <c r="B252" s="16">
        <v>6626</v>
      </c>
      <c r="C252" s="72" t="s">
        <v>3958</v>
      </c>
      <c r="D252" s="10" t="s">
        <v>24</v>
      </c>
      <c r="E252" s="11" t="s">
        <v>25</v>
      </c>
      <c r="F252" s="29" t="s">
        <v>3959</v>
      </c>
      <c r="G252" s="15" t="s">
        <v>2506</v>
      </c>
      <c r="H252" s="31" t="s">
        <v>3147</v>
      </c>
      <c r="I252" s="18" t="s">
        <v>772</v>
      </c>
      <c r="J252" s="18" t="s">
        <v>260</v>
      </c>
      <c r="K252" s="33" t="s">
        <v>3961</v>
      </c>
      <c r="L252" s="25" t="str">
        <f>"RUTL-"&amp;RIGHT(K252,8)</f>
        <v>RUTL-FF50JK3</v>
      </c>
      <c r="M252" s="34" t="s">
        <v>40</v>
      </c>
      <c r="N252" s="357" t="s">
        <v>3962</v>
      </c>
      <c r="O252" s="78"/>
      <c r="P252" s="78"/>
      <c r="Q252" s="100"/>
      <c r="R252" s="15" t="s">
        <v>56</v>
      </c>
      <c r="S252" s="292" t="s">
        <v>57</v>
      </c>
      <c r="T252" s="68" t="s">
        <v>453</v>
      </c>
      <c r="U252" s="39" t="s">
        <v>1575</v>
      </c>
      <c r="V252" s="44">
        <v>44551</v>
      </c>
      <c r="W252" s="58" t="s">
        <v>3963</v>
      </c>
      <c r="X252" s="71"/>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row>
    <row r="253" spans="1:135" ht="30" customHeight="1" thickBot="1" x14ac:dyDescent="0.3">
      <c r="A253" s="578" t="s">
        <v>3815</v>
      </c>
      <c r="B253" s="8">
        <v>5896</v>
      </c>
      <c r="C253" s="72" t="s">
        <v>3812</v>
      </c>
      <c r="D253" s="10" t="s">
        <v>24</v>
      </c>
      <c r="E253" s="11" t="s">
        <v>25</v>
      </c>
      <c r="F253" s="20" t="s">
        <v>3813</v>
      </c>
      <c r="G253" s="15" t="s">
        <v>3329</v>
      </c>
      <c r="H253" s="102" t="s">
        <v>3496</v>
      </c>
      <c r="I253" s="18" t="s">
        <v>3814</v>
      </c>
      <c r="J253" s="18" t="s">
        <v>260</v>
      </c>
      <c r="K253" s="33" t="s">
        <v>3816</v>
      </c>
      <c r="L253" s="25" t="str">
        <f>"RUTL-"&amp;RIGHT(K253,8)</f>
        <v>RUTL-8C51JK3</v>
      </c>
      <c r="M253" s="34" t="s">
        <v>40</v>
      </c>
      <c r="N253" s="175"/>
      <c r="O253" s="175"/>
      <c r="P253" s="175"/>
      <c r="Q253" s="254"/>
      <c r="R253" s="15" t="s">
        <v>235</v>
      </c>
      <c r="S253" s="23" t="s">
        <v>296</v>
      </c>
      <c r="T253" s="101" t="s">
        <v>96</v>
      </c>
      <c r="U253" s="23" t="s">
        <v>3817</v>
      </c>
      <c r="V253" s="115">
        <v>44551</v>
      </c>
      <c r="W253" s="23" t="s">
        <v>275</v>
      </c>
      <c r="X253" s="71"/>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row>
    <row r="254" spans="1:135" ht="30" customHeight="1" thickBot="1" x14ac:dyDescent="0.3">
      <c r="A254" s="578" t="s">
        <v>4841</v>
      </c>
      <c r="B254" s="16">
        <v>10680</v>
      </c>
      <c r="C254" s="9" t="s">
        <v>4839</v>
      </c>
      <c r="D254" s="10" t="s">
        <v>24</v>
      </c>
      <c r="E254" s="10" t="s">
        <v>25</v>
      </c>
      <c r="F254" s="20" t="s">
        <v>4840</v>
      </c>
      <c r="G254" s="15" t="s">
        <v>3151</v>
      </c>
      <c r="H254" s="102" t="s">
        <v>3153</v>
      </c>
      <c r="I254" s="18" t="s">
        <v>772</v>
      </c>
      <c r="J254" s="18" t="s">
        <v>260</v>
      </c>
      <c r="K254" s="23" t="s">
        <v>4842</v>
      </c>
      <c r="L254" s="25" t="str">
        <f>"RUTL-"&amp;RIGHT(K254,8)</f>
        <v>RUTL-7L50JK3</v>
      </c>
      <c r="M254" s="34" t="s">
        <v>40</v>
      </c>
      <c r="N254" s="23" t="s">
        <v>43</v>
      </c>
      <c r="O254" s="23"/>
      <c r="P254" s="23"/>
      <c r="Q254" s="113"/>
      <c r="R254" s="15" t="s">
        <v>56</v>
      </c>
      <c r="S254" s="41" t="s">
        <v>296</v>
      </c>
      <c r="T254" s="101" t="s">
        <v>4605</v>
      </c>
      <c r="U254" s="39" t="s">
        <v>4559</v>
      </c>
      <c r="V254" s="115">
        <v>44551</v>
      </c>
      <c r="W254" s="23" t="s">
        <v>275</v>
      </c>
      <c r="X254" s="71"/>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row>
    <row r="255" spans="1:135" ht="30" customHeight="1" thickBot="1" x14ac:dyDescent="0.3">
      <c r="A255" s="578" t="s">
        <v>2508</v>
      </c>
      <c r="B255" s="8">
        <v>1347</v>
      </c>
      <c r="C255" s="72" t="s">
        <v>2503</v>
      </c>
      <c r="D255" s="15" t="s">
        <v>2504</v>
      </c>
      <c r="E255" s="11" t="s">
        <v>25</v>
      </c>
      <c r="F255" s="20" t="s">
        <v>2505</v>
      </c>
      <c r="G255" s="15" t="s">
        <v>2506</v>
      </c>
      <c r="H255" s="156" t="s">
        <v>2507</v>
      </c>
      <c r="I255" s="18" t="s">
        <v>794</v>
      </c>
      <c r="J255" s="18" t="s">
        <v>260</v>
      </c>
      <c r="K255" s="23" t="s">
        <v>2510</v>
      </c>
      <c r="L255" s="25" t="str">
        <f>"RUTL-"&amp;RIGHT(K255,8)</f>
        <v>RUTL-CH50JK3</v>
      </c>
      <c r="M255" s="34" t="s">
        <v>40</v>
      </c>
      <c r="N255" s="39" t="s">
        <v>410</v>
      </c>
      <c r="O255" s="23"/>
      <c r="P255" s="39" t="s">
        <v>90</v>
      </c>
      <c r="Q255" s="113"/>
      <c r="R255" s="15" t="s">
        <v>56</v>
      </c>
      <c r="S255" s="37" t="s">
        <v>57</v>
      </c>
      <c r="T255" s="108" t="s">
        <v>273</v>
      </c>
      <c r="U255" s="39" t="s">
        <v>2405</v>
      </c>
      <c r="V255" s="23">
        <v>44551</v>
      </c>
      <c r="W255" s="23" t="s">
        <v>275</v>
      </c>
      <c r="X255" s="71"/>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row>
    <row r="256" spans="1:135" ht="30" customHeight="1" thickBot="1" x14ac:dyDescent="0.3">
      <c r="A256" s="578" t="s">
        <v>2183</v>
      </c>
      <c r="B256" s="8">
        <v>909</v>
      </c>
      <c r="C256" s="52" t="s">
        <v>2179</v>
      </c>
      <c r="D256" s="15" t="s">
        <v>24</v>
      </c>
      <c r="E256" s="11" t="s">
        <v>25</v>
      </c>
      <c r="F256" s="20" t="s">
        <v>2180</v>
      </c>
      <c r="G256" s="15" t="s">
        <v>285</v>
      </c>
      <c r="H256" s="313" t="s">
        <v>2182</v>
      </c>
      <c r="I256" s="18" t="s">
        <v>772</v>
      </c>
      <c r="J256" s="18" t="s">
        <v>260</v>
      </c>
      <c r="K256" s="23" t="s">
        <v>2185</v>
      </c>
      <c r="L256" s="25" t="str">
        <f>"RUTL-"&amp;RIGHT(K256,8)</f>
        <v>RUTL-CG50JK3</v>
      </c>
      <c r="M256" s="34" t="s">
        <v>40</v>
      </c>
      <c r="N256" s="23" t="s">
        <v>43</v>
      </c>
      <c r="O256" s="23" t="s">
        <v>661</v>
      </c>
      <c r="P256" s="39" t="s">
        <v>90</v>
      </c>
      <c r="Q256" s="113"/>
      <c r="R256" s="15" t="s">
        <v>56</v>
      </c>
      <c r="S256" s="37" t="s">
        <v>57</v>
      </c>
      <c r="T256" s="105" t="s">
        <v>148</v>
      </c>
      <c r="U256" s="39" t="s">
        <v>2187</v>
      </c>
      <c r="V256" s="115">
        <v>44551</v>
      </c>
      <c r="W256" s="23" t="s">
        <v>275</v>
      </c>
      <c r="X256" s="71"/>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row>
    <row r="257" spans="1:135" ht="30" customHeight="1" thickBot="1" x14ac:dyDescent="0.3">
      <c r="A257" s="578" t="s">
        <v>3035</v>
      </c>
      <c r="B257" s="8">
        <v>2501</v>
      </c>
      <c r="C257" s="72" t="s">
        <v>3033</v>
      </c>
      <c r="D257" s="10" t="s">
        <v>24</v>
      </c>
      <c r="E257" s="11" t="s">
        <v>25</v>
      </c>
      <c r="F257" s="12" t="s">
        <v>3034</v>
      </c>
      <c r="G257" s="15" t="s">
        <v>1183</v>
      </c>
      <c r="H257" s="119" t="s">
        <v>1071</v>
      </c>
      <c r="I257" s="18" t="s">
        <v>772</v>
      </c>
      <c r="J257" s="18" t="s">
        <v>260</v>
      </c>
      <c r="K257" s="33" t="s">
        <v>3036</v>
      </c>
      <c r="L257" s="25" t="str">
        <f>"RUTL-"&amp;RIGHT(K257,8)</f>
        <v>RUTL-9C50JK3</v>
      </c>
      <c r="M257" s="34" t="s">
        <v>40</v>
      </c>
      <c r="N257" s="23" t="s">
        <v>1018</v>
      </c>
      <c r="O257" s="23"/>
      <c r="P257" s="39" t="s">
        <v>90</v>
      </c>
      <c r="Q257" s="113"/>
      <c r="R257" s="15" t="s">
        <v>56</v>
      </c>
      <c r="S257" s="232" t="s">
        <v>296</v>
      </c>
      <c r="T257" s="105" t="s">
        <v>148</v>
      </c>
      <c r="U257" s="39" t="s">
        <v>3037</v>
      </c>
      <c r="V257" s="115">
        <v>44551</v>
      </c>
      <c r="W257" s="23" t="s">
        <v>275</v>
      </c>
      <c r="X257" s="71"/>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row>
    <row r="258" spans="1:135" ht="30" customHeight="1" thickBot="1" x14ac:dyDescent="0.3">
      <c r="A258" s="578" t="s">
        <v>5789</v>
      </c>
      <c r="B258" s="8">
        <v>13865</v>
      </c>
      <c r="C258" s="72" t="s">
        <v>5788</v>
      </c>
      <c r="D258" s="10" t="s">
        <v>24</v>
      </c>
      <c r="E258" s="11" t="s">
        <v>25</v>
      </c>
      <c r="F258" s="20"/>
      <c r="G258" s="15" t="s">
        <v>2506</v>
      </c>
      <c r="H258" s="104" t="s">
        <v>3896</v>
      </c>
      <c r="I258" s="18" t="s">
        <v>772</v>
      </c>
      <c r="J258" s="18" t="s">
        <v>260</v>
      </c>
      <c r="K258" s="23" t="s">
        <v>5790</v>
      </c>
      <c r="L258" s="25" t="str">
        <f>"RUTL-"&amp;RIGHT(K258,8)</f>
        <v>RUTL-DK50JK3</v>
      </c>
      <c r="M258" s="34" t="s">
        <v>40</v>
      </c>
      <c r="N258" s="23" t="s">
        <v>43</v>
      </c>
      <c r="O258" s="23"/>
      <c r="P258" s="39" t="s">
        <v>90</v>
      </c>
      <c r="Q258" s="113"/>
      <c r="R258" s="15" t="s">
        <v>56</v>
      </c>
      <c r="S258" s="37" t="s">
        <v>57</v>
      </c>
      <c r="T258" s="108" t="s">
        <v>273</v>
      </c>
      <c r="U258" s="23" t="s">
        <v>274</v>
      </c>
      <c r="V258" s="115">
        <v>44551</v>
      </c>
      <c r="W258" s="23" t="s">
        <v>275</v>
      </c>
      <c r="X258" s="71"/>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row>
    <row r="259" spans="1:135" ht="30" customHeight="1" thickBot="1" x14ac:dyDescent="0.3">
      <c r="A259" s="578" t="s">
        <v>3240</v>
      </c>
      <c r="B259" s="8">
        <v>3275</v>
      </c>
      <c r="C259" s="72" t="s">
        <v>3237</v>
      </c>
      <c r="D259" s="15" t="s">
        <v>24</v>
      </c>
      <c r="E259" s="11" t="s">
        <v>25</v>
      </c>
      <c r="F259" s="20" t="s">
        <v>3238</v>
      </c>
      <c r="G259" s="15" t="s">
        <v>1043</v>
      </c>
      <c r="H259" s="53" t="s">
        <v>609</v>
      </c>
      <c r="I259" s="18" t="s">
        <v>350</v>
      </c>
      <c r="J259" s="18" t="s">
        <v>3239</v>
      </c>
      <c r="K259" s="33" t="s">
        <v>3241</v>
      </c>
      <c r="L259" s="25" t="str">
        <f>"RUTL-"&amp;RIGHT(K259,8)</f>
        <v>RUTL-C14481GQ</v>
      </c>
      <c r="M259" s="34" t="s">
        <v>40</v>
      </c>
      <c r="N259" s="23"/>
      <c r="O259" s="23"/>
      <c r="P259" s="39" t="s">
        <v>90</v>
      </c>
      <c r="Q259" s="113"/>
      <c r="R259" s="15" t="s">
        <v>56</v>
      </c>
      <c r="S259" s="37" t="s">
        <v>57</v>
      </c>
      <c r="T259" s="23" t="s">
        <v>2960</v>
      </c>
      <c r="U259" s="39" t="s">
        <v>3242</v>
      </c>
      <c r="V259" s="23"/>
      <c r="W259" s="23"/>
      <c r="X259" s="71"/>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row>
    <row r="260" spans="1:135" ht="30" customHeight="1" thickBot="1" x14ac:dyDescent="0.3">
      <c r="A260" s="578" t="s">
        <v>4522</v>
      </c>
      <c r="B260" s="16">
        <v>9003</v>
      </c>
      <c r="C260" s="72" t="s">
        <v>4518</v>
      </c>
      <c r="D260" s="10" t="s">
        <v>24</v>
      </c>
      <c r="E260" s="11" t="s">
        <v>25</v>
      </c>
      <c r="F260" s="20" t="s">
        <v>4519</v>
      </c>
      <c r="G260" s="15" t="s">
        <v>4520</v>
      </c>
      <c r="H260" s="53" t="s">
        <v>609</v>
      </c>
      <c r="I260" s="18" t="s">
        <v>350</v>
      </c>
      <c r="J260" s="18" t="s">
        <v>4521</v>
      </c>
      <c r="K260" s="33" t="s">
        <v>4523</v>
      </c>
      <c r="L260" s="25" t="str">
        <f>"RUTL-"&amp;RIGHT(K260,8)</f>
        <v>RUTL-C14481GG</v>
      </c>
      <c r="M260" s="34" t="s">
        <v>40</v>
      </c>
      <c r="N260" s="39" t="s">
        <v>3652</v>
      </c>
      <c r="O260" s="39" t="s">
        <v>1442</v>
      </c>
      <c r="P260" s="39" t="s">
        <v>90</v>
      </c>
      <c r="Q260" s="63" t="s">
        <v>4524</v>
      </c>
      <c r="R260" s="15" t="s">
        <v>56</v>
      </c>
      <c r="S260" s="37" t="s">
        <v>57</v>
      </c>
      <c r="T260" s="108" t="s">
        <v>273</v>
      </c>
      <c r="U260" s="39" t="s">
        <v>1201</v>
      </c>
      <c r="V260" s="23"/>
      <c r="W260" s="23" t="s">
        <v>441</v>
      </c>
      <c r="X260" s="71"/>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row>
    <row r="261" spans="1:135" ht="30" customHeight="1" thickBot="1" x14ac:dyDescent="0.3">
      <c r="A261" s="578" t="s">
        <v>1576</v>
      </c>
      <c r="B261" s="8">
        <v>7388</v>
      </c>
      <c r="C261" s="72" t="s">
        <v>1567</v>
      </c>
      <c r="D261" s="10" t="s">
        <v>24</v>
      </c>
      <c r="E261" s="11" t="s">
        <v>25</v>
      </c>
      <c r="F261" s="20" t="s">
        <v>1570</v>
      </c>
      <c r="G261" s="15" t="s">
        <v>1571</v>
      </c>
      <c r="H261" s="156" t="s">
        <v>1573</v>
      </c>
      <c r="I261" s="18" t="s">
        <v>48</v>
      </c>
      <c r="J261" s="18" t="s">
        <v>1574</v>
      </c>
      <c r="K261" s="33" t="s">
        <v>1577</v>
      </c>
      <c r="L261" s="25" t="str">
        <f>"RUTL-"&amp;RIGHT(K261,8)</f>
        <v>RUTL-B3RHDF2</v>
      </c>
      <c r="M261" s="34" t="s">
        <v>40</v>
      </c>
      <c r="N261" s="23"/>
      <c r="O261" s="23"/>
      <c r="P261" s="23"/>
      <c r="Q261" s="243" t="s">
        <v>1578</v>
      </c>
      <c r="R261" s="15" t="s">
        <v>235</v>
      </c>
      <c r="S261" s="23"/>
      <c r="T261" s="53" t="s">
        <v>1581</v>
      </c>
      <c r="U261" s="39" t="s">
        <v>1583</v>
      </c>
      <c r="V261" s="115">
        <v>44551</v>
      </c>
      <c r="W261" s="23" t="s">
        <v>1585</v>
      </c>
      <c r="X261" s="71"/>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row>
    <row r="262" spans="1:135" ht="30" customHeight="1" thickBot="1" x14ac:dyDescent="0.3">
      <c r="A262" s="578" t="s">
        <v>5752</v>
      </c>
      <c r="B262" s="8">
        <v>13688</v>
      </c>
      <c r="C262" s="72" t="s">
        <v>5750</v>
      </c>
      <c r="D262" s="10" t="s">
        <v>24</v>
      </c>
      <c r="E262" s="11" t="s">
        <v>25</v>
      </c>
      <c r="F262" s="20" t="s">
        <v>5751</v>
      </c>
      <c r="G262" s="15" t="s">
        <v>4991</v>
      </c>
      <c r="H262" s="156" t="s">
        <v>1573</v>
      </c>
      <c r="I262" s="18" t="s">
        <v>48</v>
      </c>
      <c r="J262" s="18" t="s">
        <v>1574</v>
      </c>
      <c r="K262" s="23" t="s">
        <v>5753</v>
      </c>
      <c r="L262" s="25" t="str">
        <f>"RUTL-"&amp;RIGHT(K262,8)</f>
        <v>RUTL-GJ4HDF2</v>
      </c>
      <c r="M262" s="34" t="s">
        <v>40</v>
      </c>
      <c r="N262" s="23"/>
      <c r="O262" s="23"/>
      <c r="P262" s="39" t="s">
        <v>90</v>
      </c>
      <c r="Q262" s="63" t="s">
        <v>5754</v>
      </c>
      <c r="R262" s="15" t="s">
        <v>235</v>
      </c>
      <c r="S262" s="37" t="s">
        <v>57</v>
      </c>
      <c r="T262" s="107" t="s">
        <v>453</v>
      </c>
      <c r="U262" s="39" t="s">
        <v>5726</v>
      </c>
      <c r="V262" s="115">
        <v>44551</v>
      </c>
      <c r="W262" s="23" t="s">
        <v>1585</v>
      </c>
      <c r="X262" s="71"/>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row>
    <row r="263" spans="1:135" ht="30" customHeight="1" thickBot="1" x14ac:dyDescent="0.3">
      <c r="A263" s="578" t="s">
        <v>3444</v>
      </c>
      <c r="B263" s="75">
        <v>3951</v>
      </c>
      <c r="C263" s="9" t="s">
        <v>3441</v>
      </c>
      <c r="D263" s="10" t="s">
        <v>24</v>
      </c>
      <c r="E263" s="11" t="s">
        <v>25</v>
      </c>
      <c r="F263" s="20" t="s">
        <v>3442</v>
      </c>
      <c r="G263" s="15" t="s">
        <v>3443</v>
      </c>
      <c r="H263" s="53" t="s">
        <v>1319</v>
      </c>
      <c r="I263" s="18" t="s">
        <v>48</v>
      </c>
      <c r="J263" s="18" t="s">
        <v>1574</v>
      </c>
      <c r="K263" s="23" t="s">
        <v>3445</v>
      </c>
      <c r="L263" s="21" t="str">
        <f>"RUTL-"&amp;RIGHT(K263,8)</f>
        <v>RUTL-J2RHDF2</v>
      </c>
      <c r="M263" s="34" t="s">
        <v>40</v>
      </c>
      <c r="N263" s="34" t="s">
        <v>664</v>
      </c>
      <c r="O263" s="23"/>
      <c r="P263" s="39" t="s">
        <v>90</v>
      </c>
      <c r="Q263" s="63" t="s">
        <v>3446</v>
      </c>
      <c r="R263" s="15" t="s">
        <v>56</v>
      </c>
      <c r="S263" s="37" t="s">
        <v>57</v>
      </c>
      <c r="T263" s="105" t="s">
        <v>148</v>
      </c>
      <c r="U263" s="39" t="s">
        <v>3447</v>
      </c>
      <c r="V263" s="115">
        <v>44551</v>
      </c>
      <c r="W263" s="23" t="s">
        <v>1585</v>
      </c>
      <c r="X263" s="71"/>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row>
    <row r="264" spans="1:135" ht="30" customHeight="1" thickBot="1" x14ac:dyDescent="0.3">
      <c r="A264" s="578" t="s">
        <v>6453</v>
      </c>
      <c r="B264" s="16">
        <v>15952</v>
      </c>
      <c r="C264" s="69" t="s">
        <v>6451</v>
      </c>
      <c r="D264" s="10" t="s">
        <v>24</v>
      </c>
      <c r="E264" s="11" t="s">
        <v>25</v>
      </c>
      <c r="F264" s="20" t="s">
        <v>6452</v>
      </c>
      <c r="G264" s="15" t="s">
        <v>4404</v>
      </c>
      <c r="H264" s="156" t="s">
        <v>1573</v>
      </c>
      <c r="I264" s="18" t="s">
        <v>48</v>
      </c>
      <c r="J264" s="18" t="s">
        <v>1574</v>
      </c>
      <c r="K264" s="32" t="s">
        <v>6454</v>
      </c>
      <c r="L264" s="25" t="str">
        <f>"RUTL-"&amp;RIGHT(K264,8)</f>
        <v>RUTL-7M4HDF2</v>
      </c>
      <c r="M264" s="34" t="s">
        <v>40</v>
      </c>
      <c r="N264" s="39" t="s">
        <v>410</v>
      </c>
      <c r="O264" s="23"/>
      <c r="P264" s="39" t="s">
        <v>90</v>
      </c>
      <c r="Q264" s="63" t="s">
        <v>6455</v>
      </c>
      <c r="R264" s="15" t="s">
        <v>56</v>
      </c>
      <c r="S264" s="37" t="s">
        <v>57</v>
      </c>
      <c r="T264" s="101" t="s">
        <v>96</v>
      </c>
      <c r="U264" s="39" t="s">
        <v>6456</v>
      </c>
      <c r="V264" s="48">
        <v>44551</v>
      </c>
      <c r="W264" s="23" t="s">
        <v>1585</v>
      </c>
      <c r="X264" s="71"/>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row>
    <row r="265" spans="1:135" ht="30" customHeight="1" thickBot="1" x14ac:dyDescent="0.3">
      <c r="A265" s="578" t="s">
        <v>7154</v>
      </c>
      <c r="B265" s="16">
        <v>17672</v>
      </c>
      <c r="C265" s="72" t="s">
        <v>7152</v>
      </c>
      <c r="D265" s="10" t="s">
        <v>24</v>
      </c>
      <c r="E265" s="11" t="s">
        <v>25</v>
      </c>
      <c r="F265" s="20" t="s">
        <v>7153</v>
      </c>
      <c r="G265" s="15" t="s">
        <v>3227</v>
      </c>
      <c r="H265" s="156" t="s">
        <v>504</v>
      </c>
      <c r="I265" s="18" t="s">
        <v>48</v>
      </c>
      <c r="J265" s="18" t="s">
        <v>1574</v>
      </c>
      <c r="K265" s="33" t="s">
        <v>7155</v>
      </c>
      <c r="L265" s="25" t="str">
        <f>"RUTL-"&amp;RIGHT(K265,8)</f>
        <v>RUTL-8M4HDF2</v>
      </c>
      <c r="M265" s="34" t="s">
        <v>40</v>
      </c>
      <c r="N265" s="39" t="s">
        <v>410</v>
      </c>
      <c r="O265" s="23"/>
      <c r="P265" s="39" t="s">
        <v>90</v>
      </c>
      <c r="Q265" s="63" t="s">
        <v>7156</v>
      </c>
      <c r="R265" s="15" t="s">
        <v>56</v>
      </c>
      <c r="S265" s="37" t="s">
        <v>57</v>
      </c>
      <c r="T265" s="68" t="s">
        <v>148</v>
      </c>
      <c r="U265" s="39" t="s">
        <v>1299</v>
      </c>
      <c r="V265" s="115">
        <v>44551</v>
      </c>
      <c r="W265" s="23" t="s">
        <v>1585</v>
      </c>
      <c r="X265" s="71"/>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row>
    <row r="266" spans="1:135" ht="30" customHeight="1" thickBot="1" x14ac:dyDescent="0.3">
      <c r="A266" s="578" t="s">
        <v>3456</v>
      </c>
      <c r="B266" s="8">
        <v>3961</v>
      </c>
      <c r="C266" s="72" t="s">
        <v>3454</v>
      </c>
      <c r="D266" s="10" t="s">
        <v>24</v>
      </c>
      <c r="E266" s="11" t="s">
        <v>25</v>
      </c>
      <c r="F266" s="20" t="s">
        <v>3122</v>
      </c>
      <c r="G266" s="15" t="s">
        <v>3455</v>
      </c>
      <c r="H266" s="102" t="s">
        <v>287</v>
      </c>
      <c r="I266" s="18" t="s">
        <v>48</v>
      </c>
      <c r="J266" s="18" t="s">
        <v>1574</v>
      </c>
      <c r="K266" s="33" t="s">
        <v>3457</v>
      </c>
      <c r="L266" s="25" t="str">
        <f>"RUTL-"&amp;RIGHT(K266,8)</f>
        <v>RUTL-53RHDF2</v>
      </c>
      <c r="M266" s="34" t="s">
        <v>40</v>
      </c>
      <c r="N266" s="39" t="s">
        <v>87</v>
      </c>
      <c r="O266" s="90" t="s">
        <v>3458</v>
      </c>
      <c r="P266" s="39" t="s">
        <v>90</v>
      </c>
      <c r="Q266" s="63" t="s">
        <v>3459</v>
      </c>
      <c r="R266" s="15" t="s">
        <v>56</v>
      </c>
      <c r="S266" s="232" t="s">
        <v>296</v>
      </c>
      <c r="T266" s="105" t="s">
        <v>148</v>
      </c>
      <c r="U266" s="23" t="s">
        <v>3460</v>
      </c>
      <c r="V266" s="23"/>
      <c r="W266" s="23"/>
      <c r="X266" s="71"/>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row>
    <row r="267" spans="1:135" ht="30" customHeight="1" thickBot="1" x14ac:dyDescent="0.3">
      <c r="A267" s="578" t="s">
        <v>5792</v>
      </c>
      <c r="B267" s="442">
        <v>13870</v>
      </c>
      <c r="C267" s="72" t="s">
        <v>5791</v>
      </c>
      <c r="D267" s="10" t="s">
        <v>24</v>
      </c>
      <c r="E267" s="11" t="s">
        <v>25</v>
      </c>
      <c r="F267" s="20"/>
      <c r="G267" s="15" t="s">
        <v>1796</v>
      </c>
      <c r="H267" s="143" t="s">
        <v>398</v>
      </c>
      <c r="I267" s="18" t="s">
        <v>48</v>
      </c>
      <c r="J267" s="18" t="s">
        <v>1574</v>
      </c>
      <c r="K267" s="23" t="s">
        <v>5793</v>
      </c>
      <c r="L267" s="25" t="str">
        <f>"RUTL-"&amp;RIGHT(K267,8)</f>
        <v>RUTL-5M4HDF2</v>
      </c>
      <c r="M267" s="34" t="s">
        <v>40</v>
      </c>
      <c r="N267" s="39" t="s">
        <v>87</v>
      </c>
      <c r="O267" s="39" t="s">
        <v>5794</v>
      </c>
      <c r="P267" s="39" t="s">
        <v>90</v>
      </c>
      <c r="Q267" s="63" t="s">
        <v>5795</v>
      </c>
      <c r="R267" s="15" t="s">
        <v>235</v>
      </c>
      <c r="S267" s="549"/>
      <c r="T267" s="23"/>
      <c r="U267" s="23">
        <v>2025</v>
      </c>
      <c r="V267" s="115">
        <v>44551</v>
      </c>
      <c r="W267" s="23" t="s">
        <v>1585</v>
      </c>
      <c r="X267" s="71"/>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row>
    <row r="268" spans="1:135" ht="30" customHeight="1" thickBot="1" x14ac:dyDescent="0.35">
      <c r="A268" s="578" t="s">
        <v>1898</v>
      </c>
      <c r="B268" s="90" t="s">
        <v>1849</v>
      </c>
      <c r="C268" s="90" t="s">
        <v>1849</v>
      </c>
      <c r="D268" s="27" t="s">
        <v>1892</v>
      </c>
      <c r="E268" s="266" t="s">
        <v>25</v>
      </c>
      <c r="F268" s="12" t="s">
        <v>1893</v>
      </c>
      <c r="G268" s="15" t="s">
        <v>1895</v>
      </c>
      <c r="H268" s="267" t="s">
        <v>1646</v>
      </c>
      <c r="I268" s="24" t="s">
        <v>48</v>
      </c>
      <c r="J268" s="24" t="s">
        <v>1574</v>
      </c>
      <c r="K268" s="106" t="s">
        <v>1899</v>
      </c>
      <c r="L268" s="106" t="s">
        <v>1900</v>
      </c>
      <c r="M268" s="109"/>
      <c r="N268" s="23" t="s">
        <v>87</v>
      </c>
      <c r="O268" s="23"/>
      <c r="P268" s="110" t="s">
        <v>90</v>
      </c>
      <c r="Q268" s="39"/>
      <c r="R268" s="15" t="s">
        <v>56</v>
      </c>
      <c r="S268" s="37" t="s">
        <v>57</v>
      </c>
      <c r="T268" s="64" t="s">
        <v>96</v>
      </c>
      <c r="U268" s="23" t="s">
        <v>1076</v>
      </c>
      <c r="V268" s="48"/>
      <c r="W268" s="23"/>
      <c r="X268" s="71"/>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row>
    <row r="269" spans="1:135" ht="30" customHeight="1" thickBot="1" x14ac:dyDescent="0.3">
      <c r="A269" s="578" t="s">
        <v>4443</v>
      </c>
      <c r="B269" s="16">
        <v>8445</v>
      </c>
      <c r="C269" s="72" t="s">
        <v>4441</v>
      </c>
      <c r="D269" s="10" t="s">
        <v>24</v>
      </c>
      <c r="E269" s="11" t="s">
        <v>25</v>
      </c>
      <c r="F269" s="20" t="s">
        <v>4442</v>
      </c>
      <c r="G269" s="15" t="s">
        <v>3528</v>
      </c>
      <c r="H269" s="291" t="s">
        <v>1928</v>
      </c>
      <c r="I269" s="18" t="s">
        <v>48</v>
      </c>
      <c r="J269" s="18" t="s">
        <v>1574</v>
      </c>
      <c r="K269" s="33" t="s">
        <v>4444</v>
      </c>
      <c r="L269" s="25" t="str">
        <f>"RUTL-"&amp;RIGHT(K269,8)</f>
        <v>RUTL-CKRHDF2</v>
      </c>
      <c r="M269" s="34" t="s">
        <v>40</v>
      </c>
      <c r="N269" s="23"/>
      <c r="O269" s="23"/>
      <c r="P269" s="39" t="s">
        <v>90</v>
      </c>
      <c r="Q269" s="243" t="s">
        <v>4445</v>
      </c>
      <c r="R269" s="15" t="s">
        <v>56</v>
      </c>
      <c r="S269" s="37" t="s">
        <v>57</v>
      </c>
      <c r="T269" s="23" t="s">
        <v>1630</v>
      </c>
      <c r="U269" s="23" t="s">
        <v>4446</v>
      </c>
      <c r="V269" s="115">
        <v>44551</v>
      </c>
      <c r="W269" s="23" t="s">
        <v>1585</v>
      </c>
      <c r="X269" s="71"/>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row>
    <row r="270" spans="1:135" ht="30" customHeight="1" thickBot="1" x14ac:dyDescent="0.3">
      <c r="A270" s="578" t="s">
        <v>4114</v>
      </c>
      <c r="B270" s="8">
        <v>7317</v>
      </c>
      <c r="C270" s="52" t="s">
        <v>4112</v>
      </c>
      <c r="D270" s="10" t="s">
        <v>24</v>
      </c>
      <c r="E270" s="11" t="s">
        <v>25</v>
      </c>
      <c r="F270" s="20" t="s">
        <v>4113</v>
      </c>
      <c r="G270" s="15" t="s">
        <v>3227</v>
      </c>
      <c r="H270" s="156" t="s">
        <v>504</v>
      </c>
      <c r="I270" s="18" t="s">
        <v>48</v>
      </c>
      <c r="J270" s="18" t="s">
        <v>1574</v>
      </c>
      <c r="K270" s="33" t="s">
        <v>4115</v>
      </c>
      <c r="L270" s="25" t="str">
        <f>"RUTL-"&amp;RIGHT(K270,8)</f>
        <v>RUTL-G3RHDF2</v>
      </c>
      <c r="M270" s="34" t="s">
        <v>40</v>
      </c>
      <c r="N270" s="39" t="s">
        <v>87</v>
      </c>
      <c r="O270" s="23"/>
      <c r="P270" s="39" t="s">
        <v>90</v>
      </c>
      <c r="Q270" s="63" t="s">
        <v>4116</v>
      </c>
      <c r="R270" s="15" t="s">
        <v>235</v>
      </c>
      <c r="S270" s="37" t="s">
        <v>180</v>
      </c>
      <c r="T270" s="107" t="s">
        <v>453</v>
      </c>
      <c r="U270" s="21" t="s">
        <v>4117</v>
      </c>
      <c r="V270" s="115">
        <v>44551</v>
      </c>
      <c r="W270" s="23" t="s">
        <v>1585</v>
      </c>
      <c r="X270" s="71"/>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row>
    <row r="271" spans="1:135" ht="30" customHeight="1" thickBot="1" x14ac:dyDescent="0.3">
      <c r="A271" s="578" t="s">
        <v>3220</v>
      </c>
      <c r="B271" s="8">
        <v>3194</v>
      </c>
      <c r="C271" s="72" t="s">
        <v>3217</v>
      </c>
      <c r="D271" s="15" t="s">
        <v>24</v>
      </c>
      <c r="E271" s="11" t="s">
        <v>25</v>
      </c>
      <c r="F271" s="20" t="s">
        <v>3218</v>
      </c>
      <c r="G271" s="15" t="s">
        <v>3219</v>
      </c>
      <c r="H271" s="156" t="s">
        <v>1573</v>
      </c>
      <c r="I271" s="18" t="s">
        <v>48</v>
      </c>
      <c r="J271" s="18" t="s">
        <v>1574</v>
      </c>
      <c r="K271" s="33" t="s">
        <v>3221</v>
      </c>
      <c r="L271" s="25" t="str">
        <f>"RUTL-"&amp;RIGHT(K271,8)</f>
        <v>RUTL-83RHDF2</v>
      </c>
      <c r="M271" s="34" t="s">
        <v>40</v>
      </c>
      <c r="N271" s="39" t="s">
        <v>87</v>
      </c>
      <c r="O271" s="39" t="s">
        <v>3222</v>
      </c>
      <c r="P271" s="39" t="s">
        <v>90</v>
      </c>
      <c r="Q271" s="63" t="s">
        <v>3223</v>
      </c>
      <c r="R271" s="15" t="s">
        <v>235</v>
      </c>
      <c r="S271" s="23"/>
      <c r="T271" s="23"/>
      <c r="U271" s="39" t="s">
        <v>3224</v>
      </c>
      <c r="V271" s="115">
        <v>44551</v>
      </c>
      <c r="W271" s="23" t="s">
        <v>1585</v>
      </c>
      <c r="X271" s="71"/>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row>
    <row r="272" spans="1:135" ht="30" customHeight="1" thickBot="1" x14ac:dyDescent="0.3">
      <c r="A272" s="578" t="s">
        <v>3450</v>
      </c>
      <c r="B272" s="8">
        <v>3952</v>
      </c>
      <c r="C272" s="52" t="s">
        <v>3448</v>
      </c>
      <c r="D272" s="15" t="s">
        <v>24</v>
      </c>
      <c r="E272" s="11" t="s">
        <v>25</v>
      </c>
      <c r="F272" s="20" t="s">
        <v>3449</v>
      </c>
      <c r="G272" s="15" t="s">
        <v>3245</v>
      </c>
      <c r="H272" s="53" t="s">
        <v>1319</v>
      </c>
      <c r="I272" s="18" t="s">
        <v>48</v>
      </c>
      <c r="J272" s="18" t="s">
        <v>1574</v>
      </c>
      <c r="K272" s="33" t="s">
        <v>3451</v>
      </c>
      <c r="L272" s="25" t="str">
        <f>"RUTL-"&amp;RIGHT(K272,8)</f>
        <v>RUTL-JJ4HDF2</v>
      </c>
      <c r="M272" s="34" t="s">
        <v>40</v>
      </c>
      <c r="N272" s="175"/>
      <c r="O272" s="175"/>
      <c r="P272" s="175"/>
      <c r="Q272" s="63" t="s">
        <v>3452</v>
      </c>
      <c r="R272" s="15" t="s">
        <v>235</v>
      </c>
      <c r="S272" s="23"/>
      <c r="T272" s="107" t="s">
        <v>453</v>
      </c>
      <c r="U272" s="23" t="s">
        <v>3453</v>
      </c>
      <c r="V272" s="115">
        <v>44551</v>
      </c>
      <c r="W272" s="23" t="s">
        <v>1585</v>
      </c>
      <c r="X272" s="71"/>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row>
    <row r="273" spans="1:135" ht="30" customHeight="1" thickBot="1" x14ac:dyDescent="0.3">
      <c r="A273" s="578" t="s">
        <v>6279</v>
      </c>
      <c r="B273" s="437">
        <v>15576</v>
      </c>
      <c r="C273" s="72" t="s">
        <v>6276</v>
      </c>
      <c r="D273" s="10" t="s">
        <v>24</v>
      </c>
      <c r="E273" s="11" t="s">
        <v>25</v>
      </c>
      <c r="F273" s="29" t="s">
        <v>6277</v>
      </c>
      <c r="G273" s="15" t="s">
        <v>6278</v>
      </c>
      <c r="H273" s="292" t="s">
        <v>1573</v>
      </c>
      <c r="I273" s="24" t="s">
        <v>48</v>
      </c>
      <c r="J273" s="24" t="s">
        <v>1574</v>
      </c>
      <c r="K273" s="23" t="s">
        <v>6280</v>
      </c>
      <c r="L273" s="25" t="str">
        <f>"RUTL-"&amp;RIGHT(K273,8)</f>
        <v>RUTL-8VCFG92</v>
      </c>
      <c r="M273" s="34" t="s">
        <v>40</v>
      </c>
      <c r="N273" s="23"/>
      <c r="O273" s="23"/>
      <c r="P273" s="90" t="s">
        <v>90</v>
      </c>
      <c r="Q273" s="63" t="s">
        <v>6281</v>
      </c>
      <c r="R273" s="15" t="s">
        <v>56</v>
      </c>
      <c r="S273" s="40" t="s">
        <v>57</v>
      </c>
      <c r="T273" s="105" t="s">
        <v>148</v>
      </c>
      <c r="U273" s="39" t="s">
        <v>6282</v>
      </c>
      <c r="V273" s="48">
        <v>44551</v>
      </c>
      <c r="W273" s="23" t="s">
        <v>1585</v>
      </c>
      <c r="X273" s="71"/>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row>
    <row r="274" spans="1:135" ht="30" customHeight="1" thickBot="1" x14ac:dyDescent="0.3">
      <c r="A274" s="578" t="s">
        <v>3370</v>
      </c>
      <c r="B274" s="8">
        <v>3664</v>
      </c>
      <c r="C274" s="72" t="s">
        <v>3368</v>
      </c>
      <c r="D274" s="15" t="s">
        <v>24</v>
      </c>
      <c r="E274" s="11" t="s">
        <v>25</v>
      </c>
      <c r="F274" s="20" t="s">
        <v>3369</v>
      </c>
      <c r="G274" s="15" t="s">
        <v>3219</v>
      </c>
      <c r="H274" s="156" t="s">
        <v>1573</v>
      </c>
      <c r="I274" s="18" t="s">
        <v>48</v>
      </c>
      <c r="J274" s="18" t="s">
        <v>1574</v>
      </c>
      <c r="K274" s="33" t="s">
        <v>3371</v>
      </c>
      <c r="L274" s="25" t="str">
        <f>"RUTL-"&amp;RIGHT(K274,8)</f>
        <v>RUTL-JP4HDF2</v>
      </c>
      <c r="M274" s="34" t="s">
        <v>40</v>
      </c>
      <c r="N274" s="39" t="s">
        <v>87</v>
      </c>
      <c r="O274" s="23"/>
      <c r="P274" s="39" t="s">
        <v>90</v>
      </c>
      <c r="Q274" s="63" t="s">
        <v>3372</v>
      </c>
      <c r="R274" s="15" t="s">
        <v>235</v>
      </c>
      <c r="S274" s="23"/>
      <c r="T274" s="23"/>
      <c r="U274" s="39" t="s">
        <v>3373</v>
      </c>
      <c r="V274" s="115">
        <v>44551</v>
      </c>
      <c r="W274" s="23" t="s">
        <v>1585</v>
      </c>
      <c r="X274" s="71"/>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row>
    <row r="275" spans="1:135" ht="30" customHeight="1" thickBot="1" x14ac:dyDescent="0.3">
      <c r="A275" s="578" t="s">
        <v>5377</v>
      </c>
      <c r="B275" s="8">
        <v>12711</v>
      </c>
      <c r="C275" s="72" t="s">
        <v>5375</v>
      </c>
      <c r="D275" s="10" t="s">
        <v>24</v>
      </c>
      <c r="E275" s="11" t="s">
        <v>25</v>
      </c>
      <c r="F275" s="20" t="s">
        <v>5376</v>
      </c>
      <c r="G275" s="15" t="s">
        <v>4991</v>
      </c>
      <c r="H275" s="156" t="s">
        <v>1573</v>
      </c>
      <c r="I275" s="18" t="s">
        <v>48</v>
      </c>
      <c r="J275" s="18" t="s">
        <v>1574</v>
      </c>
      <c r="K275" s="23" t="s">
        <v>5378</v>
      </c>
      <c r="L275" s="25" t="str">
        <f>"RUTL-"&amp;RIGHT(K275,8)</f>
        <v>RUTL-6M4HDF2</v>
      </c>
      <c r="M275" s="34" t="s">
        <v>40</v>
      </c>
      <c r="N275" s="21" t="s">
        <v>410</v>
      </c>
      <c r="O275" s="21"/>
      <c r="P275" s="376" t="s">
        <v>1231</v>
      </c>
      <c r="Q275" s="63" t="s">
        <v>5379</v>
      </c>
      <c r="R275" s="15" t="s">
        <v>56</v>
      </c>
      <c r="S275" s="37" t="s">
        <v>57</v>
      </c>
      <c r="T275" s="101" t="s">
        <v>96</v>
      </c>
      <c r="U275" s="39" t="s">
        <v>5380</v>
      </c>
      <c r="V275" s="115">
        <v>44551</v>
      </c>
      <c r="W275" s="23" t="s">
        <v>1585</v>
      </c>
      <c r="X275" s="71"/>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row>
    <row r="276" spans="1:135" ht="30" customHeight="1" thickBot="1" x14ac:dyDescent="0.3">
      <c r="A276" s="578" t="s">
        <v>5485</v>
      </c>
      <c r="B276" s="8">
        <v>12948</v>
      </c>
      <c r="C276" s="52" t="s">
        <v>5483</v>
      </c>
      <c r="D276" s="10" t="s">
        <v>24</v>
      </c>
      <c r="E276" s="11" t="s">
        <v>25</v>
      </c>
      <c r="F276" s="29" t="s">
        <v>5484</v>
      </c>
      <c r="G276" s="15" t="s">
        <v>4991</v>
      </c>
      <c r="H276" s="156" t="s">
        <v>1573</v>
      </c>
      <c r="I276" s="24" t="s">
        <v>48</v>
      </c>
      <c r="J276" s="24" t="s">
        <v>1574</v>
      </c>
      <c r="K276" s="23" t="s">
        <v>5486</v>
      </c>
      <c r="L276" s="25" t="str">
        <f>"RUTL-"&amp;RIGHT(K276,8)</f>
        <v>RUTL-93RHDF2</v>
      </c>
      <c r="M276" s="34" t="s">
        <v>40</v>
      </c>
      <c r="N276" s="90" t="s">
        <v>473</v>
      </c>
      <c r="O276" s="32"/>
      <c r="P276" s="39" t="s">
        <v>90</v>
      </c>
      <c r="Q276" s="100"/>
      <c r="R276" s="15" t="s">
        <v>235</v>
      </c>
      <c r="S276" s="40" t="s">
        <v>57</v>
      </c>
      <c r="T276" s="114" t="s">
        <v>273</v>
      </c>
      <c r="U276" s="39" t="s">
        <v>440</v>
      </c>
      <c r="V276" s="115">
        <v>44551</v>
      </c>
      <c r="W276" s="23" t="s">
        <v>1585</v>
      </c>
      <c r="X276" s="71"/>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row>
    <row r="277" spans="1:135" ht="30" customHeight="1" thickBot="1" x14ac:dyDescent="0.3">
      <c r="A277" s="578" t="s">
        <v>3484</v>
      </c>
      <c r="B277" s="8">
        <v>4107</v>
      </c>
      <c r="C277" s="72" t="s">
        <v>3482</v>
      </c>
      <c r="D277" s="15" t="s">
        <v>24</v>
      </c>
      <c r="E277" s="11" t="s">
        <v>25</v>
      </c>
      <c r="F277" s="20" t="s">
        <v>3483</v>
      </c>
      <c r="G277" s="15" t="s">
        <v>78</v>
      </c>
      <c r="H277" s="173" t="s">
        <v>81</v>
      </c>
      <c r="I277" s="18" t="s">
        <v>48</v>
      </c>
      <c r="J277" s="18" t="s">
        <v>1574</v>
      </c>
      <c r="K277" s="33" t="s">
        <v>3485</v>
      </c>
      <c r="L277" s="25" t="str">
        <f>"RUTL-"&amp;RIGHT(K277,8)</f>
        <v>RUTL-23RHDF2</v>
      </c>
      <c r="M277" s="34" t="s">
        <v>40</v>
      </c>
      <c r="N277" s="23"/>
      <c r="O277" s="23"/>
      <c r="P277" s="39" t="s">
        <v>90</v>
      </c>
      <c r="Q277" s="63" t="s">
        <v>3486</v>
      </c>
      <c r="R277" s="15" t="s">
        <v>56</v>
      </c>
      <c r="S277" s="37" t="s">
        <v>57</v>
      </c>
      <c r="T277" s="107" t="s">
        <v>453</v>
      </c>
      <c r="U277" s="39" t="s">
        <v>3487</v>
      </c>
      <c r="V277" s="115">
        <v>44551</v>
      </c>
      <c r="W277" s="23" t="s">
        <v>1585</v>
      </c>
      <c r="X277" s="71"/>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row>
    <row r="278" spans="1:135" ht="30" customHeight="1" thickBot="1" x14ac:dyDescent="0.3">
      <c r="A278" s="578" t="s">
        <v>2440</v>
      </c>
      <c r="B278" s="51" t="s">
        <v>2434</v>
      </c>
      <c r="C278" s="52" t="s">
        <v>2435</v>
      </c>
      <c r="D278" s="10" t="s">
        <v>24</v>
      </c>
      <c r="E278" s="28" t="s">
        <v>25</v>
      </c>
      <c r="F278" s="29" t="s">
        <v>2437</v>
      </c>
      <c r="G278" s="15" t="s">
        <v>1728</v>
      </c>
      <c r="H278" s="53" t="s">
        <v>2438</v>
      </c>
      <c r="I278" s="18" t="s">
        <v>48</v>
      </c>
      <c r="J278" s="18" t="s">
        <v>1574</v>
      </c>
      <c r="K278" s="33" t="s">
        <v>2441</v>
      </c>
      <c r="L278" s="25" t="str">
        <f>"RUTL-"&amp;RIGHT(K278,8)</f>
        <v>RUTL-7K4HDF2</v>
      </c>
      <c r="M278" s="34" t="s">
        <v>40</v>
      </c>
      <c r="N278" s="23" t="s">
        <v>410</v>
      </c>
      <c r="O278" s="23"/>
      <c r="P278" s="39" t="s">
        <v>90</v>
      </c>
      <c r="Q278" s="39" t="s">
        <v>2442</v>
      </c>
      <c r="R278" s="15" t="s">
        <v>56</v>
      </c>
      <c r="S278" s="40" t="s">
        <v>57</v>
      </c>
      <c r="T278" s="118" t="s">
        <v>65</v>
      </c>
      <c r="U278" s="47" t="s">
        <v>2443</v>
      </c>
      <c r="V278" s="48">
        <v>44551</v>
      </c>
      <c r="W278" s="23" t="s">
        <v>1585</v>
      </c>
      <c r="X278" s="71"/>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row>
    <row r="279" spans="1:135" ht="30" customHeight="1" thickBot="1" x14ac:dyDescent="0.3">
      <c r="A279" s="578" t="s">
        <v>3228</v>
      </c>
      <c r="B279" s="8">
        <v>3256</v>
      </c>
      <c r="C279" s="72" t="s">
        <v>3225</v>
      </c>
      <c r="D279" s="15" t="s">
        <v>24</v>
      </c>
      <c r="E279" s="11" t="s">
        <v>25</v>
      </c>
      <c r="F279" s="20" t="s">
        <v>3226</v>
      </c>
      <c r="G279" s="15" t="s">
        <v>3227</v>
      </c>
      <c r="H279" s="156" t="s">
        <v>504</v>
      </c>
      <c r="I279" s="18" t="s">
        <v>48</v>
      </c>
      <c r="J279" s="18" t="s">
        <v>1574</v>
      </c>
      <c r="K279" s="33" t="s">
        <v>3229</v>
      </c>
      <c r="L279" s="25" t="str">
        <f>"RUTL-"&amp;RIGHT(K279,8)</f>
        <v>RUTL-JHRHDF2</v>
      </c>
      <c r="M279" s="34" t="s">
        <v>40</v>
      </c>
      <c r="N279" s="39" t="s">
        <v>410</v>
      </c>
      <c r="O279" s="23"/>
      <c r="P279" s="23"/>
      <c r="Q279" s="63" t="s">
        <v>3230</v>
      </c>
      <c r="R279" s="15" t="s">
        <v>235</v>
      </c>
      <c r="S279" s="23"/>
      <c r="T279" s="23"/>
      <c r="U279" s="23" t="s">
        <v>3231</v>
      </c>
      <c r="V279" s="115">
        <v>44551</v>
      </c>
      <c r="W279" s="23" t="s">
        <v>1585</v>
      </c>
      <c r="X279" s="71"/>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row>
    <row r="280" spans="1:135" ht="30" customHeight="1" thickBot="1" x14ac:dyDescent="0.3">
      <c r="A280" s="578" t="s">
        <v>3255</v>
      </c>
      <c r="B280" s="8">
        <v>3317</v>
      </c>
      <c r="C280" s="72" t="s">
        <v>3253</v>
      </c>
      <c r="D280" s="15" t="s">
        <v>24</v>
      </c>
      <c r="E280" s="11" t="s">
        <v>25</v>
      </c>
      <c r="F280" s="20" t="s">
        <v>3254</v>
      </c>
      <c r="G280" s="15" t="s">
        <v>3227</v>
      </c>
      <c r="H280" s="156" t="s">
        <v>504</v>
      </c>
      <c r="I280" s="18" t="s">
        <v>48</v>
      </c>
      <c r="J280" s="18" t="s">
        <v>1574</v>
      </c>
      <c r="K280" s="33" t="s">
        <v>3256</v>
      </c>
      <c r="L280" s="25" t="str">
        <f>"RUTL-"&amp;RIGHT(K280,8)</f>
        <v>RUTL-1JRHDF2</v>
      </c>
      <c r="M280" s="34" t="s">
        <v>40</v>
      </c>
      <c r="N280" s="23"/>
      <c r="O280" s="23"/>
      <c r="P280" s="23"/>
      <c r="Q280" s="113"/>
      <c r="R280" s="15" t="s">
        <v>235</v>
      </c>
      <c r="S280" s="175"/>
      <c r="T280" s="23"/>
      <c r="U280" s="23" t="s">
        <v>3257</v>
      </c>
      <c r="V280" s="115">
        <v>44551</v>
      </c>
      <c r="W280" s="23" t="s">
        <v>1585</v>
      </c>
      <c r="X280" s="71"/>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row>
    <row r="281" spans="1:135" ht="30" customHeight="1" thickBot="1" x14ac:dyDescent="0.3">
      <c r="A281" s="578" t="s">
        <v>4082</v>
      </c>
      <c r="B281" s="446">
        <v>7168</v>
      </c>
      <c r="C281" s="455" t="s">
        <v>4080</v>
      </c>
      <c r="D281" s="461" t="s">
        <v>24</v>
      </c>
      <c r="E281" s="465" t="s">
        <v>25</v>
      </c>
      <c r="F281" s="470" t="s">
        <v>4081</v>
      </c>
      <c r="G281" s="15" t="s">
        <v>3219</v>
      </c>
      <c r="H281" s="156" t="s">
        <v>1573</v>
      </c>
      <c r="I281" s="18" t="s">
        <v>48</v>
      </c>
      <c r="J281" s="18" t="s">
        <v>1574</v>
      </c>
      <c r="K281" s="33" t="s">
        <v>4083</v>
      </c>
      <c r="L281" s="25" t="str">
        <f>"RUTL-"&amp;RIGHT(K281,8)</f>
        <v>RUTL-3K4HDF2</v>
      </c>
      <c r="M281" s="34" t="s">
        <v>40</v>
      </c>
      <c r="N281" s="493"/>
      <c r="O281" s="493"/>
      <c r="P281" s="493"/>
      <c r="Q281" s="531" t="s">
        <v>4084</v>
      </c>
      <c r="R281" s="461" t="s">
        <v>235</v>
      </c>
      <c r="S281" s="493"/>
      <c r="T281" s="552" t="s">
        <v>148</v>
      </c>
      <c r="U281" s="23" t="s">
        <v>4085</v>
      </c>
      <c r="V281" s="560">
        <v>44551</v>
      </c>
      <c r="W281" s="493" t="s">
        <v>1585</v>
      </c>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row>
    <row r="282" spans="1:135" ht="30" customHeight="1" thickBot="1" x14ac:dyDescent="0.3">
      <c r="A282" s="578" t="s">
        <v>2604</v>
      </c>
      <c r="B282" s="8">
        <v>1523</v>
      </c>
      <c r="C282" s="72" t="s">
        <v>2597</v>
      </c>
      <c r="D282" s="15" t="s">
        <v>24</v>
      </c>
      <c r="E282" s="11" t="s">
        <v>25</v>
      </c>
      <c r="F282" s="20" t="s">
        <v>2600</v>
      </c>
      <c r="G282" s="15" t="s">
        <v>2601</v>
      </c>
      <c r="H282" s="156" t="s">
        <v>504</v>
      </c>
      <c r="I282" s="18" t="s">
        <v>48</v>
      </c>
      <c r="J282" s="18" t="s">
        <v>1574</v>
      </c>
      <c r="K282" s="33" t="s">
        <v>2606</v>
      </c>
      <c r="L282" s="25" t="str">
        <f>"RUTL-"&amp;RIGHT(K282,8)</f>
        <v>RUTL-D45HDF2</v>
      </c>
      <c r="M282" s="34" t="s">
        <v>40</v>
      </c>
      <c r="N282" s="39" t="s">
        <v>410</v>
      </c>
      <c r="O282" s="175"/>
      <c r="P282" s="175"/>
      <c r="Q282" s="63" t="s">
        <v>2609</v>
      </c>
      <c r="R282" s="15" t="s">
        <v>235</v>
      </c>
      <c r="S282" s="175"/>
      <c r="T282" s="23" t="s">
        <v>2610</v>
      </c>
      <c r="U282" s="39" t="s">
        <v>2611</v>
      </c>
      <c r="V282" s="115">
        <v>44551</v>
      </c>
      <c r="W282" s="23" t="s">
        <v>2613</v>
      </c>
      <c r="X282" s="71"/>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row>
    <row r="283" spans="1:135" ht="30" customHeight="1" thickBot="1" x14ac:dyDescent="0.3">
      <c r="A283" s="578" t="s">
        <v>5253</v>
      </c>
      <c r="B283" s="8">
        <v>12425</v>
      </c>
      <c r="C283" s="72" t="s">
        <v>5250</v>
      </c>
      <c r="D283" s="15" t="s">
        <v>24</v>
      </c>
      <c r="E283" s="11" t="s">
        <v>25</v>
      </c>
      <c r="F283" s="20" t="s">
        <v>5251</v>
      </c>
      <c r="G283" s="15" t="s">
        <v>5252</v>
      </c>
      <c r="H283" s="53" t="s">
        <v>1319</v>
      </c>
      <c r="I283" s="18" t="s">
        <v>48</v>
      </c>
      <c r="J283" s="18" t="s">
        <v>1427</v>
      </c>
      <c r="K283" s="23" t="s">
        <v>5254</v>
      </c>
      <c r="L283" s="25" t="str">
        <f>"RUTL-"&amp;RIGHT(K283,8)</f>
        <v>RUTL-MP24R9MD</v>
      </c>
      <c r="M283" s="34" t="s">
        <v>40</v>
      </c>
      <c r="N283" s="23" t="s">
        <v>43</v>
      </c>
      <c r="O283" s="23"/>
      <c r="P283" s="39" t="s">
        <v>90</v>
      </c>
      <c r="Q283" s="113"/>
      <c r="R283" s="15" t="s">
        <v>56</v>
      </c>
      <c r="S283" s="37" t="s">
        <v>57</v>
      </c>
      <c r="T283" s="101" t="s">
        <v>96</v>
      </c>
      <c r="U283" s="39" t="s">
        <v>1431</v>
      </c>
      <c r="V283" s="23"/>
      <c r="W283" s="23"/>
      <c r="X283" s="71"/>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row>
    <row r="284" spans="1:135" ht="30" customHeight="1" thickBot="1" x14ac:dyDescent="0.35">
      <c r="A284" s="578" t="s">
        <v>1869</v>
      </c>
      <c r="B284" s="90" t="s">
        <v>1849</v>
      </c>
      <c r="C284" s="90" t="s">
        <v>1849</v>
      </c>
      <c r="D284" s="27" t="s">
        <v>1763</v>
      </c>
      <c r="E284" s="266" t="s">
        <v>25</v>
      </c>
      <c r="F284" s="12" t="s">
        <v>1865</v>
      </c>
      <c r="G284" s="15" t="s">
        <v>1401</v>
      </c>
      <c r="H284" s="267" t="s">
        <v>1646</v>
      </c>
      <c r="I284" s="24" t="s">
        <v>48</v>
      </c>
      <c r="J284" s="24" t="s">
        <v>1867</v>
      </c>
      <c r="K284" s="106" t="s">
        <v>1876</v>
      </c>
      <c r="L284" s="106" t="s">
        <v>1877</v>
      </c>
      <c r="M284" s="109"/>
      <c r="N284" s="23" t="s">
        <v>319</v>
      </c>
      <c r="O284" s="23"/>
      <c r="P284" s="110"/>
      <c r="Q284" s="39"/>
      <c r="R284" s="15" t="s">
        <v>235</v>
      </c>
      <c r="S284" s="37"/>
      <c r="T284" s="64"/>
      <c r="U284" s="23"/>
      <c r="V284" s="48">
        <v>44551</v>
      </c>
      <c r="W284" s="23" t="s">
        <v>1879</v>
      </c>
      <c r="X284" s="71"/>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row>
    <row r="285" spans="1:135" ht="30" customHeight="1" thickBot="1" x14ac:dyDescent="0.3">
      <c r="A285" s="578" t="s">
        <v>523</v>
      </c>
      <c r="B285" s="8">
        <v>227</v>
      </c>
      <c r="C285" s="72" t="s">
        <v>519</v>
      </c>
      <c r="D285" s="15" t="s">
        <v>24</v>
      </c>
      <c r="E285" s="11" t="s">
        <v>25</v>
      </c>
      <c r="F285" s="20" t="s">
        <v>521</v>
      </c>
      <c r="G285" s="15" t="s">
        <v>369</v>
      </c>
      <c r="H285" s="119" t="s">
        <v>312</v>
      </c>
      <c r="I285" s="18" t="s">
        <v>135</v>
      </c>
      <c r="J285" s="18" t="s">
        <v>522</v>
      </c>
      <c r="K285" s="23" t="s">
        <v>525</v>
      </c>
      <c r="L285" s="25" t="str">
        <f>"RUTL-"&amp;RIGHT(K285,8)</f>
        <v>RUTL-D2481GQW</v>
      </c>
      <c r="M285" s="34" t="s">
        <v>40</v>
      </c>
      <c r="N285" s="23"/>
      <c r="O285" s="23"/>
      <c r="P285" s="23"/>
      <c r="Q285" s="113"/>
      <c r="R285" s="15" t="s">
        <v>235</v>
      </c>
      <c r="S285" s="41" t="s">
        <v>296</v>
      </c>
      <c r="T285" s="101" t="s">
        <v>96</v>
      </c>
      <c r="U285" s="39" t="s">
        <v>526</v>
      </c>
      <c r="V285" s="23"/>
      <c r="W285" s="23"/>
      <c r="X285" s="71"/>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row>
    <row r="286" spans="1:135" ht="30" customHeight="1" thickBot="1" x14ac:dyDescent="0.3">
      <c r="A286" s="578" t="s">
        <v>4401</v>
      </c>
      <c r="B286" s="8">
        <v>8237</v>
      </c>
      <c r="C286" s="52" t="s">
        <v>4399</v>
      </c>
      <c r="D286" s="10" t="s">
        <v>24</v>
      </c>
      <c r="E286" s="11" t="s">
        <v>25</v>
      </c>
      <c r="F286" s="20" t="s">
        <v>4400</v>
      </c>
      <c r="G286" s="15" t="s">
        <v>2749</v>
      </c>
      <c r="H286" s="119" t="s">
        <v>727</v>
      </c>
      <c r="I286" s="18" t="s">
        <v>135</v>
      </c>
      <c r="J286" s="18" t="s">
        <v>382</v>
      </c>
      <c r="K286" s="33" t="s">
        <v>4402</v>
      </c>
      <c r="L286" s="25" t="str">
        <f>"RUTL-"&amp;RIGHT(K286,8)</f>
        <v>RUTL-8BA23400</v>
      </c>
      <c r="M286" s="34" t="s">
        <v>40</v>
      </c>
      <c r="N286" s="23"/>
      <c r="O286" s="23"/>
      <c r="P286" s="23"/>
      <c r="Q286" s="113"/>
      <c r="R286" s="15" t="s">
        <v>56</v>
      </c>
      <c r="S286" s="23"/>
      <c r="T286" s="107" t="s">
        <v>148</v>
      </c>
      <c r="U286" s="39" t="s">
        <v>4403</v>
      </c>
      <c r="V286" s="23">
        <v>2024</v>
      </c>
      <c r="W286" s="23" t="s">
        <v>386</v>
      </c>
      <c r="X286" s="71"/>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row>
    <row r="287" spans="1:135" ht="30" customHeight="1" thickBot="1" x14ac:dyDescent="0.3">
      <c r="A287" s="578" t="s">
        <v>4587</v>
      </c>
      <c r="B287" s="16">
        <v>9268</v>
      </c>
      <c r="C287" s="72" t="s">
        <v>4584</v>
      </c>
      <c r="D287" s="10" t="s">
        <v>24</v>
      </c>
      <c r="E287" s="11" t="s">
        <v>25</v>
      </c>
      <c r="F287" s="20" t="s">
        <v>4585</v>
      </c>
      <c r="G287" s="15" t="s">
        <v>4586</v>
      </c>
      <c r="H287" s="53" t="s">
        <v>337</v>
      </c>
      <c r="I287" s="18" t="s">
        <v>135</v>
      </c>
      <c r="J287" s="18" t="s">
        <v>382</v>
      </c>
      <c r="K287" s="33" t="s">
        <v>4588</v>
      </c>
      <c r="L287" s="25" t="str">
        <f>"RUTL-"&amp;RIGHT(K287,8)</f>
        <v>RUTL-89573400</v>
      </c>
      <c r="M287" s="34" t="s">
        <v>40</v>
      </c>
      <c r="N287" s="23" t="s">
        <v>4589</v>
      </c>
      <c r="O287" s="23"/>
      <c r="P287" s="175"/>
      <c r="Q287" s="63" t="s">
        <v>4590</v>
      </c>
      <c r="R287" s="15" t="s">
        <v>56</v>
      </c>
      <c r="S287" s="40" t="s">
        <v>57</v>
      </c>
      <c r="T287" s="101" t="s">
        <v>96</v>
      </c>
      <c r="U287" s="39" t="s">
        <v>4591</v>
      </c>
      <c r="V287" s="23">
        <v>2024</v>
      </c>
      <c r="W287" s="23" t="s">
        <v>386</v>
      </c>
      <c r="X287" s="71"/>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row>
    <row r="288" spans="1:135" ht="30" customHeight="1" thickBot="1" x14ac:dyDescent="0.3">
      <c r="A288" s="578" t="s">
        <v>3888</v>
      </c>
      <c r="B288" s="51">
        <v>6318</v>
      </c>
      <c r="C288" s="9" t="s">
        <v>3886</v>
      </c>
      <c r="D288" s="10" t="s">
        <v>24</v>
      </c>
      <c r="E288" s="11" t="s">
        <v>25</v>
      </c>
      <c r="F288" s="20" t="s">
        <v>3887</v>
      </c>
      <c r="G288" s="15" t="s">
        <v>2390</v>
      </c>
      <c r="H288" s="17" t="s">
        <v>714</v>
      </c>
      <c r="I288" s="18" t="s">
        <v>135</v>
      </c>
      <c r="J288" s="18" t="s">
        <v>382</v>
      </c>
      <c r="K288" s="33" t="s">
        <v>3889</v>
      </c>
      <c r="L288" s="25" t="str">
        <f>"RUTL-"&amp;RIGHT(K288,8)</f>
        <v>RUTL-84F93400</v>
      </c>
      <c r="M288" s="34" t="s">
        <v>40</v>
      </c>
      <c r="N288" s="23" t="s">
        <v>87</v>
      </c>
      <c r="O288" s="23"/>
      <c r="P288" s="39" t="s">
        <v>90</v>
      </c>
      <c r="Q288" s="63" t="s">
        <v>3890</v>
      </c>
      <c r="R288" s="15" t="s">
        <v>56</v>
      </c>
      <c r="S288" s="37" t="s">
        <v>57</v>
      </c>
      <c r="T288" s="41" t="s">
        <v>65</v>
      </c>
      <c r="U288" s="23" t="s">
        <v>3891</v>
      </c>
      <c r="V288" s="23">
        <v>2024</v>
      </c>
      <c r="W288" s="23" t="s">
        <v>386</v>
      </c>
      <c r="X288" s="71"/>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row>
    <row r="289" spans="1:135" ht="30" customHeight="1" thickBot="1" x14ac:dyDescent="0.3">
      <c r="A289" s="578" t="s">
        <v>4273</v>
      </c>
      <c r="B289" s="8">
        <v>7800</v>
      </c>
      <c r="C289" s="72" t="s">
        <v>4271</v>
      </c>
      <c r="D289" s="10" t="s">
        <v>24</v>
      </c>
      <c r="E289" s="11" t="s">
        <v>25</v>
      </c>
      <c r="F289" s="20" t="s">
        <v>4272</v>
      </c>
      <c r="G289" s="15" t="s">
        <v>1351</v>
      </c>
      <c r="H289" s="108" t="s">
        <v>225</v>
      </c>
      <c r="I289" s="18" t="s">
        <v>135</v>
      </c>
      <c r="J289" s="18" t="s">
        <v>382</v>
      </c>
      <c r="K289" s="33" t="s">
        <v>4274</v>
      </c>
      <c r="L289" s="25" t="str">
        <f>"RUTL-"&amp;RIGHT(K289,8)</f>
        <v>RUTL-8DB63400</v>
      </c>
      <c r="M289" s="34" t="s">
        <v>40</v>
      </c>
      <c r="N289" s="23" t="s">
        <v>87</v>
      </c>
      <c r="O289" s="23"/>
      <c r="P289" s="39" t="s">
        <v>90</v>
      </c>
      <c r="Q289" s="113"/>
      <c r="R289" s="15" t="s">
        <v>56</v>
      </c>
      <c r="S289" s="37" t="s">
        <v>57</v>
      </c>
      <c r="T289" s="107" t="s">
        <v>453</v>
      </c>
      <c r="U289" s="39" t="s">
        <v>4111</v>
      </c>
      <c r="V289" s="170">
        <v>45385</v>
      </c>
      <c r="W289" s="23" t="s">
        <v>386</v>
      </c>
      <c r="X289" s="71"/>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row>
    <row r="290" spans="1:135" ht="30" customHeight="1" thickBot="1" x14ac:dyDescent="0.3">
      <c r="A290" s="578" t="s">
        <v>4407</v>
      </c>
      <c r="B290" s="8">
        <v>8238</v>
      </c>
      <c r="C290" s="52" t="s">
        <v>4405</v>
      </c>
      <c r="D290" s="10" t="s">
        <v>24</v>
      </c>
      <c r="E290" s="11" t="s">
        <v>25</v>
      </c>
      <c r="F290" s="20" t="s">
        <v>4406</v>
      </c>
      <c r="G290" s="15" t="s">
        <v>4253</v>
      </c>
      <c r="H290" s="18" t="s">
        <v>4254</v>
      </c>
      <c r="I290" s="18" t="s">
        <v>135</v>
      </c>
      <c r="J290" s="18" t="s">
        <v>382</v>
      </c>
      <c r="K290" s="33" t="s">
        <v>4408</v>
      </c>
      <c r="L290" s="25" t="str">
        <f>"RUTL-"&amp;RIGHT(K290,8)</f>
        <v>RUTL-8B163400</v>
      </c>
      <c r="M290" s="34" t="s">
        <v>40</v>
      </c>
      <c r="N290" s="23"/>
      <c r="O290" s="23"/>
      <c r="P290" s="23"/>
      <c r="Q290" s="113"/>
      <c r="R290" s="15" t="s">
        <v>56</v>
      </c>
      <c r="S290" s="37" t="s">
        <v>57</v>
      </c>
      <c r="T290" s="38" t="s">
        <v>58</v>
      </c>
      <c r="U290" s="39" t="s">
        <v>476</v>
      </c>
      <c r="V290" s="23">
        <v>2024</v>
      </c>
      <c r="W290" s="23" t="s">
        <v>386</v>
      </c>
      <c r="X290" s="71"/>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row>
    <row r="291" spans="1:135" ht="30" customHeight="1" thickBot="1" x14ac:dyDescent="0.3">
      <c r="A291" s="578" t="s">
        <v>4471</v>
      </c>
      <c r="B291" s="16">
        <v>8574</v>
      </c>
      <c r="C291" s="72" t="s">
        <v>4469</v>
      </c>
      <c r="D291" s="10" t="s">
        <v>24</v>
      </c>
      <c r="E291" s="11" t="s">
        <v>25</v>
      </c>
      <c r="F291" s="20" t="s">
        <v>4470</v>
      </c>
      <c r="G291" s="15" t="s">
        <v>958</v>
      </c>
      <c r="H291" s="119" t="s">
        <v>370</v>
      </c>
      <c r="I291" s="24" t="s">
        <v>135</v>
      </c>
      <c r="J291" s="18" t="s">
        <v>382</v>
      </c>
      <c r="K291" s="33" t="s">
        <v>4472</v>
      </c>
      <c r="L291" s="25" t="str">
        <f>"RUTL-"&amp;RIGHT(K291,8)</f>
        <v>RUTL-87203400</v>
      </c>
      <c r="M291" s="34" t="s">
        <v>40</v>
      </c>
      <c r="N291" s="23"/>
      <c r="O291" s="23"/>
      <c r="P291" s="23"/>
      <c r="Q291" s="113"/>
      <c r="R291" s="15" t="s">
        <v>56</v>
      </c>
      <c r="S291" s="37" t="s">
        <v>57</v>
      </c>
      <c r="T291" s="165" t="s">
        <v>1630</v>
      </c>
      <c r="U291" s="39" t="s">
        <v>4473</v>
      </c>
      <c r="V291" s="23">
        <v>2024</v>
      </c>
      <c r="W291" s="23" t="s">
        <v>386</v>
      </c>
      <c r="X291" s="71"/>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row>
    <row r="292" spans="1:135" ht="30" customHeight="1" thickBot="1" x14ac:dyDescent="0.3">
      <c r="A292" s="578" t="s">
        <v>4480</v>
      </c>
      <c r="B292" s="16">
        <v>8770</v>
      </c>
      <c r="C292" s="72" t="s">
        <v>4478</v>
      </c>
      <c r="D292" s="10" t="s">
        <v>24</v>
      </c>
      <c r="E292" s="11" t="s">
        <v>25</v>
      </c>
      <c r="F292" s="20" t="s">
        <v>4479</v>
      </c>
      <c r="G292" s="15" t="s">
        <v>1486</v>
      </c>
      <c r="H292" s="18" t="s">
        <v>2210</v>
      </c>
      <c r="I292" s="18" t="s">
        <v>135</v>
      </c>
      <c r="J292" s="18" t="s">
        <v>382</v>
      </c>
      <c r="K292" s="33" t="s">
        <v>4481</v>
      </c>
      <c r="L292" s="25" t="str">
        <f>"RUTL-"&amp;RIGHT(K292,8)</f>
        <v>RUTL-84CC3400</v>
      </c>
      <c r="M292" s="34" t="s">
        <v>40</v>
      </c>
      <c r="N292" s="23" t="s">
        <v>43</v>
      </c>
      <c r="O292" s="23"/>
      <c r="P292" s="23"/>
      <c r="Q292" s="113"/>
      <c r="R292" s="15" t="s">
        <v>56</v>
      </c>
      <c r="S292" s="37" t="s">
        <v>57</v>
      </c>
      <c r="T292" s="107" t="s">
        <v>453</v>
      </c>
      <c r="U292" s="39" t="s">
        <v>4482</v>
      </c>
      <c r="V292" s="23">
        <v>2024</v>
      </c>
      <c r="W292" s="23" t="s">
        <v>386</v>
      </c>
      <c r="X292" s="71"/>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row>
    <row r="293" spans="1:135" ht="30" customHeight="1" thickBot="1" x14ac:dyDescent="0.3">
      <c r="A293" s="578" t="s">
        <v>4609</v>
      </c>
      <c r="B293" s="16">
        <v>9435</v>
      </c>
      <c r="C293" s="72" t="s">
        <v>4607</v>
      </c>
      <c r="D293" s="10" t="s">
        <v>24</v>
      </c>
      <c r="E293" s="11" t="s">
        <v>25</v>
      </c>
      <c r="F293" s="20" t="s">
        <v>4608</v>
      </c>
      <c r="G293" s="15" t="s">
        <v>253</v>
      </c>
      <c r="H293" s="17" t="s">
        <v>891</v>
      </c>
      <c r="I293" s="18" t="s">
        <v>135</v>
      </c>
      <c r="J293" s="18" t="s">
        <v>382</v>
      </c>
      <c r="K293" s="33" t="s">
        <v>4610</v>
      </c>
      <c r="L293" s="25" t="str">
        <f>"RUTL-"&amp;RIGHT(K293,8)</f>
        <v>RUTL-8BBA3400</v>
      </c>
      <c r="M293" s="34" t="s">
        <v>40</v>
      </c>
      <c r="N293" s="23" t="s">
        <v>43</v>
      </c>
      <c r="O293" s="23"/>
      <c r="P293" s="39" t="s">
        <v>90</v>
      </c>
      <c r="Q293" s="113"/>
      <c r="R293" s="15" t="s">
        <v>56</v>
      </c>
      <c r="S293" s="37" t="s">
        <v>57</v>
      </c>
      <c r="T293" s="108" t="s">
        <v>273</v>
      </c>
      <c r="U293" s="39" t="s">
        <v>4611</v>
      </c>
      <c r="V293" s="23">
        <v>2024</v>
      </c>
      <c r="W293" s="23" t="s">
        <v>386</v>
      </c>
      <c r="X293" s="71"/>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row>
    <row r="294" spans="1:135" ht="30" customHeight="1" thickBot="1" x14ac:dyDescent="0.3">
      <c r="A294" s="578" t="s">
        <v>2654</v>
      </c>
      <c r="B294" s="120" t="s">
        <v>2650</v>
      </c>
      <c r="C294" s="72" t="s">
        <v>2651</v>
      </c>
      <c r="D294" s="15" t="s">
        <v>24</v>
      </c>
      <c r="E294" s="122" t="s">
        <v>25</v>
      </c>
      <c r="F294" s="20" t="s">
        <v>2652</v>
      </c>
      <c r="G294" s="15" t="s">
        <v>2653</v>
      </c>
      <c r="H294" s="147" t="s">
        <v>1109</v>
      </c>
      <c r="I294" s="18" t="s">
        <v>38</v>
      </c>
      <c r="J294" s="18" t="s">
        <v>382</v>
      </c>
      <c r="K294" s="124" t="s">
        <v>2659</v>
      </c>
      <c r="L294" s="127" t="str">
        <f>"RUTL-"&amp;RIGHT(K294,8)</f>
        <v>RUTL-8AB43400</v>
      </c>
      <c r="M294" s="129" t="s">
        <v>40</v>
      </c>
      <c r="N294" s="14"/>
      <c r="O294" s="23"/>
      <c r="P294" s="124"/>
      <c r="Q294" s="124"/>
      <c r="R294" s="121" t="s">
        <v>56</v>
      </c>
      <c r="S294" s="124"/>
      <c r="T294" s="197" t="s">
        <v>2662</v>
      </c>
      <c r="U294" s="187" t="s">
        <v>2663</v>
      </c>
      <c r="V294" s="229">
        <v>2024</v>
      </c>
      <c r="W294" s="229" t="s">
        <v>386</v>
      </c>
      <c r="X294" s="71"/>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row>
    <row r="295" spans="1:135" ht="30" customHeight="1" thickBot="1" x14ac:dyDescent="0.3">
      <c r="A295" s="578" t="s">
        <v>1411</v>
      </c>
      <c r="B295" s="120" t="s">
        <v>1404</v>
      </c>
      <c r="C295" s="72" t="s">
        <v>1405</v>
      </c>
      <c r="D295" s="15" t="s">
        <v>24</v>
      </c>
      <c r="E295" s="11" t="s">
        <v>25</v>
      </c>
      <c r="F295" s="12" t="s">
        <v>1408</v>
      </c>
      <c r="G295" s="15" t="s">
        <v>1409</v>
      </c>
      <c r="H295" s="17" t="s">
        <v>891</v>
      </c>
      <c r="I295" s="18" t="s">
        <v>586</v>
      </c>
      <c r="J295" s="18" t="s">
        <v>382</v>
      </c>
      <c r="K295" s="124" t="s">
        <v>1420</v>
      </c>
      <c r="L295" s="127" t="str">
        <f>"RUTL-"&amp;RIGHT(K295,8)</f>
        <v>RUTL-89B63400</v>
      </c>
      <c r="M295" s="129" t="s">
        <v>40</v>
      </c>
      <c r="N295" s="23" t="s">
        <v>43</v>
      </c>
      <c r="O295" s="23"/>
      <c r="P295" s="39" t="s">
        <v>90</v>
      </c>
      <c r="Q295" s="39" t="s">
        <v>1421</v>
      </c>
      <c r="R295" s="121" t="s">
        <v>56</v>
      </c>
      <c r="S295" s="37" t="s">
        <v>57</v>
      </c>
      <c r="T295" s="87" t="s">
        <v>1422</v>
      </c>
      <c r="U295" s="47" t="s">
        <v>1424</v>
      </c>
      <c r="V295" s="23">
        <v>2024</v>
      </c>
      <c r="W295" s="23" t="s">
        <v>386</v>
      </c>
      <c r="X295" s="71"/>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row>
    <row r="296" spans="1:135" ht="30" customHeight="1" thickBot="1" x14ac:dyDescent="0.3">
      <c r="A296" s="578" t="s">
        <v>4466</v>
      </c>
      <c r="B296" s="16">
        <v>8541</v>
      </c>
      <c r="C296" s="72" t="s">
        <v>4462</v>
      </c>
      <c r="D296" s="10" t="s">
        <v>24</v>
      </c>
      <c r="E296" s="11" t="s">
        <v>25</v>
      </c>
      <c r="F296" s="20" t="s">
        <v>4463</v>
      </c>
      <c r="G296" s="15" t="s">
        <v>4464</v>
      </c>
      <c r="H296" s="313" t="s">
        <v>4465</v>
      </c>
      <c r="I296" s="18" t="s">
        <v>117</v>
      </c>
      <c r="J296" s="18" t="s">
        <v>382</v>
      </c>
      <c r="K296" s="33" t="s">
        <v>4467</v>
      </c>
      <c r="L296" s="25" t="str">
        <f>"RUTL-"&amp;RIGHT(K296,8)</f>
        <v>RUTL-8DB13400</v>
      </c>
      <c r="M296" s="34" t="s">
        <v>40</v>
      </c>
      <c r="N296" s="23"/>
      <c r="O296" s="23"/>
      <c r="P296" s="39" t="s">
        <v>90</v>
      </c>
      <c r="Q296" s="113"/>
      <c r="R296" s="15" t="s">
        <v>56</v>
      </c>
      <c r="S296" s="37" t="s">
        <v>57</v>
      </c>
      <c r="T296" s="107" t="s">
        <v>148</v>
      </c>
      <c r="U296" s="39" t="s">
        <v>4468</v>
      </c>
      <c r="V296" s="23">
        <v>2024</v>
      </c>
      <c r="W296" s="23" t="s">
        <v>386</v>
      </c>
      <c r="X296" s="71"/>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row>
    <row r="297" spans="1:135" ht="30" customHeight="1" thickBot="1" x14ac:dyDescent="0.3">
      <c r="A297" s="578" t="s">
        <v>4545</v>
      </c>
      <c r="B297" s="8">
        <v>9063</v>
      </c>
      <c r="C297" s="72" t="s">
        <v>4542</v>
      </c>
      <c r="D297" s="174" t="s">
        <v>1471</v>
      </c>
      <c r="E297" s="11" t="s">
        <v>25</v>
      </c>
      <c r="F297" s="20" t="s">
        <v>4543</v>
      </c>
      <c r="G297" s="15" t="s">
        <v>4544</v>
      </c>
      <c r="H297" s="53" t="s">
        <v>337</v>
      </c>
      <c r="I297" s="24" t="s">
        <v>135</v>
      </c>
      <c r="J297" s="18" t="s">
        <v>382</v>
      </c>
      <c r="K297" s="33" t="s">
        <v>4546</v>
      </c>
      <c r="L297" s="25" t="str">
        <f>"RUTL-"&amp;RIGHT(K297,8)</f>
        <v>RUTL-87AB3400</v>
      </c>
      <c r="M297" s="34" t="s">
        <v>40</v>
      </c>
      <c r="N297" s="23" t="s">
        <v>43</v>
      </c>
      <c r="O297" s="23"/>
      <c r="P297" s="23"/>
      <c r="Q297" s="113"/>
      <c r="R297" s="15" t="s">
        <v>56</v>
      </c>
      <c r="S297" s="37" t="s">
        <v>180</v>
      </c>
      <c r="T297" s="101" t="s">
        <v>96</v>
      </c>
      <c r="U297" s="39" t="s">
        <v>4547</v>
      </c>
      <c r="V297" s="23">
        <v>2024</v>
      </c>
      <c r="W297" s="23" t="s">
        <v>386</v>
      </c>
      <c r="X297" s="71"/>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row>
    <row r="298" spans="1:135" ht="30" customHeight="1" thickBot="1" x14ac:dyDescent="0.3">
      <c r="A298" s="578" t="s">
        <v>5954</v>
      </c>
      <c r="B298" s="437">
        <v>14748</v>
      </c>
      <c r="C298" s="52" t="s">
        <v>5952</v>
      </c>
      <c r="D298" s="10" t="s">
        <v>24</v>
      </c>
      <c r="E298" s="11" t="s">
        <v>25</v>
      </c>
      <c r="F298" s="12" t="s">
        <v>5953</v>
      </c>
      <c r="G298" s="15" t="s">
        <v>904</v>
      </c>
      <c r="H298" s="119" t="s">
        <v>852</v>
      </c>
      <c r="I298" s="18" t="s">
        <v>135</v>
      </c>
      <c r="J298" s="18" t="s">
        <v>382</v>
      </c>
      <c r="K298" s="23" t="s">
        <v>5955</v>
      </c>
      <c r="L298" s="25" t="str">
        <f>"RUTL-"&amp;RIGHT(K298,8)</f>
        <v>RUTL-8B243400</v>
      </c>
      <c r="M298" s="34" t="s">
        <v>40</v>
      </c>
      <c r="N298" s="23" t="s">
        <v>43</v>
      </c>
      <c r="O298" s="23"/>
      <c r="P298" s="23"/>
      <c r="Q298" s="113"/>
      <c r="R298" s="15" t="s">
        <v>235</v>
      </c>
      <c r="S298" s="21"/>
      <c r="T298" s="107" t="s">
        <v>453</v>
      </c>
      <c r="U298" s="23" t="s">
        <v>5956</v>
      </c>
      <c r="V298" s="23">
        <v>2024</v>
      </c>
      <c r="W298" s="23" t="s">
        <v>386</v>
      </c>
      <c r="X298" s="71"/>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row>
    <row r="299" spans="1:135" ht="30" customHeight="1" thickBot="1" x14ac:dyDescent="0.3">
      <c r="A299" s="578" t="s">
        <v>5013</v>
      </c>
      <c r="B299" s="16">
        <v>11331</v>
      </c>
      <c r="C299" s="72" t="s">
        <v>5011</v>
      </c>
      <c r="D299" s="15" t="s">
        <v>24</v>
      </c>
      <c r="E299" s="11" t="s">
        <v>25</v>
      </c>
      <c r="F299" s="20" t="s">
        <v>5012</v>
      </c>
      <c r="G299" s="15" t="s">
        <v>1796</v>
      </c>
      <c r="H299" s="143" t="s">
        <v>398</v>
      </c>
      <c r="I299" s="18" t="s">
        <v>135</v>
      </c>
      <c r="J299" s="18" t="s">
        <v>382</v>
      </c>
      <c r="K299" s="23" t="s">
        <v>5014</v>
      </c>
      <c r="L299" s="25" t="str">
        <f>"RUTL-"&amp;RIGHT(K299,8)</f>
        <v>RUTL-89503400</v>
      </c>
      <c r="M299" s="34" t="s">
        <v>40</v>
      </c>
      <c r="N299" s="23" t="s">
        <v>473</v>
      </c>
      <c r="O299" s="23"/>
      <c r="P299" s="39" t="s">
        <v>90</v>
      </c>
      <c r="Q299" s="63" t="s">
        <v>5015</v>
      </c>
      <c r="R299" s="15" t="s">
        <v>56</v>
      </c>
      <c r="S299" s="37" t="s">
        <v>57</v>
      </c>
      <c r="T299" s="101" t="s">
        <v>96</v>
      </c>
      <c r="U299" s="23" t="s">
        <v>5016</v>
      </c>
      <c r="V299" s="23">
        <v>2024</v>
      </c>
      <c r="W299" s="23" t="s">
        <v>386</v>
      </c>
      <c r="X299" s="71"/>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row>
    <row r="300" spans="1:135" ht="30" customHeight="1" thickBot="1" x14ac:dyDescent="0.3">
      <c r="A300" s="578" t="s">
        <v>1399</v>
      </c>
      <c r="B300" s="8">
        <v>548</v>
      </c>
      <c r="C300" s="167" t="s">
        <v>1395</v>
      </c>
      <c r="D300" s="15" t="s">
        <v>24</v>
      </c>
      <c r="E300" s="11" t="s">
        <v>25</v>
      </c>
      <c r="F300" s="12" t="s">
        <v>1397</v>
      </c>
      <c r="G300" s="15" t="s">
        <v>448</v>
      </c>
      <c r="H300" s="18" t="s">
        <v>1398</v>
      </c>
      <c r="I300" s="18" t="s">
        <v>198</v>
      </c>
      <c r="J300" s="18" t="s">
        <v>382</v>
      </c>
      <c r="K300" s="23" t="s">
        <v>1402</v>
      </c>
      <c r="L300" s="25" t="str">
        <f>"RUTL-"&amp;RIGHT(K300,8)</f>
        <v>RUTL-86E73400</v>
      </c>
      <c r="M300" s="34" t="s">
        <v>40</v>
      </c>
      <c r="N300" s="23" t="s">
        <v>43</v>
      </c>
      <c r="O300" s="23"/>
      <c r="P300" s="39" t="s">
        <v>90</v>
      </c>
      <c r="Q300" s="113"/>
      <c r="R300" s="15" t="s">
        <v>56</v>
      </c>
      <c r="S300" s="37" t="s">
        <v>57</v>
      </c>
      <c r="T300" s="101" t="s">
        <v>96</v>
      </c>
      <c r="U300" s="23" t="s">
        <v>1406</v>
      </c>
      <c r="V300" s="23" t="s">
        <v>1407</v>
      </c>
      <c r="W300" s="23"/>
      <c r="X300" s="71"/>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row>
    <row r="301" spans="1:135" ht="30" customHeight="1" thickBot="1" x14ac:dyDescent="0.3">
      <c r="A301" s="578" t="s">
        <v>4603</v>
      </c>
      <c r="B301" s="16">
        <v>9310</v>
      </c>
      <c r="C301" s="72" t="s">
        <v>4598</v>
      </c>
      <c r="D301" s="10" t="s">
        <v>24</v>
      </c>
      <c r="E301" s="11" t="s">
        <v>25</v>
      </c>
      <c r="F301" s="20" t="s">
        <v>4599</v>
      </c>
      <c r="G301" s="15" t="s">
        <v>4600</v>
      </c>
      <c r="H301" s="102" t="s">
        <v>4601</v>
      </c>
      <c r="I301" s="18" t="s">
        <v>117</v>
      </c>
      <c r="J301" s="24" t="s">
        <v>4602</v>
      </c>
      <c r="K301" s="33" t="s">
        <v>4604</v>
      </c>
      <c r="L301" s="25" t="str">
        <f>"RUTL-"&amp;RIGHT(K301,8)</f>
        <v>RUTL-MP2HBVXX</v>
      </c>
      <c r="M301" s="34" t="s">
        <v>40</v>
      </c>
      <c r="N301" s="23"/>
      <c r="O301" s="23"/>
      <c r="P301" s="23"/>
      <c r="Q301" s="113"/>
      <c r="R301" s="15" t="s">
        <v>56</v>
      </c>
      <c r="S301" s="41" t="s">
        <v>296</v>
      </c>
      <c r="T301" s="53" t="s">
        <v>4605</v>
      </c>
      <c r="U301" s="39" t="s">
        <v>4606</v>
      </c>
      <c r="V301" s="23"/>
      <c r="W301" s="23"/>
      <c r="X301" s="71"/>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row>
    <row r="302" spans="1:135" ht="30" customHeight="1" thickBot="1" x14ac:dyDescent="0.3">
      <c r="A302" s="578" t="s">
        <v>4714</v>
      </c>
      <c r="B302" s="16">
        <v>9768</v>
      </c>
      <c r="C302" s="72" t="s">
        <v>4711</v>
      </c>
      <c r="D302" s="10" t="s">
        <v>24</v>
      </c>
      <c r="E302" s="11" t="s">
        <v>25</v>
      </c>
      <c r="F302" s="20" t="s">
        <v>4712</v>
      </c>
      <c r="G302" s="15" t="s">
        <v>1183</v>
      </c>
      <c r="H302" s="119" t="s">
        <v>370</v>
      </c>
      <c r="I302" s="18" t="s">
        <v>4713</v>
      </c>
      <c r="J302" s="24" t="s">
        <v>1120</v>
      </c>
      <c r="K302" s="33" t="s">
        <v>4715</v>
      </c>
      <c r="L302" s="25" t="str">
        <f>"RUTL-"&amp;RIGHT(K302,8)</f>
        <v>RUTL-MP2HBY83</v>
      </c>
      <c r="M302" s="34" t="s">
        <v>40</v>
      </c>
      <c r="N302" s="39" t="s">
        <v>43</v>
      </c>
      <c r="O302" s="23"/>
      <c r="P302" s="39" t="s">
        <v>90</v>
      </c>
      <c r="Q302" s="63" t="s">
        <v>4716</v>
      </c>
      <c r="R302" s="15" t="s">
        <v>56</v>
      </c>
      <c r="S302" s="232" t="s">
        <v>296</v>
      </c>
      <c r="T302" s="165" t="s">
        <v>1630</v>
      </c>
      <c r="U302" s="39" t="s">
        <v>4717</v>
      </c>
      <c r="V302" s="23"/>
      <c r="W302" s="23"/>
      <c r="X302" s="71"/>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row>
    <row r="303" spans="1:135" ht="30" customHeight="1" thickBot="1" x14ac:dyDescent="0.3">
      <c r="A303" s="578" t="s">
        <v>5118</v>
      </c>
      <c r="B303" s="8">
        <v>11991</v>
      </c>
      <c r="C303" s="72" t="s">
        <v>5116</v>
      </c>
      <c r="D303" s="10" t="s">
        <v>24</v>
      </c>
      <c r="E303" s="11" t="s">
        <v>25</v>
      </c>
      <c r="F303" s="12" t="s">
        <v>5117</v>
      </c>
      <c r="G303" s="15" t="s">
        <v>2506</v>
      </c>
      <c r="H303" s="156" t="s">
        <v>2507</v>
      </c>
      <c r="I303" s="18" t="s">
        <v>117</v>
      </c>
      <c r="J303" s="24" t="s">
        <v>1120</v>
      </c>
      <c r="K303" s="23" t="s">
        <v>5119</v>
      </c>
      <c r="L303" s="25" t="str">
        <f>"RUTL-"&amp;RIGHT(K303,8)</f>
        <v>RUTL-MP2HC1M0</v>
      </c>
      <c r="M303" s="34" t="s">
        <v>40</v>
      </c>
      <c r="N303" s="23"/>
      <c r="O303" s="23"/>
      <c r="P303" s="39" t="s">
        <v>90</v>
      </c>
      <c r="Q303" s="63" t="s">
        <v>5120</v>
      </c>
      <c r="R303" s="15" t="s">
        <v>56</v>
      </c>
      <c r="S303" s="37" t="s">
        <v>57</v>
      </c>
      <c r="T303" s="105" t="s">
        <v>148</v>
      </c>
      <c r="U303" s="39" t="s">
        <v>5121</v>
      </c>
      <c r="V303" s="23"/>
      <c r="W303" s="23"/>
      <c r="X303" s="71"/>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row>
    <row r="304" spans="1:135" ht="30" customHeight="1" thickBot="1" x14ac:dyDescent="0.3">
      <c r="A304" s="578" t="s">
        <v>3716</v>
      </c>
      <c r="B304" s="8">
        <v>5383</v>
      </c>
      <c r="C304" s="72" t="s">
        <v>3714</v>
      </c>
      <c r="D304" s="15" t="s">
        <v>24</v>
      </c>
      <c r="E304" s="11" t="s">
        <v>25</v>
      </c>
      <c r="F304" s="20" t="s">
        <v>3715</v>
      </c>
      <c r="G304" s="15" t="s">
        <v>78</v>
      </c>
      <c r="H304" s="17" t="s">
        <v>381</v>
      </c>
      <c r="I304" s="18" t="s">
        <v>772</v>
      </c>
      <c r="J304" s="18" t="s">
        <v>2872</v>
      </c>
      <c r="K304" s="33" t="s">
        <v>3717</v>
      </c>
      <c r="L304" s="25" t="str">
        <f>"RUTL-"&amp;RIGHT(K304,8)</f>
        <v>RUTL-1N49543G</v>
      </c>
      <c r="M304" s="34" t="s">
        <v>40</v>
      </c>
      <c r="N304" s="23"/>
      <c r="O304" s="23"/>
      <c r="P304" s="23"/>
      <c r="Q304" s="113"/>
      <c r="R304" s="23"/>
      <c r="S304" s="37" t="s">
        <v>57</v>
      </c>
      <c r="T304" s="165" t="s">
        <v>1630</v>
      </c>
      <c r="U304" s="39" t="s">
        <v>3718</v>
      </c>
      <c r="V304" s="23"/>
      <c r="W304" s="23"/>
      <c r="X304" s="71"/>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row>
    <row r="305" spans="1:135" ht="30" customHeight="1" thickBot="1" x14ac:dyDescent="0.3">
      <c r="A305" s="578" t="s">
        <v>3059</v>
      </c>
      <c r="B305" s="8">
        <v>2657</v>
      </c>
      <c r="C305" s="72" t="s">
        <v>3057</v>
      </c>
      <c r="D305" s="10" t="s">
        <v>24</v>
      </c>
      <c r="E305" s="11" t="s">
        <v>25</v>
      </c>
      <c r="F305" s="20" t="s">
        <v>3058</v>
      </c>
      <c r="G305" s="15" t="s">
        <v>2871</v>
      </c>
      <c r="H305" s="17" t="s">
        <v>381</v>
      </c>
      <c r="I305" s="18" t="s">
        <v>772</v>
      </c>
      <c r="J305" s="18" t="s">
        <v>2872</v>
      </c>
      <c r="K305" s="33" t="s">
        <v>3060</v>
      </c>
      <c r="L305" s="25" t="str">
        <f>"RUTL-"&amp;RIGHT(K305,8)</f>
        <v>RUTL-9X31242F</v>
      </c>
      <c r="M305" s="34" t="s">
        <v>40</v>
      </c>
      <c r="N305" s="39" t="s">
        <v>87</v>
      </c>
      <c r="O305" s="23"/>
      <c r="P305" s="39" t="s">
        <v>90</v>
      </c>
      <c r="Q305" s="63" t="s">
        <v>146</v>
      </c>
      <c r="R305" s="15" t="s">
        <v>235</v>
      </c>
      <c r="S305" s="37" t="s">
        <v>57</v>
      </c>
      <c r="T305" s="105" t="s">
        <v>148</v>
      </c>
      <c r="U305" s="39" t="s">
        <v>2876</v>
      </c>
      <c r="V305" s="23"/>
      <c r="W305" s="23"/>
      <c r="X305" s="71"/>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row>
    <row r="306" spans="1:135" ht="30" customHeight="1" thickBot="1" x14ac:dyDescent="0.3">
      <c r="A306" s="578" t="s">
        <v>4890</v>
      </c>
      <c r="B306" s="8">
        <v>10914</v>
      </c>
      <c r="C306" s="72" t="s">
        <v>4888</v>
      </c>
      <c r="D306" s="10" t="s">
        <v>24</v>
      </c>
      <c r="E306" s="10" t="s">
        <v>25</v>
      </c>
      <c r="F306" s="20" t="s">
        <v>4889</v>
      </c>
      <c r="G306" s="15" t="s">
        <v>695</v>
      </c>
      <c r="H306" s="17" t="s">
        <v>381</v>
      </c>
      <c r="I306" s="18" t="s">
        <v>772</v>
      </c>
      <c r="J306" s="18" t="s">
        <v>2872</v>
      </c>
      <c r="K306" s="23" t="s">
        <v>4891</v>
      </c>
      <c r="L306" s="25" t="str">
        <f>"RUTL-"&amp;RIGHT(K306,8)</f>
        <v>RUTL-9X263425</v>
      </c>
      <c r="M306" s="34" t="s">
        <v>40</v>
      </c>
      <c r="N306" s="23" t="s">
        <v>43</v>
      </c>
      <c r="O306" s="23"/>
      <c r="P306" s="39" t="s">
        <v>90</v>
      </c>
      <c r="Q306" s="63" t="s">
        <v>146</v>
      </c>
      <c r="R306" s="15" t="s">
        <v>56</v>
      </c>
      <c r="S306" s="37" t="s">
        <v>57</v>
      </c>
      <c r="T306" s="105" t="s">
        <v>148</v>
      </c>
      <c r="U306" s="39" t="s">
        <v>4341</v>
      </c>
      <c r="V306" s="23"/>
      <c r="W306" s="23"/>
      <c r="X306" s="71"/>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row>
    <row r="307" spans="1:135" ht="30" customHeight="1" thickBot="1" x14ac:dyDescent="0.3">
      <c r="A307" s="578" t="s">
        <v>2873</v>
      </c>
      <c r="B307" s="8">
        <v>1832</v>
      </c>
      <c r="C307" s="72" t="s">
        <v>2869</v>
      </c>
      <c r="D307" s="15" t="s">
        <v>24</v>
      </c>
      <c r="E307" s="11" t="s">
        <v>25</v>
      </c>
      <c r="F307" s="20" t="s">
        <v>2870</v>
      </c>
      <c r="G307" s="15" t="s">
        <v>2871</v>
      </c>
      <c r="H307" s="17" t="s">
        <v>381</v>
      </c>
      <c r="I307" s="18" t="s">
        <v>772</v>
      </c>
      <c r="J307" s="18" t="s">
        <v>2872</v>
      </c>
      <c r="K307" s="33" t="s">
        <v>2874</v>
      </c>
      <c r="L307" s="25" t="str">
        <f>"RUTL-"&amp;RIGHT(K307,8)</f>
        <v>RUTL-9X32842C</v>
      </c>
      <c r="M307" s="34" t="s">
        <v>40</v>
      </c>
      <c r="N307" s="39" t="s">
        <v>87</v>
      </c>
      <c r="O307" s="23"/>
      <c r="P307" s="39" t="s">
        <v>90</v>
      </c>
      <c r="Q307" s="113"/>
      <c r="R307" s="15" t="s">
        <v>56</v>
      </c>
      <c r="S307" s="37" t="s">
        <v>57</v>
      </c>
      <c r="T307" s="105" t="s">
        <v>148</v>
      </c>
      <c r="U307" s="39" t="s">
        <v>2876</v>
      </c>
      <c r="V307" s="23"/>
      <c r="W307" s="23"/>
      <c r="X307" s="71"/>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row>
    <row r="308" spans="1:135" ht="30" customHeight="1" thickBot="1" x14ac:dyDescent="0.3">
      <c r="A308" s="578" t="s">
        <v>2984</v>
      </c>
      <c r="B308" s="8">
        <v>2253</v>
      </c>
      <c r="C308" s="72" t="s">
        <v>2981</v>
      </c>
      <c r="D308" s="10" t="s">
        <v>24</v>
      </c>
      <c r="E308" s="11" t="s">
        <v>25</v>
      </c>
      <c r="F308" s="12" t="s">
        <v>2982</v>
      </c>
      <c r="G308" s="15" t="s">
        <v>443</v>
      </c>
      <c r="H308" s="17" t="s">
        <v>682</v>
      </c>
      <c r="I308" s="18" t="s">
        <v>135</v>
      </c>
      <c r="J308" s="18" t="s">
        <v>2983</v>
      </c>
      <c r="K308" s="33" t="s">
        <v>2985</v>
      </c>
      <c r="L308" s="25" t="str">
        <f>"RUTL-"&amp;RIGHT(K308,8)</f>
        <v>RUTL-PF4EL58S</v>
      </c>
      <c r="M308" s="34" t="s">
        <v>40</v>
      </c>
      <c r="N308" s="23"/>
      <c r="O308" s="23"/>
      <c r="P308" s="39" t="s">
        <v>90</v>
      </c>
      <c r="Q308" s="39" t="s">
        <v>2986</v>
      </c>
      <c r="R308" s="15" t="s">
        <v>235</v>
      </c>
      <c r="S308" s="23"/>
      <c r="T308" s="23" t="s">
        <v>2987</v>
      </c>
      <c r="U308" s="39" t="s">
        <v>2988</v>
      </c>
      <c r="V308" s="23"/>
      <c r="W308" s="23" t="s">
        <v>2989</v>
      </c>
      <c r="X308" s="71"/>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row>
    <row r="309" spans="1:135" ht="30" customHeight="1" thickBot="1" x14ac:dyDescent="0.3">
      <c r="A309" s="578" t="s">
        <v>4039</v>
      </c>
      <c r="B309" s="8">
        <v>6918</v>
      </c>
      <c r="C309" s="72" t="s">
        <v>4037</v>
      </c>
      <c r="D309" s="15" t="s">
        <v>24</v>
      </c>
      <c r="E309" s="11" t="s">
        <v>25</v>
      </c>
      <c r="F309" s="20" t="s">
        <v>4038</v>
      </c>
      <c r="G309" s="15" t="s">
        <v>3142</v>
      </c>
      <c r="H309" s="53" t="s">
        <v>337</v>
      </c>
      <c r="I309" s="18" t="s">
        <v>198</v>
      </c>
      <c r="J309" s="18" t="s">
        <v>2983</v>
      </c>
      <c r="K309" s="33" t="s">
        <v>4040</v>
      </c>
      <c r="L309" s="25" t="str">
        <f>"RUTL-"&amp;RIGHT(K309,8)</f>
        <v>RUTL-PF4EP7BQ</v>
      </c>
      <c r="M309" s="34" t="s">
        <v>40</v>
      </c>
      <c r="N309" s="23"/>
      <c r="O309" s="23"/>
      <c r="P309" s="23"/>
      <c r="Q309" s="113"/>
      <c r="R309" s="15" t="s">
        <v>235</v>
      </c>
      <c r="S309" s="23"/>
      <c r="T309" s="53" t="s">
        <v>1581</v>
      </c>
      <c r="U309" s="39" t="s">
        <v>4041</v>
      </c>
      <c r="V309" s="23"/>
      <c r="W309" s="23" t="s">
        <v>2989</v>
      </c>
      <c r="X309" s="71"/>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row>
    <row r="310" spans="1:135" ht="30" customHeight="1" thickBot="1" x14ac:dyDescent="0.3">
      <c r="A310" s="578" t="s">
        <v>5647</v>
      </c>
      <c r="B310" s="344">
        <v>13423</v>
      </c>
      <c r="C310" s="72" t="s">
        <v>5643</v>
      </c>
      <c r="D310" s="10" t="s">
        <v>24</v>
      </c>
      <c r="E310" s="11" t="s">
        <v>25</v>
      </c>
      <c r="F310" s="20" t="s">
        <v>661</v>
      </c>
      <c r="G310" s="15" t="s">
        <v>5644</v>
      </c>
      <c r="H310" s="291" t="s">
        <v>3087</v>
      </c>
      <c r="I310" s="18" t="s">
        <v>5645</v>
      </c>
      <c r="J310" s="18" t="s">
        <v>5646</v>
      </c>
      <c r="K310" s="23" t="s">
        <v>5648</v>
      </c>
      <c r="L310" s="25" t="str">
        <f>"RUTL-"&amp;RIGHT(K310,8)</f>
        <v>RUTL-PF4ETBE4</v>
      </c>
      <c r="M310" s="34" t="s">
        <v>40</v>
      </c>
      <c r="N310" s="23" t="s">
        <v>5649</v>
      </c>
      <c r="O310" s="23"/>
      <c r="P310" s="90" t="s">
        <v>90</v>
      </c>
      <c r="Q310" s="63" t="s">
        <v>146</v>
      </c>
      <c r="R310" s="15" t="s">
        <v>56</v>
      </c>
      <c r="S310" s="37" t="s">
        <v>57</v>
      </c>
      <c r="T310" s="101" t="s">
        <v>96</v>
      </c>
      <c r="U310" s="39" t="s">
        <v>3435</v>
      </c>
      <c r="V310" s="23"/>
      <c r="W310" s="23" t="s">
        <v>2989</v>
      </c>
      <c r="X310" s="71"/>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row>
    <row r="311" spans="1:135" ht="30" customHeight="1" thickBot="1" x14ac:dyDescent="0.3">
      <c r="A311" s="578" t="s">
        <v>7396</v>
      </c>
      <c r="B311" s="51">
        <v>18585</v>
      </c>
      <c r="C311" s="72" t="s">
        <v>7394</v>
      </c>
      <c r="D311" s="10" t="s">
        <v>24</v>
      </c>
      <c r="E311" s="28" t="s">
        <v>25</v>
      </c>
      <c r="F311" s="20" t="s">
        <v>7395</v>
      </c>
      <c r="G311" s="15" t="s">
        <v>6221</v>
      </c>
      <c r="H311" s="119" t="s">
        <v>852</v>
      </c>
      <c r="I311" s="18" t="s">
        <v>135</v>
      </c>
      <c r="J311" s="18" t="s">
        <v>2983</v>
      </c>
      <c r="K311" s="33" t="s">
        <v>7397</v>
      </c>
      <c r="L311" s="25" t="str">
        <f>"RUTL-"&amp;RIGHT(K311,8)</f>
        <v>RUTL-PF4ETBCE</v>
      </c>
      <c r="M311" s="34" t="s">
        <v>40</v>
      </c>
      <c r="N311" s="39" t="s">
        <v>414</v>
      </c>
      <c r="O311" s="39" t="s">
        <v>7398</v>
      </c>
      <c r="P311" s="39" t="s">
        <v>90</v>
      </c>
      <c r="Q311" s="113"/>
      <c r="R311" s="15" t="s">
        <v>56</v>
      </c>
      <c r="S311" s="37" t="s">
        <v>57</v>
      </c>
      <c r="T311" s="350" t="s">
        <v>96</v>
      </c>
      <c r="U311" s="23" t="s">
        <v>6494</v>
      </c>
      <c r="V311" s="23"/>
      <c r="W311" s="23"/>
      <c r="X311" s="71"/>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row>
    <row r="312" spans="1:135" ht="30" customHeight="1" thickBot="1" x14ac:dyDescent="0.3">
      <c r="A312" s="578" t="s">
        <v>4255</v>
      </c>
      <c r="B312" s="8">
        <v>7727</v>
      </c>
      <c r="C312" s="72" t="s">
        <v>4251</v>
      </c>
      <c r="D312" s="10" t="s">
        <v>24</v>
      </c>
      <c r="E312" s="11" t="s">
        <v>25</v>
      </c>
      <c r="F312" s="20" t="s">
        <v>4252</v>
      </c>
      <c r="G312" s="15" t="s">
        <v>4253</v>
      </c>
      <c r="H312" s="18" t="s">
        <v>4254</v>
      </c>
      <c r="I312" s="18" t="s">
        <v>117</v>
      </c>
      <c r="J312" s="18" t="s">
        <v>2983</v>
      </c>
      <c r="K312" s="33" t="s">
        <v>4256</v>
      </c>
      <c r="L312" s="25" t="str">
        <f>"RUTL-"&amp;RIGHT(K312,8)</f>
        <v>RUTL-PF4EN2AM</v>
      </c>
      <c r="M312" s="34" t="s">
        <v>40</v>
      </c>
      <c r="N312" s="23"/>
      <c r="O312" s="23"/>
      <c r="P312" s="23"/>
      <c r="Q312" s="113"/>
      <c r="R312" s="15" t="s">
        <v>235</v>
      </c>
      <c r="S312" s="23"/>
      <c r="T312" s="53" t="s">
        <v>1581</v>
      </c>
      <c r="U312" s="39" t="s">
        <v>4257</v>
      </c>
      <c r="V312" s="23"/>
      <c r="W312" s="23" t="s">
        <v>2989</v>
      </c>
      <c r="X312" s="71"/>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row>
    <row r="313" spans="1:135" ht="30" customHeight="1" thickBot="1" x14ac:dyDescent="0.3">
      <c r="A313" s="578" t="s">
        <v>6668</v>
      </c>
      <c r="B313" s="51">
        <v>16463</v>
      </c>
      <c r="C313" s="72" t="s">
        <v>6666</v>
      </c>
      <c r="D313" s="10" t="s">
        <v>24</v>
      </c>
      <c r="E313" s="11" t="s">
        <v>25</v>
      </c>
      <c r="F313" s="20" t="s">
        <v>6667</v>
      </c>
      <c r="G313" s="15" t="s">
        <v>958</v>
      </c>
      <c r="H313" s="119" t="s">
        <v>370</v>
      </c>
      <c r="I313" s="18" t="s">
        <v>135</v>
      </c>
      <c r="J313" s="18" t="s">
        <v>2983</v>
      </c>
      <c r="K313" s="23" t="s">
        <v>6669</v>
      </c>
      <c r="L313" s="25" t="str">
        <f>"RUTL-"&amp;RIGHT(K313,8)</f>
        <v>RUTL-PF4ET93Z</v>
      </c>
      <c r="M313" s="34" t="s">
        <v>40</v>
      </c>
      <c r="N313" s="32" t="s">
        <v>54</v>
      </c>
      <c r="O313" s="23"/>
      <c r="P313" s="39" t="s">
        <v>90</v>
      </c>
      <c r="Q313" s="113"/>
      <c r="R313" s="15" t="s">
        <v>56</v>
      </c>
      <c r="S313" s="37" t="s">
        <v>57</v>
      </c>
      <c r="T313" s="118" t="s">
        <v>65</v>
      </c>
      <c r="U313" s="39" t="s">
        <v>5140</v>
      </c>
      <c r="V313" s="23"/>
      <c r="W313" s="23" t="s">
        <v>2989</v>
      </c>
      <c r="X313" s="71"/>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row>
    <row r="314" spans="1:135" ht="30" customHeight="1" thickBot="1" x14ac:dyDescent="0.3">
      <c r="A314" s="578" t="s">
        <v>4768</v>
      </c>
      <c r="B314" s="16">
        <v>9999</v>
      </c>
      <c r="C314" s="72" t="s">
        <v>4766</v>
      </c>
      <c r="D314" s="15" t="s">
        <v>24</v>
      </c>
      <c r="E314" s="11" t="s">
        <v>25</v>
      </c>
      <c r="F314" s="20" t="s">
        <v>4767</v>
      </c>
      <c r="G314" s="15" t="s">
        <v>3219</v>
      </c>
      <c r="H314" s="156" t="s">
        <v>1573</v>
      </c>
      <c r="I314" s="18" t="s">
        <v>48</v>
      </c>
      <c r="J314" s="18" t="s">
        <v>3156</v>
      </c>
      <c r="K314" s="33" t="s">
        <v>4769</v>
      </c>
      <c r="L314" s="25" t="str">
        <f>"RUTL-"&amp;RIGHT(K314,8)</f>
        <v>RUTL-12DA3000</v>
      </c>
      <c r="M314" s="34" t="s">
        <v>40</v>
      </c>
      <c r="N314" s="23" t="s">
        <v>43</v>
      </c>
      <c r="O314" s="23"/>
      <c r="P314" s="23"/>
      <c r="Q314" s="113"/>
      <c r="R314" s="15" t="s">
        <v>56</v>
      </c>
      <c r="S314" s="23"/>
      <c r="T314" s="107" t="s">
        <v>453</v>
      </c>
      <c r="U314" s="39" t="s">
        <v>4770</v>
      </c>
      <c r="V314" s="23"/>
      <c r="W314" s="23"/>
      <c r="X314" s="71"/>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row>
    <row r="315" spans="1:135" ht="30" customHeight="1" thickBot="1" x14ac:dyDescent="0.3">
      <c r="A315" s="578" t="s">
        <v>383</v>
      </c>
      <c r="B315" s="8">
        <v>135</v>
      </c>
      <c r="C315" s="72" t="s">
        <v>379</v>
      </c>
      <c r="D315" s="15" t="s">
        <v>24</v>
      </c>
      <c r="E315" s="11" t="s">
        <v>25</v>
      </c>
      <c r="F315" s="20" t="s">
        <v>380</v>
      </c>
      <c r="G315" s="15" t="s">
        <v>285</v>
      </c>
      <c r="H315" s="17" t="s">
        <v>381</v>
      </c>
      <c r="I315" s="54" t="s">
        <v>135</v>
      </c>
      <c r="J315" s="18" t="s">
        <v>382</v>
      </c>
      <c r="K315" s="23" t="s">
        <v>384</v>
      </c>
      <c r="L315" s="25" t="str">
        <f>"RUTL-"&amp;RIGHT(K315,8)</f>
        <v>RUTL-884B3400</v>
      </c>
      <c r="M315" s="34" t="s">
        <v>40</v>
      </c>
      <c r="N315" s="39" t="s">
        <v>87</v>
      </c>
      <c r="O315" s="23"/>
      <c r="P315" s="39" t="s">
        <v>90</v>
      </c>
      <c r="Q315" s="113"/>
      <c r="R315" s="15" t="s">
        <v>235</v>
      </c>
      <c r="S315" s="37" t="s">
        <v>57</v>
      </c>
      <c r="T315" s="101" t="s">
        <v>96</v>
      </c>
      <c r="U315" s="39" t="s">
        <v>385</v>
      </c>
      <c r="V315" s="23">
        <v>2024</v>
      </c>
      <c r="W315" s="23" t="s">
        <v>386</v>
      </c>
      <c r="X315" s="30"/>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row>
    <row r="316" spans="1:135" ht="30" customHeight="1" thickBot="1" x14ac:dyDescent="0.3">
      <c r="A316" s="578" t="s">
        <v>1374</v>
      </c>
      <c r="B316" s="8">
        <v>546</v>
      </c>
      <c r="C316" s="72" t="s">
        <v>1366</v>
      </c>
      <c r="D316" s="15" t="s">
        <v>24</v>
      </c>
      <c r="E316" s="11" t="s">
        <v>25</v>
      </c>
      <c r="F316" s="12" t="s">
        <v>1368</v>
      </c>
      <c r="G316" s="15" t="s">
        <v>1369</v>
      </c>
      <c r="H316" s="148" t="s">
        <v>436</v>
      </c>
      <c r="I316" s="18" t="s">
        <v>135</v>
      </c>
      <c r="J316" s="18" t="s">
        <v>382</v>
      </c>
      <c r="K316" s="23" t="s">
        <v>1376</v>
      </c>
      <c r="L316" s="25" t="str">
        <f>"RUTL-"&amp;RIGHT(K316,8)</f>
        <v>RUTL-88D83400</v>
      </c>
      <c r="M316" s="34" t="s">
        <v>40</v>
      </c>
      <c r="N316" s="23"/>
      <c r="O316" s="23"/>
      <c r="P316" s="39" t="s">
        <v>90</v>
      </c>
      <c r="Q316" s="113"/>
      <c r="R316" s="15" t="s">
        <v>56</v>
      </c>
      <c r="S316" s="37" t="s">
        <v>57</v>
      </c>
      <c r="T316" s="101" t="s">
        <v>96</v>
      </c>
      <c r="U316" s="39" t="s">
        <v>909</v>
      </c>
      <c r="V316" s="23">
        <v>2024</v>
      </c>
      <c r="W316" s="23" t="s">
        <v>386</v>
      </c>
      <c r="X316" s="71"/>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row>
    <row r="317" spans="1:135" ht="30" customHeight="1" thickBot="1" x14ac:dyDescent="0.3">
      <c r="A317" s="578" t="s">
        <v>1956</v>
      </c>
      <c r="B317" s="8">
        <v>795</v>
      </c>
      <c r="C317" s="72" t="s">
        <v>1953</v>
      </c>
      <c r="D317" s="15" t="s">
        <v>24</v>
      </c>
      <c r="E317" s="11" t="s">
        <v>25</v>
      </c>
      <c r="F317" s="20" t="s">
        <v>1954</v>
      </c>
      <c r="G317" s="15" t="s">
        <v>1183</v>
      </c>
      <c r="H317" s="119" t="s">
        <v>1071</v>
      </c>
      <c r="I317" s="18" t="s">
        <v>135</v>
      </c>
      <c r="J317" s="18" t="s">
        <v>382</v>
      </c>
      <c r="K317" s="23" t="s">
        <v>1957</v>
      </c>
      <c r="L317" s="25" t="str">
        <f>"RUTL-"&amp;RIGHT(K317,8)</f>
        <v>RUTL-897C3400</v>
      </c>
      <c r="M317" s="34" t="s">
        <v>40</v>
      </c>
      <c r="N317" s="39"/>
      <c r="O317" s="23"/>
      <c r="P317" s="23"/>
      <c r="Q317" s="113"/>
      <c r="R317" s="15" t="s">
        <v>235</v>
      </c>
      <c r="S317" s="41" t="s">
        <v>296</v>
      </c>
      <c r="T317" s="107" t="s">
        <v>453</v>
      </c>
      <c r="U317" s="39" t="s">
        <v>1958</v>
      </c>
      <c r="V317" s="23">
        <v>2024</v>
      </c>
      <c r="W317" s="23" t="s">
        <v>386</v>
      </c>
      <c r="X317" s="71"/>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row>
    <row r="318" spans="1:135" ht="30" customHeight="1" thickBot="1" x14ac:dyDescent="0.3">
      <c r="A318" s="578" t="s">
        <v>6900</v>
      </c>
      <c r="B318" s="51">
        <v>16974</v>
      </c>
      <c r="C318" s="52" t="s">
        <v>6897</v>
      </c>
      <c r="D318" s="10" t="s">
        <v>24</v>
      </c>
      <c r="E318" s="11" t="s">
        <v>25</v>
      </c>
      <c r="F318" s="20" t="s">
        <v>6898</v>
      </c>
      <c r="G318" s="15" t="s">
        <v>6899</v>
      </c>
      <c r="H318" s="119" t="s">
        <v>370</v>
      </c>
      <c r="I318" s="18" t="s">
        <v>135</v>
      </c>
      <c r="J318" s="18" t="s">
        <v>382</v>
      </c>
      <c r="K318" s="23" t="s">
        <v>6901</v>
      </c>
      <c r="L318" s="25" t="str">
        <f>"RUTL-"&amp;RIGHT(K318,8)</f>
        <v>RUTL-8C2A3400</v>
      </c>
      <c r="M318" s="34" t="s">
        <v>40</v>
      </c>
      <c r="N318" s="32" t="s">
        <v>54</v>
      </c>
      <c r="O318" s="23"/>
      <c r="P318" s="23"/>
      <c r="Q318" s="113"/>
      <c r="R318" s="15" t="s">
        <v>235</v>
      </c>
      <c r="S318" s="37" t="s">
        <v>57</v>
      </c>
      <c r="T318" s="107" t="s">
        <v>453</v>
      </c>
      <c r="U318" s="23" t="s">
        <v>1162</v>
      </c>
      <c r="V318" s="23">
        <v>2024</v>
      </c>
      <c r="W318" s="23" t="s">
        <v>386</v>
      </c>
      <c r="X318" s="71"/>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row>
    <row r="319" spans="1:135" ht="30" customHeight="1" thickBot="1" x14ac:dyDescent="0.3">
      <c r="A319" s="578" t="s">
        <v>2247</v>
      </c>
      <c r="B319" s="8">
        <v>951</v>
      </c>
      <c r="C319" s="72" t="s">
        <v>2243</v>
      </c>
      <c r="D319" s="15" t="s">
        <v>24</v>
      </c>
      <c r="E319" s="11" t="s">
        <v>25</v>
      </c>
      <c r="F319" s="20" t="s">
        <v>2245</v>
      </c>
      <c r="G319" s="15" t="s">
        <v>448</v>
      </c>
      <c r="H319" s="22" t="s">
        <v>2246</v>
      </c>
      <c r="I319" s="18" t="s">
        <v>135</v>
      </c>
      <c r="J319" s="18" t="s">
        <v>382</v>
      </c>
      <c r="K319" s="23" t="s">
        <v>2249</v>
      </c>
      <c r="L319" s="25" t="str">
        <f>"RUTL-"&amp;RIGHT(K319,8)</f>
        <v>RUTL-8F053400</v>
      </c>
      <c r="M319" s="34" t="s">
        <v>40</v>
      </c>
      <c r="N319" s="39" t="s">
        <v>410</v>
      </c>
      <c r="O319" s="23"/>
      <c r="P319" s="39" t="s">
        <v>90</v>
      </c>
      <c r="Q319" s="63" t="s">
        <v>2251</v>
      </c>
      <c r="R319" s="15" t="s">
        <v>56</v>
      </c>
      <c r="S319" s="37" t="s">
        <v>57</v>
      </c>
      <c r="T319" s="105" t="s">
        <v>148</v>
      </c>
      <c r="U319" s="39" t="s">
        <v>2252</v>
      </c>
      <c r="V319" s="23">
        <v>2024</v>
      </c>
      <c r="W319" s="23" t="s">
        <v>386</v>
      </c>
      <c r="X319" s="71"/>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row>
    <row r="320" spans="1:135" ht="30" customHeight="1" thickBot="1" x14ac:dyDescent="0.3">
      <c r="A320" s="578" t="s">
        <v>2193</v>
      </c>
      <c r="B320" s="120" t="s">
        <v>2189</v>
      </c>
      <c r="C320" s="72" t="s">
        <v>2190</v>
      </c>
      <c r="D320" s="15" t="s">
        <v>24</v>
      </c>
      <c r="E320" s="11" t="s">
        <v>25</v>
      </c>
      <c r="F320" s="20" t="s">
        <v>2191</v>
      </c>
      <c r="G320" s="15" t="s">
        <v>2192</v>
      </c>
      <c r="H320" s="17" t="s">
        <v>470</v>
      </c>
      <c r="I320" s="18" t="s">
        <v>586</v>
      </c>
      <c r="J320" s="18" t="s">
        <v>382</v>
      </c>
      <c r="K320" s="33" t="s">
        <v>2194</v>
      </c>
      <c r="L320" s="25" t="str">
        <f>"RUTL-"&amp;RIGHT(K320,8)</f>
        <v>RUTL-8A7A3400</v>
      </c>
      <c r="M320" s="129" t="s">
        <v>40</v>
      </c>
      <c r="N320" s="23"/>
      <c r="O320" s="23"/>
      <c r="P320" s="39" t="s">
        <v>90</v>
      </c>
      <c r="Q320" s="188" t="s">
        <v>2196</v>
      </c>
      <c r="R320" s="121" t="s">
        <v>56</v>
      </c>
      <c r="S320" s="37" t="s">
        <v>57</v>
      </c>
      <c r="T320" s="107" t="s">
        <v>148</v>
      </c>
      <c r="U320" s="314" t="s">
        <v>2200</v>
      </c>
      <c r="V320" s="23">
        <v>2024</v>
      </c>
      <c r="W320" s="23" t="s">
        <v>386</v>
      </c>
      <c r="X320" s="71"/>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row>
    <row r="321" spans="1:135" ht="30" customHeight="1" thickBot="1" x14ac:dyDescent="0.3">
      <c r="A321" s="578" t="s">
        <v>2938</v>
      </c>
      <c r="B321" s="16">
        <v>2024</v>
      </c>
      <c r="C321" s="52" t="s">
        <v>2936</v>
      </c>
      <c r="D321" s="15" t="s">
        <v>24</v>
      </c>
      <c r="E321" s="11" t="s">
        <v>25</v>
      </c>
      <c r="F321" s="20" t="s">
        <v>2937</v>
      </c>
      <c r="G321" s="15" t="s">
        <v>1525</v>
      </c>
      <c r="H321" s="17" t="s">
        <v>891</v>
      </c>
      <c r="I321" s="18" t="s">
        <v>135</v>
      </c>
      <c r="J321" s="18" t="s">
        <v>382</v>
      </c>
      <c r="K321" s="33" t="s">
        <v>2939</v>
      </c>
      <c r="L321" s="25" t="str">
        <f>"RUTL-"&amp;RIGHT(K321,8)</f>
        <v>RUTL-89263400</v>
      </c>
      <c r="M321" s="34" t="s">
        <v>40</v>
      </c>
      <c r="N321" s="23"/>
      <c r="O321" s="23"/>
      <c r="P321" s="39" t="s">
        <v>90</v>
      </c>
      <c r="Q321" s="39" t="s">
        <v>2940</v>
      </c>
      <c r="R321" s="15" t="s">
        <v>56</v>
      </c>
      <c r="S321" s="37" t="s">
        <v>57</v>
      </c>
      <c r="T321" s="105" t="s">
        <v>148</v>
      </c>
      <c r="U321" s="39" t="s">
        <v>2941</v>
      </c>
      <c r="V321" s="32">
        <v>2024</v>
      </c>
      <c r="W321" s="23" t="s">
        <v>386</v>
      </c>
      <c r="X321" s="71"/>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row>
    <row r="322" spans="1:135" ht="30" customHeight="1" thickBot="1" x14ac:dyDescent="0.3">
      <c r="A322" s="578" t="s">
        <v>2978</v>
      </c>
      <c r="B322" s="8">
        <v>2206</v>
      </c>
      <c r="C322" s="72" t="s">
        <v>2976</v>
      </c>
      <c r="D322" s="10" t="s">
        <v>24</v>
      </c>
      <c r="E322" s="11" t="s">
        <v>25</v>
      </c>
      <c r="F322" s="12" t="s">
        <v>2977</v>
      </c>
      <c r="G322" s="15" t="s">
        <v>78</v>
      </c>
      <c r="H322" s="148" t="s">
        <v>436</v>
      </c>
      <c r="I322" s="18" t="s">
        <v>117</v>
      </c>
      <c r="J322" s="18" t="s">
        <v>382</v>
      </c>
      <c r="K322" s="33" t="s">
        <v>2979</v>
      </c>
      <c r="L322" s="25" t="str">
        <f>"RUTL-"&amp;RIGHT(K322,8)</f>
        <v>RUTL-85AC3400</v>
      </c>
      <c r="M322" s="34" t="s">
        <v>40</v>
      </c>
      <c r="N322" s="23"/>
      <c r="O322" s="23"/>
      <c r="P322" s="23"/>
      <c r="Q322" s="113"/>
      <c r="R322" s="23"/>
      <c r="S322" s="23" t="s">
        <v>296</v>
      </c>
      <c r="T322" s="23"/>
      <c r="U322" s="39" t="s">
        <v>2980</v>
      </c>
      <c r="V322" s="170">
        <v>45385</v>
      </c>
      <c r="W322" s="23" t="s">
        <v>386</v>
      </c>
      <c r="X322" s="71"/>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row>
    <row r="323" spans="1:135" ht="30" customHeight="1" thickBot="1" x14ac:dyDescent="0.3">
      <c r="A323" s="578" t="s">
        <v>3345</v>
      </c>
      <c r="B323" s="51">
        <v>3514</v>
      </c>
      <c r="C323" s="72" t="s">
        <v>3342</v>
      </c>
      <c r="D323" s="10" t="s">
        <v>24</v>
      </c>
      <c r="E323" s="11" t="s">
        <v>25</v>
      </c>
      <c r="F323" s="20" t="s">
        <v>3343</v>
      </c>
      <c r="G323" s="15" t="s">
        <v>3344</v>
      </c>
      <c r="H323" s="102" t="s">
        <v>287</v>
      </c>
      <c r="I323" s="18" t="s">
        <v>772</v>
      </c>
      <c r="J323" s="18" t="s">
        <v>382</v>
      </c>
      <c r="K323" s="33" t="s">
        <v>3346</v>
      </c>
      <c r="L323" s="25" t="str">
        <f>"RUTL-"&amp;RIGHT(K323,8)</f>
        <v>RUTL-88DD3400</v>
      </c>
      <c r="M323" s="34" t="s">
        <v>40</v>
      </c>
      <c r="N323" s="39" t="s">
        <v>410</v>
      </c>
      <c r="O323" s="23"/>
      <c r="P323" s="23"/>
      <c r="Q323" s="113"/>
      <c r="R323" s="23"/>
      <c r="S323" s="23"/>
      <c r="T323" s="23"/>
      <c r="U323" s="23">
        <v>2021</v>
      </c>
      <c r="V323" s="242">
        <v>2024</v>
      </c>
      <c r="W323" s="23" t="s">
        <v>386</v>
      </c>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row>
    <row r="324" spans="1:135" ht="30" customHeight="1" thickBot="1" x14ac:dyDescent="0.3">
      <c r="A324" s="578" t="s">
        <v>3727</v>
      </c>
      <c r="B324" s="8">
        <v>5438</v>
      </c>
      <c r="C324" s="72" t="s">
        <v>3725</v>
      </c>
      <c r="D324" s="15" t="s">
        <v>24</v>
      </c>
      <c r="E324" s="11" t="s">
        <v>25</v>
      </c>
      <c r="F324" s="20" t="s">
        <v>3726</v>
      </c>
      <c r="G324" s="15" t="s">
        <v>3501</v>
      </c>
      <c r="H324" s="53" t="s">
        <v>3096</v>
      </c>
      <c r="I324" s="18" t="s">
        <v>135</v>
      </c>
      <c r="J324" s="18" t="s">
        <v>382</v>
      </c>
      <c r="K324" s="33" t="s">
        <v>3728</v>
      </c>
      <c r="L324" s="25" t="str">
        <f>"RUTL-"&amp;RIGHT(K324,8)</f>
        <v>RUTL-8E343400</v>
      </c>
      <c r="M324" s="23"/>
      <c r="N324" s="23"/>
      <c r="O324" s="23"/>
      <c r="P324" s="23"/>
      <c r="Q324" s="113"/>
      <c r="R324" s="15" t="s">
        <v>235</v>
      </c>
      <c r="S324" s="37" t="s">
        <v>57</v>
      </c>
      <c r="T324" s="101" t="s">
        <v>96</v>
      </c>
      <c r="U324" s="39" t="s">
        <v>3729</v>
      </c>
      <c r="V324" s="23" t="s">
        <v>1407</v>
      </c>
      <c r="W324" s="23"/>
      <c r="X324" s="71"/>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row>
    <row r="325" spans="1:135" ht="30" customHeight="1" thickBot="1" x14ac:dyDescent="0.3">
      <c r="A325" s="578" t="s">
        <v>2682</v>
      </c>
      <c r="B325" s="8">
        <v>1650</v>
      </c>
      <c r="C325" s="69" t="s">
        <v>2678</v>
      </c>
      <c r="D325" s="15" t="s">
        <v>24</v>
      </c>
      <c r="E325" s="11" t="s">
        <v>25</v>
      </c>
      <c r="F325" s="29" t="s">
        <v>2680</v>
      </c>
      <c r="G325" s="15" t="s">
        <v>2681</v>
      </c>
      <c r="H325" s="24" t="s">
        <v>2210</v>
      </c>
      <c r="I325" s="24" t="s">
        <v>135</v>
      </c>
      <c r="J325" s="24" t="s">
        <v>382</v>
      </c>
      <c r="K325" s="33" t="s">
        <v>2683</v>
      </c>
      <c r="L325" s="25" t="str">
        <f>"RUTL-"&amp;RIGHT(K325,8)</f>
        <v>RUTL-8AD23400</v>
      </c>
      <c r="M325" s="34" t="s">
        <v>40</v>
      </c>
      <c r="N325" s="39" t="s">
        <v>414</v>
      </c>
      <c r="O325" s="32"/>
      <c r="P325" s="90" t="s">
        <v>90</v>
      </c>
      <c r="Q325" s="91" t="s">
        <v>2684</v>
      </c>
      <c r="R325" s="15" t="s">
        <v>56</v>
      </c>
      <c r="S325" s="40" t="s">
        <v>57</v>
      </c>
      <c r="T325" s="105" t="s">
        <v>148</v>
      </c>
      <c r="U325" s="39" t="s">
        <v>538</v>
      </c>
      <c r="V325" s="32">
        <v>2024</v>
      </c>
      <c r="W325" s="32" t="s">
        <v>386</v>
      </c>
      <c r="X325" s="71"/>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row>
    <row r="326" spans="1:135" ht="30" customHeight="1" thickBot="1" x14ac:dyDescent="0.3">
      <c r="A326" s="578" t="s">
        <v>4620</v>
      </c>
      <c r="B326" s="51">
        <v>9464</v>
      </c>
      <c r="C326" s="72" t="s">
        <v>4617</v>
      </c>
      <c r="D326" s="15" t="s">
        <v>24</v>
      </c>
      <c r="E326" s="11" t="s">
        <v>25</v>
      </c>
      <c r="F326" s="20" t="s">
        <v>4618</v>
      </c>
      <c r="G326" s="15" t="s">
        <v>4619</v>
      </c>
      <c r="H326" s="148" t="s">
        <v>1835</v>
      </c>
      <c r="I326" s="18" t="s">
        <v>117</v>
      </c>
      <c r="J326" s="18" t="s">
        <v>382</v>
      </c>
      <c r="K326" s="33" t="s">
        <v>4621</v>
      </c>
      <c r="L326" s="25" t="str">
        <f>"RUTL-"&amp;RIGHT(K326,8)</f>
        <v>RUTL-8B133400</v>
      </c>
      <c r="M326" s="34" t="s">
        <v>40</v>
      </c>
      <c r="N326" s="23" t="s">
        <v>43</v>
      </c>
      <c r="O326" s="23"/>
      <c r="P326" s="39" t="s">
        <v>90</v>
      </c>
      <c r="Q326" s="63" t="s">
        <v>4622</v>
      </c>
      <c r="R326" s="15" t="s">
        <v>56</v>
      </c>
      <c r="S326" s="37" t="s">
        <v>57</v>
      </c>
      <c r="T326" s="108" t="s">
        <v>273</v>
      </c>
      <c r="U326" s="23" t="s">
        <v>4623</v>
      </c>
      <c r="V326" s="23">
        <v>2024</v>
      </c>
      <c r="W326" s="23" t="s">
        <v>386</v>
      </c>
      <c r="X326" s="71"/>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row>
    <row r="327" spans="1:135" ht="30" customHeight="1" thickBot="1" x14ac:dyDescent="0.3">
      <c r="A327" s="578" t="s">
        <v>5984</v>
      </c>
      <c r="B327" s="437">
        <v>14817</v>
      </c>
      <c r="C327" s="52" t="s">
        <v>5982</v>
      </c>
      <c r="D327" s="10" t="s">
        <v>24</v>
      </c>
      <c r="E327" s="11" t="s">
        <v>25</v>
      </c>
      <c r="F327" s="20" t="s">
        <v>5983</v>
      </c>
      <c r="G327" s="15" t="s">
        <v>3276</v>
      </c>
      <c r="H327" s="22" t="s">
        <v>1647</v>
      </c>
      <c r="I327" s="18" t="s">
        <v>135</v>
      </c>
      <c r="J327" s="18" t="s">
        <v>382</v>
      </c>
      <c r="K327" s="23" t="s">
        <v>5985</v>
      </c>
      <c r="L327" s="25" t="str">
        <f>"RUTL-"&amp;RIGHT(K327,8)</f>
        <v>RUTL-8A743400</v>
      </c>
      <c r="M327" s="34" t="s">
        <v>40</v>
      </c>
      <c r="N327" s="23"/>
      <c r="O327" s="23"/>
      <c r="P327" s="39" t="s">
        <v>90</v>
      </c>
      <c r="Q327" s="113"/>
      <c r="R327" s="15" t="s">
        <v>56</v>
      </c>
      <c r="S327" s="37" t="s">
        <v>57</v>
      </c>
      <c r="T327" s="87" t="s">
        <v>273</v>
      </c>
      <c r="U327" s="39" t="s">
        <v>1201</v>
      </c>
      <c r="V327" s="23">
        <v>2024</v>
      </c>
      <c r="W327" s="23" t="s">
        <v>386</v>
      </c>
      <c r="X327" s="71"/>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row>
    <row r="328" spans="1:135" ht="30" customHeight="1" thickBot="1" x14ac:dyDescent="0.3">
      <c r="A328" s="578" t="s">
        <v>1837</v>
      </c>
      <c r="B328" s="8">
        <v>737</v>
      </c>
      <c r="C328" s="72" t="s">
        <v>1829</v>
      </c>
      <c r="D328" s="15" t="s">
        <v>24</v>
      </c>
      <c r="E328" s="11" t="s">
        <v>25</v>
      </c>
      <c r="F328" s="20" t="s">
        <v>1833</v>
      </c>
      <c r="G328" s="15" t="s">
        <v>1834</v>
      </c>
      <c r="H328" s="148" t="s">
        <v>1835</v>
      </c>
      <c r="I328" s="18" t="s">
        <v>135</v>
      </c>
      <c r="J328" s="18" t="s">
        <v>382</v>
      </c>
      <c r="K328" s="23" t="s">
        <v>1838</v>
      </c>
      <c r="L328" s="25" t="str">
        <f>"RUTL-"&amp;RIGHT(K328,8)</f>
        <v>RUTL-89203400</v>
      </c>
      <c r="M328" s="34" t="s">
        <v>40</v>
      </c>
      <c r="N328" s="23"/>
      <c r="O328" s="23"/>
      <c r="P328" s="39" t="s">
        <v>90</v>
      </c>
      <c r="Q328" s="63" t="s">
        <v>1839</v>
      </c>
      <c r="R328" s="15" t="s">
        <v>56</v>
      </c>
      <c r="S328" s="37" t="s">
        <v>57</v>
      </c>
      <c r="T328" s="105" t="s">
        <v>148</v>
      </c>
      <c r="U328" s="23" t="s">
        <v>1841</v>
      </c>
      <c r="V328" s="23">
        <v>2024</v>
      </c>
      <c r="W328" s="23" t="s">
        <v>386</v>
      </c>
      <c r="X328" s="71"/>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row>
    <row r="329" spans="1:135" ht="30" customHeight="1" thickBot="1" x14ac:dyDescent="0.3">
      <c r="A329" s="578" t="s">
        <v>1038</v>
      </c>
      <c r="B329" s="222" t="s">
        <v>1008</v>
      </c>
      <c r="C329" s="69" t="s">
        <v>1023</v>
      </c>
      <c r="D329" s="223" t="s">
        <v>24</v>
      </c>
      <c r="E329" s="224" t="s">
        <v>25</v>
      </c>
      <c r="F329" s="162" t="s">
        <v>1029</v>
      </c>
      <c r="G329" s="121" t="s">
        <v>1033</v>
      </c>
      <c r="H329" s="119" t="s">
        <v>1034</v>
      </c>
      <c r="I329" s="18" t="s">
        <v>38</v>
      </c>
      <c r="J329" s="18" t="s">
        <v>382</v>
      </c>
      <c r="K329" s="23" t="s">
        <v>1045</v>
      </c>
      <c r="L329" s="127" t="str">
        <f>"RUTL-"&amp;RIGHT(K329,8)</f>
        <v>RUTL-86173400</v>
      </c>
      <c r="M329" s="129" t="s">
        <v>40</v>
      </c>
      <c r="N329" s="14" t="s">
        <v>43</v>
      </c>
      <c r="O329" s="127"/>
      <c r="P329" s="39" t="s">
        <v>90</v>
      </c>
      <c r="Q329" s="39" t="s">
        <v>1050</v>
      </c>
      <c r="R329" s="223" t="s">
        <v>56</v>
      </c>
      <c r="S329" s="127" t="s">
        <v>296</v>
      </c>
      <c r="T329" s="225" t="s">
        <v>1051</v>
      </c>
      <c r="U329" s="138" t="s">
        <v>1052</v>
      </c>
      <c r="V329" s="212">
        <v>45385</v>
      </c>
      <c r="W329" s="14" t="s">
        <v>386</v>
      </c>
      <c r="X329" s="71"/>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row>
    <row r="330" spans="1:135" ht="30" customHeight="1" thickBot="1" x14ac:dyDescent="0.3">
      <c r="A330" s="578" t="s">
        <v>2514</v>
      </c>
      <c r="B330" s="51" t="s">
        <v>2509</v>
      </c>
      <c r="C330" s="52" t="s">
        <v>2511</v>
      </c>
      <c r="D330" s="10" t="s">
        <v>24</v>
      </c>
      <c r="E330" s="11" t="s">
        <v>25</v>
      </c>
      <c r="F330" s="12" t="s">
        <v>2513</v>
      </c>
      <c r="G330" s="15" t="s">
        <v>1043</v>
      </c>
      <c r="H330" s="53" t="s">
        <v>609</v>
      </c>
      <c r="I330" s="18" t="s">
        <v>135</v>
      </c>
      <c r="J330" s="18" t="s">
        <v>382</v>
      </c>
      <c r="K330" s="23" t="s">
        <v>2515</v>
      </c>
      <c r="L330" s="21" t="str">
        <f>"RUTL-"&amp;RIGHT(K330,8)</f>
        <v>RUTL-85683400</v>
      </c>
      <c r="M330" s="21"/>
      <c r="N330" s="21"/>
      <c r="O330" s="21"/>
      <c r="P330" s="21"/>
      <c r="Q330" s="328"/>
      <c r="R330" s="15" t="s">
        <v>56</v>
      </c>
      <c r="S330" s="37" t="s">
        <v>57</v>
      </c>
      <c r="T330" s="107" t="s">
        <v>453</v>
      </c>
      <c r="U330" s="23" t="s">
        <v>2523</v>
      </c>
      <c r="V330" s="170">
        <v>45385</v>
      </c>
      <c r="W330" s="23" t="s">
        <v>386</v>
      </c>
      <c r="X330" s="71"/>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row>
    <row r="331" spans="1:135" ht="30" customHeight="1" thickBot="1" x14ac:dyDescent="0.3">
      <c r="A331" s="578" t="s">
        <v>4318</v>
      </c>
      <c r="B331" s="8">
        <v>8042</v>
      </c>
      <c r="C331" s="72" t="s">
        <v>4316</v>
      </c>
      <c r="D331" s="10" t="s">
        <v>24</v>
      </c>
      <c r="E331" s="11" t="s">
        <v>25</v>
      </c>
      <c r="F331" s="20" t="s">
        <v>4317</v>
      </c>
      <c r="G331" s="15" t="s">
        <v>2271</v>
      </c>
      <c r="H331" s="104" t="s">
        <v>3573</v>
      </c>
      <c r="I331" s="18" t="s">
        <v>135</v>
      </c>
      <c r="J331" s="18" t="s">
        <v>382</v>
      </c>
      <c r="K331" s="33" t="s">
        <v>4319</v>
      </c>
      <c r="L331" s="25" t="str">
        <f>"RUTL-"&amp;RIGHT(K331,8)</f>
        <v>RUTL-88F43400</v>
      </c>
      <c r="M331" s="34" t="s">
        <v>40</v>
      </c>
      <c r="N331" s="23" t="s">
        <v>43</v>
      </c>
      <c r="O331" s="23"/>
      <c r="P331" s="39" t="s">
        <v>90</v>
      </c>
      <c r="Q331" s="113"/>
      <c r="R331" s="15" t="s">
        <v>56</v>
      </c>
      <c r="S331" s="37" t="s">
        <v>57</v>
      </c>
      <c r="T331" s="107" t="s">
        <v>453</v>
      </c>
      <c r="U331" s="39" t="s">
        <v>3460</v>
      </c>
      <c r="V331" s="23">
        <v>2024</v>
      </c>
      <c r="W331" s="23" t="s">
        <v>386</v>
      </c>
      <c r="X331" s="71"/>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row>
    <row r="332" spans="1:135" ht="30" customHeight="1" thickBot="1" x14ac:dyDescent="0.3">
      <c r="A332" s="578" t="s">
        <v>4184</v>
      </c>
      <c r="B332" s="8">
        <v>7477</v>
      </c>
      <c r="C332" s="72" t="s">
        <v>4181</v>
      </c>
      <c r="D332" s="10" t="s">
        <v>24</v>
      </c>
      <c r="E332" s="11" t="s">
        <v>25</v>
      </c>
      <c r="F332" s="20" t="s">
        <v>4182</v>
      </c>
      <c r="G332" s="15" t="s">
        <v>4183</v>
      </c>
      <c r="H332" s="119" t="s">
        <v>370</v>
      </c>
      <c r="I332" s="18" t="s">
        <v>135</v>
      </c>
      <c r="J332" s="18" t="s">
        <v>382</v>
      </c>
      <c r="K332" s="33" t="s">
        <v>4185</v>
      </c>
      <c r="L332" s="25" t="str">
        <f>"RUTL-"&amp;RIGHT(K332,8)</f>
        <v>RUTL-875A3400</v>
      </c>
      <c r="M332" s="34" t="s">
        <v>40</v>
      </c>
      <c r="N332" s="23"/>
      <c r="O332" s="23"/>
      <c r="P332" s="23"/>
      <c r="Q332" s="113"/>
      <c r="R332" s="15" t="s">
        <v>235</v>
      </c>
      <c r="S332" s="232" t="s">
        <v>296</v>
      </c>
      <c r="T332" s="105" t="s">
        <v>148</v>
      </c>
      <c r="U332" s="39" t="s">
        <v>4186</v>
      </c>
      <c r="V332" s="23">
        <v>2024</v>
      </c>
      <c r="W332" s="23" t="s">
        <v>386</v>
      </c>
      <c r="X332" s="71"/>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row>
    <row r="333" spans="1:135" ht="30" customHeight="1" thickBot="1" x14ac:dyDescent="0.3">
      <c r="A333" s="578" t="s">
        <v>4189</v>
      </c>
      <c r="B333" s="8">
        <v>7493</v>
      </c>
      <c r="C333" s="72" t="s">
        <v>4187</v>
      </c>
      <c r="D333" s="10" t="s">
        <v>24</v>
      </c>
      <c r="E333" s="11" t="s">
        <v>25</v>
      </c>
      <c r="F333" s="20" t="s">
        <v>4188</v>
      </c>
      <c r="G333" s="15" t="s">
        <v>3295</v>
      </c>
      <c r="H333" s="119" t="s">
        <v>1071</v>
      </c>
      <c r="I333" s="18" t="s">
        <v>135</v>
      </c>
      <c r="J333" s="18" t="s">
        <v>382</v>
      </c>
      <c r="K333" s="33" t="s">
        <v>4190</v>
      </c>
      <c r="L333" s="25" t="str">
        <f>"RUTL-"&amp;RIGHT(K333,8)</f>
        <v>RUTL-880B3400</v>
      </c>
      <c r="M333" s="34" t="s">
        <v>40</v>
      </c>
      <c r="N333" s="23"/>
      <c r="O333" s="23"/>
      <c r="P333" s="23"/>
      <c r="Q333" s="113"/>
      <c r="R333" s="15" t="s">
        <v>235</v>
      </c>
      <c r="S333" s="232" t="s">
        <v>4191</v>
      </c>
      <c r="T333" s="101" t="s">
        <v>96</v>
      </c>
      <c r="U333" s="39" t="s">
        <v>4192</v>
      </c>
      <c r="V333" s="23">
        <v>2024</v>
      </c>
      <c r="W333" s="23" t="s">
        <v>386</v>
      </c>
      <c r="X333" s="71"/>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row>
    <row r="334" spans="1:135" ht="30" customHeight="1" thickBot="1" x14ac:dyDescent="0.3">
      <c r="A334" s="578" t="s">
        <v>4196</v>
      </c>
      <c r="B334" s="51">
        <v>7494</v>
      </c>
      <c r="C334" s="69" t="s">
        <v>4193</v>
      </c>
      <c r="D334" s="10" t="s">
        <v>24</v>
      </c>
      <c r="E334" s="122" t="s">
        <v>25</v>
      </c>
      <c r="F334" s="20" t="s">
        <v>4194</v>
      </c>
      <c r="G334" s="15" t="s">
        <v>4195</v>
      </c>
      <c r="H334" s="17" t="s">
        <v>891</v>
      </c>
      <c r="I334" s="18" t="s">
        <v>135</v>
      </c>
      <c r="J334" s="18" t="s">
        <v>382</v>
      </c>
      <c r="K334" s="33" t="s">
        <v>4197</v>
      </c>
      <c r="L334" s="25" t="str">
        <f>"RUTL-"&amp;RIGHT(K334,8)</f>
        <v>RUTL-8ABE3400</v>
      </c>
      <c r="M334" s="129" t="s">
        <v>40</v>
      </c>
      <c r="N334" s="14"/>
      <c r="O334" s="124"/>
      <c r="P334" s="39" t="s">
        <v>90</v>
      </c>
      <c r="Q334" s="39" t="s">
        <v>4198</v>
      </c>
      <c r="R334" s="121" t="s">
        <v>56</v>
      </c>
      <c r="S334" s="133" t="s">
        <v>180</v>
      </c>
      <c r="T334" s="101" t="s">
        <v>96</v>
      </c>
      <c r="U334" s="39" t="s">
        <v>4199</v>
      </c>
      <c r="V334" s="303">
        <v>2024</v>
      </c>
      <c r="W334" s="303" t="s">
        <v>386</v>
      </c>
      <c r="X334" s="71"/>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row>
    <row r="335" spans="1:135" ht="30" customHeight="1" thickBot="1" x14ac:dyDescent="0.3">
      <c r="A335" s="578" t="s">
        <v>3234</v>
      </c>
      <c r="B335" s="8">
        <v>3258</v>
      </c>
      <c r="C335" s="72" t="s">
        <v>3232</v>
      </c>
      <c r="D335" s="15" t="s">
        <v>24</v>
      </c>
      <c r="E335" s="11" t="s">
        <v>25</v>
      </c>
      <c r="F335" s="20" t="s">
        <v>3233</v>
      </c>
      <c r="G335" s="15" t="s">
        <v>3104</v>
      </c>
      <c r="H335" s="53" t="s">
        <v>3096</v>
      </c>
      <c r="I335" s="18" t="s">
        <v>135</v>
      </c>
      <c r="J335" s="18" t="s">
        <v>382</v>
      </c>
      <c r="K335" s="33" t="s">
        <v>3235</v>
      </c>
      <c r="L335" s="25" t="str">
        <f>"RUTL-"&amp;RIGHT(K335,8)</f>
        <v>RUTL-8AF03400</v>
      </c>
      <c r="M335" s="34" t="s">
        <v>40</v>
      </c>
      <c r="N335" s="23"/>
      <c r="O335" s="23"/>
      <c r="P335" s="23"/>
      <c r="Q335" s="113"/>
      <c r="R335" s="15" t="s">
        <v>235</v>
      </c>
      <c r="S335" s="37" t="s">
        <v>57</v>
      </c>
      <c r="T335" s="101" t="s">
        <v>453</v>
      </c>
      <c r="U335" s="39" t="s">
        <v>3236</v>
      </c>
      <c r="V335" s="23">
        <v>2024</v>
      </c>
      <c r="W335" s="23" t="s">
        <v>386</v>
      </c>
      <c r="X335" s="71"/>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row>
    <row r="336" spans="1:135" ht="30" customHeight="1" thickBot="1" x14ac:dyDescent="0.3">
      <c r="A336" s="578" t="s">
        <v>3870</v>
      </c>
      <c r="B336" s="51">
        <v>6238</v>
      </c>
      <c r="C336" s="52" t="s">
        <v>3867</v>
      </c>
      <c r="D336" s="10" t="s">
        <v>24</v>
      </c>
      <c r="E336" s="11" t="s">
        <v>25</v>
      </c>
      <c r="F336" s="29" t="s">
        <v>3868</v>
      </c>
      <c r="G336" s="15" t="s">
        <v>3869</v>
      </c>
      <c r="H336" s="24" t="s">
        <v>1398</v>
      </c>
      <c r="I336" s="24" t="s">
        <v>117</v>
      </c>
      <c r="J336" s="24" t="s">
        <v>382</v>
      </c>
      <c r="K336" s="33" t="s">
        <v>3871</v>
      </c>
      <c r="L336" s="25" t="str">
        <f>"RUTL-"&amp;RIGHT(K336,8)</f>
        <v>RUTL-88DA3400</v>
      </c>
      <c r="M336" s="92" t="s">
        <v>40</v>
      </c>
      <c r="N336" s="90" t="s">
        <v>3652</v>
      </c>
      <c r="O336" s="90" t="s">
        <v>3872</v>
      </c>
      <c r="P336" s="90" t="s">
        <v>90</v>
      </c>
      <c r="Q336" s="90" t="s">
        <v>146</v>
      </c>
      <c r="R336" s="15" t="s">
        <v>56</v>
      </c>
      <c r="S336" s="40" t="s">
        <v>57</v>
      </c>
      <c r="T336" s="105" t="s">
        <v>148</v>
      </c>
      <c r="U336" s="39" t="s">
        <v>3873</v>
      </c>
      <c r="V336" s="32">
        <v>2024</v>
      </c>
      <c r="W336" s="32" t="s">
        <v>386</v>
      </c>
      <c r="X336" s="71"/>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row>
    <row r="337" spans="1:135" ht="30" customHeight="1" thickBot="1" x14ac:dyDescent="0.3">
      <c r="A337" s="578" t="s">
        <v>4224</v>
      </c>
      <c r="B337" s="8">
        <v>7538</v>
      </c>
      <c r="C337" s="72" t="s">
        <v>4221</v>
      </c>
      <c r="D337" s="10" t="s">
        <v>24</v>
      </c>
      <c r="E337" s="11" t="s">
        <v>25</v>
      </c>
      <c r="F337" s="20" t="s">
        <v>4222</v>
      </c>
      <c r="G337" s="15" t="s">
        <v>4223</v>
      </c>
      <c r="H337" s="108" t="s">
        <v>225</v>
      </c>
      <c r="I337" s="18" t="s">
        <v>135</v>
      </c>
      <c r="J337" s="18" t="s">
        <v>382</v>
      </c>
      <c r="K337" s="33" t="s">
        <v>4225</v>
      </c>
      <c r="L337" s="25" t="str">
        <f>"RUTL-"&amp;RIGHT(K337,8)</f>
        <v>RUTL-8D983400</v>
      </c>
      <c r="M337" s="34" t="s">
        <v>40</v>
      </c>
      <c r="N337" s="23"/>
      <c r="O337" s="23"/>
      <c r="P337" s="23"/>
      <c r="Q337" s="113"/>
      <c r="R337" s="15" t="s">
        <v>235</v>
      </c>
      <c r="S337" s="37" t="s">
        <v>57</v>
      </c>
      <c r="T337" s="53" t="s">
        <v>1581</v>
      </c>
      <c r="U337" s="39" t="s">
        <v>4226</v>
      </c>
      <c r="V337" s="23">
        <v>2024</v>
      </c>
      <c r="W337" s="23" t="s">
        <v>386</v>
      </c>
      <c r="X337" s="71"/>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row>
    <row r="338" spans="1:135" ht="30" customHeight="1" thickBot="1" x14ac:dyDescent="0.3">
      <c r="A338" s="578" t="s">
        <v>4244</v>
      </c>
      <c r="B338" s="8">
        <v>7694</v>
      </c>
      <c r="C338" s="72" t="s">
        <v>4241</v>
      </c>
      <c r="D338" s="10" t="s">
        <v>24</v>
      </c>
      <c r="E338" s="11" t="s">
        <v>25</v>
      </c>
      <c r="F338" s="20" t="s">
        <v>4242</v>
      </c>
      <c r="G338" s="15" t="s">
        <v>4243</v>
      </c>
      <c r="H338" s="108" t="s">
        <v>225</v>
      </c>
      <c r="I338" s="18" t="s">
        <v>135</v>
      </c>
      <c r="J338" s="18" t="s">
        <v>382</v>
      </c>
      <c r="K338" s="33" t="s">
        <v>4245</v>
      </c>
      <c r="L338" s="25" t="str">
        <f>"RUTL-"&amp;RIGHT(K338,8)</f>
        <v>RUTL-8D583400</v>
      </c>
      <c r="M338" s="34" t="s">
        <v>40</v>
      </c>
      <c r="N338" s="23"/>
      <c r="O338" s="23"/>
      <c r="P338" s="23"/>
      <c r="Q338" s="113"/>
      <c r="R338" s="15" t="s">
        <v>235</v>
      </c>
      <c r="S338" s="37" t="s">
        <v>180</v>
      </c>
      <c r="T338" s="101" t="s">
        <v>96</v>
      </c>
      <c r="U338" s="39" t="s">
        <v>4192</v>
      </c>
      <c r="V338" s="23">
        <v>2024</v>
      </c>
      <c r="W338" s="23" t="s">
        <v>386</v>
      </c>
      <c r="X338" s="71"/>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row>
    <row r="339" spans="1:135" ht="30" customHeight="1" thickBot="1" x14ac:dyDescent="0.3">
      <c r="A339" s="578" t="s">
        <v>5302</v>
      </c>
      <c r="B339" s="8">
        <v>12585</v>
      </c>
      <c r="C339" s="52" t="s">
        <v>5300</v>
      </c>
      <c r="D339" s="10" t="s">
        <v>24</v>
      </c>
      <c r="E339" s="11" t="s">
        <v>25</v>
      </c>
      <c r="F339" s="20" t="s">
        <v>5301</v>
      </c>
      <c r="G339" s="15" t="s">
        <v>889</v>
      </c>
      <c r="H339" s="17" t="s">
        <v>1846</v>
      </c>
      <c r="I339" s="18" t="s">
        <v>135</v>
      </c>
      <c r="J339" s="18" t="s">
        <v>382</v>
      </c>
      <c r="K339" s="23" t="s">
        <v>5303</v>
      </c>
      <c r="L339" s="25" t="str">
        <f>"RUTL-"&amp;RIGHT(K339,8)</f>
        <v>RUTL-8A293400</v>
      </c>
      <c r="M339" s="34" t="s">
        <v>40</v>
      </c>
      <c r="N339" s="23" t="s">
        <v>43</v>
      </c>
      <c r="O339" s="23"/>
      <c r="P339" s="39" t="s">
        <v>90</v>
      </c>
      <c r="Q339" s="63" t="s">
        <v>5304</v>
      </c>
      <c r="R339" s="15" t="s">
        <v>56</v>
      </c>
      <c r="S339" s="37" t="s">
        <v>57</v>
      </c>
      <c r="T339" s="108" t="s">
        <v>273</v>
      </c>
      <c r="U339" s="39" t="s">
        <v>5305</v>
      </c>
      <c r="V339" s="23">
        <v>2024</v>
      </c>
      <c r="W339" s="23" t="s">
        <v>386</v>
      </c>
      <c r="X339" s="71"/>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row>
    <row r="340" spans="1:135" ht="30" customHeight="1" thickBot="1" x14ac:dyDescent="0.3">
      <c r="A340" s="578" t="s">
        <v>4867</v>
      </c>
      <c r="B340" s="16">
        <v>10757</v>
      </c>
      <c r="C340" s="72" t="s">
        <v>4864</v>
      </c>
      <c r="D340" s="10" t="s">
        <v>24</v>
      </c>
      <c r="E340" s="10" t="s">
        <v>25</v>
      </c>
      <c r="F340" s="20" t="s">
        <v>4865</v>
      </c>
      <c r="G340" s="15" t="s">
        <v>4866</v>
      </c>
      <c r="H340" s="18" t="s">
        <v>1398</v>
      </c>
      <c r="I340" s="18" t="s">
        <v>135</v>
      </c>
      <c r="J340" s="18" t="s">
        <v>382</v>
      </c>
      <c r="K340" s="23" t="s">
        <v>4868</v>
      </c>
      <c r="L340" s="25" t="str">
        <f>"RUTL-"&amp;RIGHT(K340,8)</f>
        <v>RUTL-868B3400</v>
      </c>
      <c r="M340" s="34" t="s">
        <v>40</v>
      </c>
      <c r="N340" s="23" t="s">
        <v>4869</v>
      </c>
      <c r="O340" s="23"/>
      <c r="P340" s="39" t="s">
        <v>90</v>
      </c>
      <c r="Q340" s="113"/>
      <c r="R340" s="15" t="s">
        <v>56</v>
      </c>
      <c r="S340" s="21" t="s">
        <v>57</v>
      </c>
      <c r="T340" s="101" t="s">
        <v>96</v>
      </c>
      <c r="U340" s="23" t="s">
        <v>455</v>
      </c>
      <c r="V340" s="23">
        <v>2024</v>
      </c>
      <c r="W340" s="23" t="s">
        <v>386</v>
      </c>
      <c r="X340" s="71"/>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row>
    <row r="341" spans="1:135" ht="30" customHeight="1" thickBot="1" x14ac:dyDescent="0.3">
      <c r="A341" s="578" t="s">
        <v>4277</v>
      </c>
      <c r="B341" s="8">
        <v>7831</v>
      </c>
      <c r="C341" s="72" t="s">
        <v>4275</v>
      </c>
      <c r="D341" s="10" t="s">
        <v>24</v>
      </c>
      <c r="E341" s="11" t="s">
        <v>25</v>
      </c>
      <c r="F341" s="20" t="s">
        <v>4276</v>
      </c>
      <c r="G341" s="15" t="s">
        <v>3104</v>
      </c>
      <c r="H341" s="53" t="s">
        <v>3096</v>
      </c>
      <c r="I341" s="18" t="s">
        <v>135</v>
      </c>
      <c r="J341" s="18" t="s">
        <v>382</v>
      </c>
      <c r="K341" s="33" t="s">
        <v>4278</v>
      </c>
      <c r="L341" s="25" t="str">
        <f>"RUTL-"&amp;RIGHT(K341,8)</f>
        <v>RUTL-86653400</v>
      </c>
      <c r="M341" s="34" t="s">
        <v>40</v>
      </c>
      <c r="N341" s="23"/>
      <c r="O341" s="23"/>
      <c r="P341" s="23"/>
      <c r="Q341" s="113"/>
      <c r="R341" s="15" t="s">
        <v>235</v>
      </c>
      <c r="S341" s="23"/>
      <c r="T341" s="101" t="s">
        <v>96</v>
      </c>
      <c r="U341" s="39" t="s">
        <v>4279</v>
      </c>
      <c r="V341" s="23">
        <v>2024</v>
      </c>
      <c r="W341" s="23" t="s">
        <v>386</v>
      </c>
      <c r="X341" s="71"/>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row>
    <row r="342" spans="1:135" ht="30" customHeight="1" thickBot="1" x14ac:dyDescent="0.3">
      <c r="A342" s="578" t="s">
        <v>2692</v>
      </c>
      <c r="B342" s="16">
        <v>1661</v>
      </c>
      <c r="C342" s="72" t="s">
        <v>2689</v>
      </c>
      <c r="D342" s="10" t="s">
        <v>24</v>
      </c>
      <c r="E342" s="11" t="s">
        <v>25</v>
      </c>
      <c r="F342" s="20" t="s">
        <v>2690</v>
      </c>
      <c r="G342" s="15" t="s">
        <v>2691</v>
      </c>
      <c r="H342" s="147" t="s">
        <v>434</v>
      </c>
      <c r="I342" s="18" t="s">
        <v>135</v>
      </c>
      <c r="J342" s="18" t="s">
        <v>382</v>
      </c>
      <c r="K342" s="33" t="s">
        <v>2694</v>
      </c>
      <c r="L342" s="25" t="str">
        <f>"RUTL-"&amp;RIGHT(K342,8)</f>
        <v>RUTL-87623400</v>
      </c>
      <c r="M342" s="34" t="s">
        <v>40</v>
      </c>
      <c r="N342" s="23" t="s">
        <v>2695</v>
      </c>
      <c r="O342" s="23"/>
      <c r="P342" s="39" t="s">
        <v>2044</v>
      </c>
      <c r="Q342" s="113"/>
      <c r="R342" s="15" t="s">
        <v>56</v>
      </c>
      <c r="S342" s="37" t="s">
        <v>57</v>
      </c>
      <c r="T342" s="101" t="s">
        <v>2697</v>
      </c>
      <c r="U342" s="39" t="s">
        <v>2699</v>
      </c>
      <c r="V342" s="23">
        <v>2024</v>
      </c>
      <c r="W342" s="23" t="s">
        <v>386</v>
      </c>
      <c r="X342" s="71"/>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row>
    <row r="343" spans="1:135" ht="30" customHeight="1" thickBot="1" x14ac:dyDescent="0.3">
      <c r="A343" s="578" t="s">
        <v>3600</v>
      </c>
      <c r="B343" s="8">
        <v>4613</v>
      </c>
      <c r="C343" s="72" t="s">
        <v>3598</v>
      </c>
      <c r="D343" s="15" t="s">
        <v>24</v>
      </c>
      <c r="E343" s="11" t="s">
        <v>25</v>
      </c>
      <c r="F343" s="29" t="s">
        <v>3599</v>
      </c>
      <c r="G343" s="15" t="s">
        <v>253</v>
      </c>
      <c r="H343" s="53" t="s">
        <v>1204</v>
      </c>
      <c r="I343" s="18" t="s">
        <v>198</v>
      </c>
      <c r="J343" s="18" t="s">
        <v>382</v>
      </c>
      <c r="K343" s="33" t="s">
        <v>3601</v>
      </c>
      <c r="L343" s="25" t="str">
        <f>"RUTL-"&amp;RIGHT(K343,8)</f>
        <v>RUTL-89293400</v>
      </c>
      <c r="M343" s="23"/>
      <c r="N343" s="23"/>
      <c r="O343" s="23"/>
      <c r="P343" s="23"/>
      <c r="Q343" s="113"/>
      <c r="R343" s="15" t="s">
        <v>235</v>
      </c>
      <c r="S343" s="23"/>
      <c r="T343" s="107" t="s">
        <v>453</v>
      </c>
      <c r="U343" s="23" t="s">
        <v>3602</v>
      </c>
      <c r="V343" s="23">
        <v>2024</v>
      </c>
      <c r="W343" s="23" t="s">
        <v>386</v>
      </c>
      <c r="X343" s="71"/>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row>
    <row r="344" spans="1:135" ht="30" customHeight="1" thickBot="1" x14ac:dyDescent="0.3">
      <c r="A344" s="578" t="s">
        <v>4283</v>
      </c>
      <c r="B344" s="8">
        <v>7852</v>
      </c>
      <c r="C344" s="72" t="s">
        <v>4280</v>
      </c>
      <c r="D344" s="10" t="s">
        <v>24</v>
      </c>
      <c r="E344" s="11" t="s">
        <v>25</v>
      </c>
      <c r="F344" s="20" t="s">
        <v>4281</v>
      </c>
      <c r="G344" s="15" t="s">
        <v>4282</v>
      </c>
      <c r="H344" s="119" t="s">
        <v>960</v>
      </c>
      <c r="I344" s="18" t="s">
        <v>198</v>
      </c>
      <c r="J344" s="18" t="s">
        <v>382</v>
      </c>
      <c r="K344" s="33" t="s">
        <v>4284</v>
      </c>
      <c r="L344" s="25" t="str">
        <f>"RUTL-"&amp;RIGHT(K344,8)</f>
        <v>RUTL-8ABB3400</v>
      </c>
      <c r="M344" s="34" t="s">
        <v>40</v>
      </c>
      <c r="N344" s="23"/>
      <c r="O344" s="23"/>
      <c r="P344" s="39" t="s">
        <v>90</v>
      </c>
      <c r="Q344" s="113"/>
      <c r="R344" s="15" t="s">
        <v>56</v>
      </c>
      <c r="S344" s="232" t="s">
        <v>296</v>
      </c>
      <c r="T344" s="53" t="s">
        <v>1581</v>
      </c>
      <c r="U344" s="39" t="s">
        <v>4285</v>
      </c>
      <c r="V344" s="23">
        <v>2024</v>
      </c>
      <c r="W344" s="23" t="s">
        <v>386</v>
      </c>
      <c r="X344" s="71"/>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row>
    <row r="345" spans="1:135" ht="30" customHeight="1" thickBot="1" x14ac:dyDescent="0.3">
      <c r="A345" s="578" t="s">
        <v>5168</v>
      </c>
      <c r="B345" s="8">
        <v>12193</v>
      </c>
      <c r="C345" s="72" t="s">
        <v>5166</v>
      </c>
      <c r="D345" s="10" t="s">
        <v>24</v>
      </c>
      <c r="E345" s="11" t="s">
        <v>25</v>
      </c>
      <c r="F345" s="20" t="s">
        <v>5167</v>
      </c>
      <c r="G345" s="15" t="s">
        <v>2384</v>
      </c>
      <c r="H345" s="291" t="s">
        <v>2294</v>
      </c>
      <c r="I345" s="18" t="s">
        <v>135</v>
      </c>
      <c r="J345" s="18" t="s">
        <v>382</v>
      </c>
      <c r="K345" s="23" t="s">
        <v>5169</v>
      </c>
      <c r="L345" s="25" t="str">
        <f>"RUTL-"&amp;RIGHT(K345,8)</f>
        <v>RUTL-8B203400</v>
      </c>
      <c r="M345" s="34" t="s">
        <v>40</v>
      </c>
      <c r="N345" s="39" t="s">
        <v>414</v>
      </c>
      <c r="O345" s="39" t="s">
        <v>5170</v>
      </c>
      <c r="P345" s="23"/>
      <c r="Q345" s="113"/>
      <c r="R345" s="15" t="s">
        <v>235</v>
      </c>
      <c r="S345" s="37" t="s">
        <v>57</v>
      </c>
      <c r="T345" s="108" t="s">
        <v>273</v>
      </c>
      <c r="U345" s="39" t="s">
        <v>5171</v>
      </c>
      <c r="V345" s="23">
        <v>2024</v>
      </c>
      <c r="W345" s="23" t="s">
        <v>386</v>
      </c>
      <c r="X345" s="71"/>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row>
    <row r="346" spans="1:135" ht="30" customHeight="1" thickBot="1" x14ac:dyDescent="0.3">
      <c r="A346" s="578" t="s">
        <v>4298</v>
      </c>
      <c r="B346" s="8">
        <v>7927</v>
      </c>
      <c r="C346" s="72" t="s">
        <v>4293</v>
      </c>
      <c r="D346" s="10" t="s">
        <v>24</v>
      </c>
      <c r="E346" s="11" t="s">
        <v>25</v>
      </c>
      <c r="F346" s="20" t="s">
        <v>4294</v>
      </c>
      <c r="G346" s="15" t="s">
        <v>4295</v>
      </c>
      <c r="H346" s="291" t="s">
        <v>4296</v>
      </c>
      <c r="I346" s="18" t="s">
        <v>4297</v>
      </c>
      <c r="J346" s="18" t="s">
        <v>382</v>
      </c>
      <c r="K346" s="33" t="s">
        <v>4299</v>
      </c>
      <c r="L346" s="25" t="str">
        <f>"RUTL-"&amp;RIGHT(K346,8)</f>
        <v>RUTL-86283400</v>
      </c>
      <c r="M346" s="34" t="s">
        <v>40</v>
      </c>
      <c r="N346" s="23"/>
      <c r="O346" s="23"/>
      <c r="P346" s="23"/>
      <c r="Q346" s="113"/>
      <c r="R346" s="23"/>
      <c r="S346" s="37" t="s">
        <v>57</v>
      </c>
      <c r="T346" s="101" t="s">
        <v>96</v>
      </c>
      <c r="U346" s="39" t="s">
        <v>4300</v>
      </c>
      <c r="V346" s="23">
        <v>2024</v>
      </c>
      <c r="W346" s="23" t="s">
        <v>386</v>
      </c>
      <c r="X346" s="71"/>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row>
    <row r="347" spans="1:135" ht="30" customHeight="1" thickBot="1" x14ac:dyDescent="0.3">
      <c r="A347" s="578" t="s">
        <v>5938</v>
      </c>
      <c r="B347" s="437">
        <v>14709</v>
      </c>
      <c r="C347" s="72" t="s">
        <v>5935</v>
      </c>
      <c r="D347" s="10" t="s">
        <v>24</v>
      </c>
      <c r="E347" s="11" t="s">
        <v>25</v>
      </c>
      <c r="F347" s="12" t="s">
        <v>5936</v>
      </c>
      <c r="G347" s="15" t="s">
        <v>5937</v>
      </c>
      <c r="H347" s="143" t="s">
        <v>398</v>
      </c>
      <c r="I347" s="18" t="s">
        <v>135</v>
      </c>
      <c r="J347" s="18" t="s">
        <v>382</v>
      </c>
      <c r="K347" s="23" t="s">
        <v>5939</v>
      </c>
      <c r="L347" s="25" t="str">
        <f>"RUTL-"&amp;RIGHT(K347,8)</f>
        <v>RUTL-8AE33400</v>
      </c>
      <c r="M347" s="34" t="s">
        <v>40</v>
      </c>
      <c r="N347" s="23"/>
      <c r="O347" s="23"/>
      <c r="P347" s="23"/>
      <c r="Q347" s="113"/>
      <c r="R347" s="15" t="s">
        <v>235</v>
      </c>
      <c r="S347" s="23"/>
      <c r="T347" s="107" t="s">
        <v>453</v>
      </c>
      <c r="U347" s="23" t="s">
        <v>2436</v>
      </c>
      <c r="V347" s="23">
        <v>2024</v>
      </c>
      <c r="W347" s="23" t="s">
        <v>386</v>
      </c>
      <c r="X347" s="71"/>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row>
    <row r="348" spans="1:135" ht="30" customHeight="1" thickBot="1" x14ac:dyDescent="0.3">
      <c r="A348" s="578" t="s">
        <v>584</v>
      </c>
      <c r="B348" s="8">
        <v>249</v>
      </c>
      <c r="C348" s="72" t="s">
        <v>574</v>
      </c>
      <c r="D348" s="15" t="s">
        <v>24</v>
      </c>
      <c r="E348" s="11" t="s">
        <v>25</v>
      </c>
      <c r="F348" s="20" t="s">
        <v>575</v>
      </c>
      <c r="G348" s="15" t="s">
        <v>576</v>
      </c>
      <c r="H348" s="173" t="s">
        <v>577</v>
      </c>
      <c r="I348" s="18" t="s">
        <v>135</v>
      </c>
      <c r="J348" s="18" t="s">
        <v>382</v>
      </c>
      <c r="K348" s="23" t="s">
        <v>589</v>
      </c>
      <c r="L348" s="25" t="str">
        <f>"RUTL-"&amp;RIGHT(K348,8)</f>
        <v>RUTL-8CFE3400</v>
      </c>
      <c r="M348" s="34" t="s">
        <v>40</v>
      </c>
      <c r="N348" s="23" t="s">
        <v>43</v>
      </c>
      <c r="O348" s="23"/>
      <c r="P348" s="39" t="s">
        <v>90</v>
      </c>
      <c r="Q348" s="113"/>
      <c r="R348" s="15" t="s">
        <v>56</v>
      </c>
      <c r="S348" s="37" t="s">
        <v>57</v>
      </c>
      <c r="T348" s="107" t="s">
        <v>453</v>
      </c>
      <c r="U348" s="39" t="s">
        <v>594</v>
      </c>
      <c r="V348" s="23">
        <v>2024</v>
      </c>
      <c r="W348" s="23" t="s">
        <v>386</v>
      </c>
      <c r="X348" s="71"/>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row>
    <row r="349" spans="1:135" ht="30" customHeight="1" thickBot="1" x14ac:dyDescent="0.3">
      <c r="A349" s="578" t="s">
        <v>4380</v>
      </c>
      <c r="B349" s="8">
        <v>8212</v>
      </c>
      <c r="C349" s="72" t="s">
        <v>4378</v>
      </c>
      <c r="D349" s="10" t="s">
        <v>24</v>
      </c>
      <c r="E349" s="11" t="s">
        <v>25</v>
      </c>
      <c r="F349" s="20" t="s">
        <v>4379</v>
      </c>
      <c r="G349" s="15" t="s">
        <v>224</v>
      </c>
      <c r="H349" s="53" t="s">
        <v>1319</v>
      </c>
      <c r="I349" s="18" t="s">
        <v>30</v>
      </c>
      <c r="J349" s="18" t="s">
        <v>382</v>
      </c>
      <c r="K349" s="33" t="s">
        <v>4381</v>
      </c>
      <c r="L349" s="25" t="str">
        <f>"RUTL-"&amp;RIGHT(K349,8)</f>
        <v>RUTL-8B0E3400</v>
      </c>
      <c r="M349" s="34" t="s">
        <v>40</v>
      </c>
      <c r="N349" s="23"/>
      <c r="O349" s="23"/>
      <c r="P349" s="23"/>
      <c r="Q349" s="113"/>
      <c r="R349" s="15" t="s">
        <v>56</v>
      </c>
      <c r="S349" s="37" t="s">
        <v>57</v>
      </c>
      <c r="T349" s="107" t="s">
        <v>453</v>
      </c>
      <c r="U349" s="39" t="s">
        <v>4199</v>
      </c>
      <c r="V349" s="23">
        <v>2024</v>
      </c>
      <c r="W349" s="23" t="s">
        <v>386</v>
      </c>
      <c r="X349" s="71"/>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row>
    <row r="350" spans="1:135" ht="30" customHeight="1" thickBot="1" x14ac:dyDescent="0.3">
      <c r="A350" s="578" t="s">
        <v>3046</v>
      </c>
      <c r="B350" s="51">
        <v>2553</v>
      </c>
      <c r="C350" s="52" t="s">
        <v>3044</v>
      </c>
      <c r="D350" s="10" t="s">
        <v>24</v>
      </c>
      <c r="E350" s="11" t="s">
        <v>25</v>
      </c>
      <c r="F350" s="20" t="s">
        <v>3045</v>
      </c>
      <c r="G350" s="15" t="s">
        <v>945</v>
      </c>
      <c r="H350" s="17" t="s">
        <v>891</v>
      </c>
      <c r="I350" s="18" t="s">
        <v>135</v>
      </c>
      <c r="J350" s="18" t="s">
        <v>382</v>
      </c>
      <c r="K350" s="33" t="s">
        <v>3047</v>
      </c>
      <c r="L350" s="25" t="str">
        <f>"RUTL-"&amp;RIGHT(K350,8)</f>
        <v>RUTL-88FC3400</v>
      </c>
      <c r="M350" s="34" t="s">
        <v>40</v>
      </c>
      <c r="N350" s="23" t="s">
        <v>414</v>
      </c>
      <c r="O350" s="23" t="s">
        <v>3048</v>
      </c>
      <c r="P350" s="39" t="s">
        <v>90</v>
      </c>
      <c r="Q350" s="63" t="s">
        <v>3049</v>
      </c>
      <c r="R350" s="15" t="s">
        <v>56</v>
      </c>
      <c r="S350" s="40" t="s">
        <v>57</v>
      </c>
      <c r="T350" s="41" t="s">
        <v>65</v>
      </c>
      <c r="U350" s="39" t="s">
        <v>3050</v>
      </c>
      <c r="V350" s="48"/>
      <c r="W350" s="23" t="s">
        <v>3051</v>
      </c>
      <c r="X350" s="71"/>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row>
    <row r="351" spans="1:135" ht="30" customHeight="1" thickBot="1" x14ac:dyDescent="0.3">
      <c r="A351" s="578" t="s">
        <v>1548</v>
      </c>
      <c r="B351" s="8">
        <v>629</v>
      </c>
      <c r="C351" s="72" t="s">
        <v>1544</v>
      </c>
      <c r="D351" s="15" t="s">
        <v>24</v>
      </c>
      <c r="E351" s="11" t="s">
        <v>25</v>
      </c>
      <c r="F351" s="12" t="s">
        <v>1545</v>
      </c>
      <c r="G351" s="15" t="s">
        <v>1546</v>
      </c>
      <c r="H351" s="22" t="s">
        <v>1547</v>
      </c>
      <c r="I351" s="18" t="s">
        <v>117</v>
      </c>
      <c r="J351" s="18" t="s">
        <v>382</v>
      </c>
      <c r="K351" s="23" t="s">
        <v>1549</v>
      </c>
      <c r="L351" s="25" t="str">
        <f>"RUTL-"&amp;RIGHT(K351,8)</f>
        <v>RUTL-8AFB3400</v>
      </c>
      <c r="M351" s="34" t="s">
        <v>40</v>
      </c>
      <c r="N351" s="23" t="s">
        <v>87</v>
      </c>
      <c r="O351" s="23"/>
      <c r="P351" s="39" t="s">
        <v>90</v>
      </c>
      <c r="Q351" s="113"/>
      <c r="R351" s="15" t="s">
        <v>235</v>
      </c>
      <c r="S351" s="37" t="s">
        <v>57</v>
      </c>
      <c r="T351" s="41" t="s">
        <v>65</v>
      </c>
      <c r="U351" s="39" t="s">
        <v>1555</v>
      </c>
      <c r="V351" s="23">
        <v>2024</v>
      </c>
      <c r="W351" s="23" t="s">
        <v>386</v>
      </c>
      <c r="X351" s="71"/>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row>
    <row r="352" spans="1:135" ht="30" customHeight="1" thickBot="1" x14ac:dyDescent="0.3">
      <c r="A352" s="578" t="s">
        <v>4236</v>
      </c>
      <c r="B352" s="8">
        <v>7673</v>
      </c>
      <c r="C352" s="72" t="s">
        <v>4233</v>
      </c>
      <c r="D352" s="10" t="s">
        <v>24</v>
      </c>
      <c r="E352" s="11" t="s">
        <v>25</v>
      </c>
      <c r="F352" s="20" t="s">
        <v>4234</v>
      </c>
      <c r="G352" s="15" t="s">
        <v>4235</v>
      </c>
      <c r="H352" s="18" t="s">
        <v>1398</v>
      </c>
      <c r="I352" s="54" t="s">
        <v>135</v>
      </c>
      <c r="J352" s="18" t="s">
        <v>382</v>
      </c>
      <c r="K352" s="33" t="s">
        <v>4237</v>
      </c>
      <c r="L352" s="25" t="str">
        <f>"RUTL-"&amp;RIGHT(K352,8)</f>
        <v>RUTL-8D323400</v>
      </c>
      <c r="M352" s="34" t="s">
        <v>40</v>
      </c>
      <c r="N352" s="39" t="s">
        <v>414</v>
      </c>
      <c r="O352" s="39" t="s">
        <v>4238</v>
      </c>
      <c r="P352" s="39" t="s">
        <v>90</v>
      </c>
      <c r="Q352" s="63" t="s">
        <v>4239</v>
      </c>
      <c r="R352" s="15" t="s">
        <v>56</v>
      </c>
      <c r="S352" s="37" t="s">
        <v>180</v>
      </c>
      <c r="T352" s="105" t="s">
        <v>148</v>
      </c>
      <c r="U352" s="39" t="s">
        <v>4240</v>
      </c>
      <c r="V352" s="23">
        <v>2024</v>
      </c>
      <c r="W352" s="23" t="s">
        <v>386</v>
      </c>
      <c r="X352" s="71"/>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row>
    <row r="353" spans="1:135" ht="30" customHeight="1" thickBot="1" x14ac:dyDescent="0.3">
      <c r="A353" s="578" t="s">
        <v>4413</v>
      </c>
      <c r="B353" s="16">
        <v>8239</v>
      </c>
      <c r="C353" s="72" t="s">
        <v>4409</v>
      </c>
      <c r="D353" s="10" t="s">
        <v>24</v>
      </c>
      <c r="E353" s="11" t="s">
        <v>25</v>
      </c>
      <c r="F353" s="20" t="s">
        <v>4410</v>
      </c>
      <c r="G353" s="15" t="s">
        <v>4411</v>
      </c>
      <c r="H353" s="291" t="s">
        <v>2294</v>
      </c>
      <c r="I353" s="18" t="s">
        <v>4412</v>
      </c>
      <c r="J353" s="18" t="s">
        <v>382</v>
      </c>
      <c r="K353" s="33" t="s">
        <v>4414</v>
      </c>
      <c r="L353" s="25" t="str">
        <f>"RUTL-"&amp;RIGHT(K353,8)</f>
        <v>RUTL-88D93400</v>
      </c>
      <c r="M353" s="34" t="s">
        <v>40</v>
      </c>
      <c r="N353" s="39" t="s">
        <v>414</v>
      </c>
      <c r="O353" s="39" t="s">
        <v>4415</v>
      </c>
      <c r="P353" s="23"/>
      <c r="Q353" s="113"/>
      <c r="R353" s="15" t="s">
        <v>56</v>
      </c>
      <c r="S353" s="37" t="s">
        <v>57</v>
      </c>
      <c r="T353" s="101" t="s">
        <v>96</v>
      </c>
      <c r="U353" s="39" t="s">
        <v>4403</v>
      </c>
      <c r="V353" s="23">
        <v>2024</v>
      </c>
      <c r="W353" s="23" t="s">
        <v>386</v>
      </c>
      <c r="X353" s="71"/>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row>
    <row r="354" spans="1:135" ht="30" customHeight="1" thickBot="1" x14ac:dyDescent="0.3">
      <c r="A354" s="578" t="s">
        <v>4384</v>
      </c>
      <c r="B354" s="8">
        <v>8214</v>
      </c>
      <c r="C354" s="72" t="s">
        <v>4382</v>
      </c>
      <c r="D354" s="10" t="s">
        <v>24</v>
      </c>
      <c r="E354" s="11" t="s">
        <v>25</v>
      </c>
      <c r="F354" s="20" t="s">
        <v>4383</v>
      </c>
      <c r="G354" s="15" t="s">
        <v>889</v>
      </c>
      <c r="H354" s="17" t="s">
        <v>891</v>
      </c>
      <c r="I354" s="18" t="s">
        <v>135</v>
      </c>
      <c r="J354" s="18" t="s">
        <v>382</v>
      </c>
      <c r="K354" s="33" t="s">
        <v>4385</v>
      </c>
      <c r="L354" s="25" t="str">
        <f>"RUTL-"&amp;RIGHT(K354,8)</f>
        <v>RUTL-8D9E3400</v>
      </c>
      <c r="M354" s="34" t="s">
        <v>40</v>
      </c>
      <c r="N354" s="23"/>
      <c r="O354" s="23"/>
      <c r="P354" s="23"/>
      <c r="Q354" s="113"/>
      <c r="R354" s="15" t="s">
        <v>56</v>
      </c>
      <c r="S354" s="23"/>
      <c r="T354" s="107" t="s">
        <v>148</v>
      </c>
      <c r="U354" s="39" t="s">
        <v>4199</v>
      </c>
      <c r="V354" s="23">
        <v>2024</v>
      </c>
      <c r="W354" s="23" t="s">
        <v>386</v>
      </c>
      <c r="X354" s="71"/>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row>
    <row r="355" spans="1:135" ht="30" customHeight="1" thickBot="1" x14ac:dyDescent="0.3">
      <c r="A355" s="578" t="s">
        <v>2150</v>
      </c>
      <c r="B355" s="8">
        <v>902</v>
      </c>
      <c r="C355" s="72" t="s">
        <v>2143</v>
      </c>
      <c r="D355" s="15" t="s">
        <v>24</v>
      </c>
      <c r="E355" s="11" t="s">
        <v>25</v>
      </c>
      <c r="F355" s="20" t="s">
        <v>2145</v>
      </c>
      <c r="G355" s="15" t="s">
        <v>2147</v>
      </c>
      <c r="H355" s="206" t="s">
        <v>714</v>
      </c>
      <c r="I355" s="18" t="s">
        <v>772</v>
      </c>
      <c r="J355" s="18" t="s">
        <v>2149</v>
      </c>
      <c r="K355" s="23" t="s">
        <v>2152</v>
      </c>
      <c r="L355" s="25" t="str">
        <f>"RUTL-"&amp;RIGHT(K355,8)</f>
        <v>RUTL-80821350</v>
      </c>
      <c r="M355" s="34" t="s">
        <v>40</v>
      </c>
      <c r="N355" s="23" t="s">
        <v>43</v>
      </c>
      <c r="O355" s="23"/>
      <c r="P355" s="23"/>
      <c r="Q355" s="113"/>
      <c r="R355" s="15" t="s">
        <v>56</v>
      </c>
      <c r="S355" s="37" t="s">
        <v>57</v>
      </c>
      <c r="T355" s="309" t="s">
        <v>273</v>
      </c>
      <c r="U355" s="39" t="s">
        <v>2154</v>
      </c>
      <c r="V355" s="23"/>
      <c r="W355" s="23"/>
      <c r="X355" s="71"/>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row>
    <row r="356" spans="1:135" ht="30" customHeight="1" thickBot="1" x14ac:dyDescent="0.3">
      <c r="A356" s="578" t="s">
        <v>2675</v>
      </c>
      <c r="B356" s="51" t="s">
        <v>2671</v>
      </c>
      <c r="C356" s="167" t="s">
        <v>2672</v>
      </c>
      <c r="D356" s="15" t="s">
        <v>24</v>
      </c>
      <c r="E356" s="122" t="s">
        <v>25</v>
      </c>
      <c r="F356" s="20" t="s">
        <v>2673</v>
      </c>
      <c r="G356" s="15" t="s">
        <v>2674</v>
      </c>
      <c r="H356" s="147" t="s">
        <v>1109</v>
      </c>
      <c r="I356" s="18" t="s">
        <v>38</v>
      </c>
      <c r="J356" s="18" t="s">
        <v>2149</v>
      </c>
      <c r="K356" s="124" t="s">
        <v>2676</v>
      </c>
      <c r="L356" s="127" t="str">
        <f>"RUTL-"&amp;RIGHT(K356,8)</f>
        <v>RUTL-80821781</v>
      </c>
      <c r="M356" s="129" t="s">
        <v>40</v>
      </c>
      <c r="N356" s="14"/>
      <c r="O356" s="124"/>
      <c r="P356" s="124"/>
      <c r="Q356" s="124"/>
      <c r="R356" s="121" t="s">
        <v>56</v>
      </c>
      <c r="S356" s="37" t="s">
        <v>57</v>
      </c>
      <c r="T356" s="287" t="s">
        <v>2677</v>
      </c>
      <c r="U356" s="187" t="s">
        <v>2679</v>
      </c>
      <c r="V356" s="124"/>
      <c r="W356" s="124"/>
      <c r="X356" s="71"/>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row>
    <row r="357" spans="1:135" ht="30" customHeight="1" thickBot="1" x14ac:dyDescent="0.3">
      <c r="A357" s="578" t="s">
        <v>4268</v>
      </c>
      <c r="B357" s="8">
        <v>7784</v>
      </c>
      <c r="C357" s="72" t="s">
        <v>4265</v>
      </c>
      <c r="D357" s="10" t="s">
        <v>24</v>
      </c>
      <c r="E357" s="11" t="s">
        <v>25</v>
      </c>
      <c r="F357" s="20" t="s">
        <v>4266</v>
      </c>
      <c r="G357" s="15" t="s">
        <v>4267</v>
      </c>
      <c r="H357" s="147" t="s">
        <v>1882</v>
      </c>
      <c r="I357" s="18" t="s">
        <v>135</v>
      </c>
      <c r="J357" s="18" t="s">
        <v>2149</v>
      </c>
      <c r="K357" s="33" t="s">
        <v>4269</v>
      </c>
      <c r="L357" s="25" t="str">
        <f>"RUTL-"&amp;RIGHT(K357,8)</f>
        <v>RUTL-80821460</v>
      </c>
      <c r="M357" s="34" t="s">
        <v>40</v>
      </c>
      <c r="N357" s="23" t="s">
        <v>43</v>
      </c>
      <c r="O357" s="23"/>
      <c r="P357" s="39" t="s">
        <v>90</v>
      </c>
      <c r="Q357" s="243" t="s">
        <v>4270</v>
      </c>
      <c r="R357" s="15" t="s">
        <v>56</v>
      </c>
      <c r="S357" s="37" t="s">
        <v>57</v>
      </c>
      <c r="T357" s="107" t="s">
        <v>148</v>
      </c>
      <c r="U357" s="39" t="s">
        <v>3823</v>
      </c>
      <c r="V357" s="23"/>
      <c r="W357" s="23"/>
      <c r="X357" s="71"/>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row>
    <row r="358" spans="1:135" ht="30" customHeight="1" thickBot="1" x14ac:dyDescent="0.3">
      <c r="A358" s="578" t="s">
        <v>3943</v>
      </c>
      <c r="B358" s="16">
        <v>6546</v>
      </c>
      <c r="C358" s="72" t="s">
        <v>3940</v>
      </c>
      <c r="D358" s="10" t="s">
        <v>24</v>
      </c>
      <c r="E358" s="11" t="s">
        <v>25</v>
      </c>
      <c r="F358" s="20" t="s">
        <v>3941</v>
      </c>
      <c r="G358" s="15" t="s">
        <v>3942</v>
      </c>
      <c r="H358" s="147" t="s">
        <v>1882</v>
      </c>
      <c r="I358" s="18" t="s">
        <v>135</v>
      </c>
      <c r="J358" s="18" t="s">
        <v>2149</v>
      </c>
      <c r="K358" s="33" t="s">
        <v>3944</v>
      </c>
      <c r="L358" s="25" t="str">
        <f>"RUTL-"&amp;RIGHT(K358,8)</f>
        <v>RUTL-80821426</v>
      </c>
      <c r="M358" s="34" t="s">
        <v>40</v>
      </c>
      <c r="N358" s="23" t="s">
        <v>43</v>
      </c>
      <c r="O358" s="23"/>
      <c r="P358" s="23" t="s">
        <v>1231</v>
      </c>
      <c r="Q358" s="113" t="s">
        <v>3945</v>
      </c>
      <c r="R358" s="15" t="s">
        <v>56</v>
      </c>
      <c r="S358" s="37" t="s">
        <v>57</v>
      </c>
      <c r="T358" s="107" t="s">
        <v>453</v>
      </c>
      <c r="U358" s="39" t="s">
        <v>666</v>
      </c>
      <c r="V358" s="23"/>
      <c r="W358" s="23"/>
      <c r="X358" s="71"/>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row>
    <row r="359" spans="1:135" ht="30" customHeight="1" thickBot="1" x14ac:dyDescent="0.3">
      <c r="A359" s="578" t="s">
        <v>3251</v>
      </c>
      <c r="B359" s="8">
        <v>3288</v>
      </c>
      <c r="C359" s="72" t="s">
        <v>3249</v>
      </c>
      <c r="D359" s="15" t="s">
        <v>24</v>
      </c>
      <c r="E359" s="11" t="s">
        <v>25</v>
      </c>
      <c r="F359" s="20"/>
      <c r="G359" s="15" t="s">
        <v>3250</v>
      </c>
      <c r="H359" s="17" t="s">
        <v>470</v>
      </c>
      <c r="I359" s="18" t="s">
        <v>135</v>
      </c>
      <c r="J359" s="18" t="s">
        <v>2149</v>
      </c>
      <c r="K359" s="33" t="s">
        <v>3252</v>
      </c>
      <c r="L359" s="25" t="str">
        <f>"RUTL-"&amp;RIGHT(K359,8)</f>
        <v>RUTL-80821711</v>
      </c>
      <c r="M359" s="34" t="s">
        <v>40</v>
      </c>
      <c r="N359" s="23"/>
      <c r="O359" s="23"/>
      <c r="P359" s="39" t="s">
        <v>90</v>
      </c>
      <c r="Q359" s="113"/>
      <c r="R359" s="15" t="s">
        <v>56</v>
      </c>
      <c r="S359" s="23"/>
      <c r="T359" s="108" t="s">
        <v>273</v>
      </c>
      <c r="U359" s="57"/>
      <c r="V359" s="170">
        <v>45385</v>
      </c>
      <c r="W359" s="23" t="s">
        <v>386</v>
      </c>
      <c r="X359" s="71"/>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row>
    <row r="360" spans="1:135" ht="30" customHeight="1" thickBot="1" x14ac:dyDescent="0.3">
      <c r="A360" s="578" t="s">
        <v>4333</v>
      </c>
      <c r="B360" s="8">
        <v>8119</v>
      </c>
      <c r="C360" s="72" t="s">
        <v>4331</v>
      </c>
      <c r="D360" s="10" t="s">
        <v>24</v>
      </c>
      <c r="E360" s="11" t="s">
        <v>25</v>
      </c>
      <c r="F360" s="20" t="s">
        <v>4332</v>
      </c>
      <c r="G360" s="15" t="s">
        <v>3455</v>
      </c>
      <c r="H360" s="102" t="s">
        <v>287</v>
      </c>
      <c r="I360" s="18" t="s">
        <v>135</v>
      </c>
      <c r="J360" s="18" t="s">
        <v>2149</v>
      </c>
      <c r="K360" s="33" t="s">
        <v>4334</v>
      </c>
      <c r="L360" s="25" t="str">
        <f>"RUTL-"&amp;RIGHT(K360,8)</f>
        <v>RUTL-80821459</v>
      </c>
      <c r="M360" s="34" t="s">
        <v>40</v>
      </c>
      <c r="N360" s="23"/>
      <c r="O360" s="23"/>
      <c r="P360" s="23"/>
      <c r="Q360" s="113"/>
      <c r="R360" s="15" t="s">
        <v>56</v>
      </c>
      <c r="S360" s="23"/>
      <c r="T360" s="23"/>
      <c r="U360" s="57"/>
      <c r="V360" s="23"/>
      <c r="W360" s="23"/>
      <c r="X360" s="71"/>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row>
    <row r="361" spans="1:135" ht="30" customHeight="1" thickBot="1" x14ac:dyDescent="0.3">
      <c r="A361" s="578" t="s">
        <v>5351</v>
      </c>
      <c r="B361" s="8">
        <v>12658</v>
      </c>
      <c r="C361" s="72" t="s">
        <v>5348</v>
      </c>
      <c r="D361" s="10" t="s">
        <v>5349</v>
      </c>
      <c r="E361" s="11" t="s">
        <v>25</v>
      </c>
      <c r="F361" s="20" t="s">
        <v>5350</v>
      </c>
      <c r="G361" s="15" t="s">
        <v>4223</v>
      </c>
      <c r="H361" s="108" t="s">
        <v>225</v>
      </c>
      <c r="I361" s="18" t="s">
        <v>135</v>
      </c>
      <c r="J361" s="18" t="s">
        <v>2149</v>
      </c>
      <c r="K361" s="23" t="s">
        <v>5352</v>
      </c>
      <c r="L361" s="25" t="str">
        <f>"RUTL-"&amp;RIGHT(K361,8)</f>
        <v>RUTL-80821769</v>
      </c>
      <c r="M361" s="34" t="s">
        <v>40</v>
      </c>
      <c r="N361" s="23" t="s">
        <v>43</v>
      </c>
      <c r="O361" s="23"/>
      <c r="P361" s="39" t="s">
        <v>90</v>
      </c>
      <c r="Q361" s="113"/>
      <c r="R361" s="15" t="s">
        <v>56</v>
      </c>
      <c r="S361" s="37" t="s">
        <v>180</v>
      </c>
      <c r="T361" s="105" t="s">
        <v>148</v>
      </c>
      <c r="U361" s="39" t="s">
        <v>5353</v>
      </c>
      <c r="V361" s="23"/>
      <c r="W361" s="23" t="s">
        <v>441</v>
      </c>
      <c r="X361" s="71"/>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row>
    <row r="362" spans="1:135" ht="30" customHeight="1" thickBot="1" x14ac:dyDescent="0.3">
      <c r="A362" s="578" t="s">
        <v>5762</v>
      </c>
      <c r="B362" s="8">
        <v>13825</v>
      </c>
      <c r="C362" s="72" t="s">
        <v>5760</v>
      </c>
      <c r="D362" s="10" t="s">
        <v>24</v>
      </c>
      <c r="E362" s="11" t="s">
        <v>25</v>
      </c>
      <c r="F362" s="20" t="s">
        <v>5761</v>
      </c>
      <c r="G362" s="15" t="s">
        <v>78</v>
      </c>
      <c r="H362" s="148" t="s">
        <v>436</v>
      </c>
      <c r="I362" s="18" t="s">
        <v>117</v>
      </c>
      <c r="J362" s="18" t="s">
        <v>2149</v>
      </c>
      <c r="K362" s="23" t="s">
        <v>5763</v>
      </c>
      <c r="L362" s="25" t="str">
        <f>"RUTL-"&amp;RIGHT(K362,8)</f>
        <v>RUTL-80821464</v>
      </c>
      <c r="M362" s="34" t="s">
        <v>40</v>
      </c>
      <c r="N362" s="23" t="s">
        <v>43</v>
      </c>
      <c r="O362" s="23"/>
      <c r="P362" s="39" t="s">
        <v>90</v>
      </c>
      <c r="Q362" s="63" t="s">
        <v>5764</v>
      </c>
      <c r="R362" s="15" t="s">
        <v>235</v>
      </c>
      <c r="S362" s="37" t="s">
        <v>57</v>
      </c>
      <c r="T362" s="107" t="s">
        <v>148</v>
      </c>
      <c r="U362" s="23" t="s">
        <v>5765</v>
      </c>
      <c r="V362" s="23"/>
      <c r="W362" s="23"/>
      <c r="X362" s="71"/>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row>
    <row r="363" spans="1:135" ht="30" customHeight="1" thickBot="1" x14ac:dyDescent="0.3">
      <c r="A363" s="578" t="s">
        <v>7160</v>
      </c>
      <c r="B363" s="16">
        <v>17685</v>
      </c>
      <c r="C363" s="72" t="s">
        <v>7157</v>
      </c>
      <c r="D363" s="10" t="s">
        <v>24</v>
      </c>
      <c r="E363" s="28" t="s">
        <v>25</v>
      </c>
      <c r="F363" s="29" t="s">
        <v>7158</v>
      </c>
      <c r="G363" s="15" t="s">
        <v>7159</v>
      </c>
      <c r="H363" s="104" t="s">
        <v>349</v>
      </c>
      <c r="I363" s="18" t="s">
        <v>135</v>
      </c>
      <c r="J363" s="18" t="s">
        <v>2149</v>
      </c>
      <c r="K363" s="33" t="s">
        <v>7161</v>
      </c>
      <c r="L363" s="25" t="str">
        <f>"RUTL-"&amp;RIGHT(K363,8)</f>
        <v>RUTL-80820613</v>
      </c>
      <c r="M363" s="34" t="s">
        <v>40</v>
      </c>
      <c r="N363" s="39" t="s">
        <v>414</v>
      </c>
      <c r="O363" s="32"/>
      <c r="P363" s="90" t="s">
        <v>90</v>
      </c>
      <c r="Q363" s="91" t="s">
        <v>7162</v>
      </c>
      <c r="R363" s="15" t="s">
        <v>56</v>
      </c>
      <c r="S363" s="40" t="s">
        <v>57</v>
      </c>
      <c r="T363" s="107" t="s">
        <v>453</v>
      </c>
      <c r="U363" s="39" t="s">
        <v>7163</v>
      </c>
      <c r="V363" s="32"/>
      <c r="W363" s="32"/>
      <c r="X363" s="71"/>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row>
    <row r="364" spans="1:135" ht="30" customHeight="1" thickBot="1" x14ac:dyDescent="0.3">
      <c r="A364" s="578" t="s">
        <v>2296</v>
      </c>
      <c r="B364" s="8">
        <v>992</v>
      </c>
      <c r="C364" s="72" t="s">
        <v>2291</v>
      </c>
      <c r="D364" s="15" t="s">
        <v>24</v>
      </c>
      <c r="E364" s="11" t="s">
        <v>25</v>
      </c>
      <c r="F364" s="20" t="s">
        <v>2292</v>
      </c>
      <c r="G364" s="15" t="s">
        <v>2293</v>
      </c>
      <c r="H364" s="291" t="s">
        <v>2294</v>
      </c>
      <c r="I364" s="18" t="s">
        <v>135</v>
      </c>
      <c r="J364" s="18" t="s">
        <v>2149</v>
      </c>
      <c r="K364" s="23" t="s">
        <v>2298</v>
      </c>
      <c r="L364" s="25" t="str">
        <f>"RUTL-"&amp;RIGHT(K364,8)</f>
        <v>RUTL-80821821</v>
      </c>
      <c r="M364" s="34" t="s">
        <v>40</v>
      </c>
      <c r="N364" s="39" t="s">
        <v>204</v>
      </c>
      <c r="O364" s="39" t="s">
        <v>2301</v>
      </c>
      <c r="P364" s="39" t="s">
        <v>90</v>
      </c>
      <c r="Q364" s="63" t="s">
        <v>2302</v>
      </c>
      <c r="R364" s="15" t="s">
        <v>56</v>
      </c>
      <c r="S364" s="37" t="s">
        <v>57</v>
      </c>
      <c r="T364" s="105" t="s">
        <v>148</v>
      </c>
      <c r="U364" s="23" t="s">
        <v>2303</v>
      </c>
      <c r="V364" s="306"/>
      <c r="W364" s="32"/>
      <c r="X364" s="71"/>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row>
    <row r="365" spans="1:135" ht="30" customHeight="1" thickBot="1" x14ac:dyDescent="0.3">
      <c r="A365" s="578" t="s">
        <v>2163</v>
      </c>
      <c r="B365" s="51">
        <v>908</v>
      </c>
      <c r="C365" s="69" t="s">
        <v>2156</v>
      </c>
      <c r="D365" s="10" t="s">
        <v>24</v>
      </c>
      <c r="E365" s="28" t="s">
        <v>25</v>
      </c>
      <c r="F365" s="12" t="s">
        <v>2157</v>
      </c>
      <c r="G365" s="15" t="s">
        <v>2158</v>
      </c>
      <c r="H365" s="102" t="s">
        <v>2159</v>
      </c>
      <c r="I365" s="18" t="s">
        <v>2161</v>
      </c>
      <c r="J365" s="24" t="s">
        <v>1120</v>
      </c>
      <c r="K365" s="23" t="s">
        <v>2166</v>
      </c>
      <c r="L365" s="25" t="str">
        <f>"RUTL-"&amp;RIGHT(K365,8)</f>
        <v>RUTL-MP2HBY6H</v>
      </c>
      <c r="M365" s="34" t="s">
        <v>40</v>
      </c>
      <c r="N365" s="23"/>
      <c r="O365" s="23"/>
      <c r="P365" s="33" t="s">
        <v>2167</v>
      </c>
      <c r="Q365" s="23" t="s">
        <v>2168</v>
      </c>
      <c r="R365" s="227"/>
      <c r="S365" s="23" t="s">
        <v>2169</v>
      </c>
      <c r="T365" s="311" t="s">
        <v>2171</v>
      </c>
      <c r="U365" s="23" t="s">
        <v>2174</v>
      </c>
      <c r="V365" s="48"/>
      <c r="W365" s="23"/>
      <c r="X365" s="71"/>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row>
    <row r="366" spans="1:135" ht="30" customHeight="1" thickBot="1" x14ac:dyDescent="0.3">
      <c r="A366" s="578" t="s">
        <v>1122</v>
      </c>
      <c r="B366" s="8">
        <v>15375</v>
      </c>
      <c r="C366" s="72" t="s">
        <v>1113</v>
      </c>
      <c r="D366" s="10" t="s">
        <v>24</v>
      </c>
      <c r="E366" s="28" t="s">
        <v>25</v>
      </c>
      <c r="F366" s="20" t="s">
        <v>1117</v>
      </c>
      <c r="G366" s="15" t="s">
        <v>1118</v>
      </c>
      <c r="H366" s="102" t="s">
        <v>97</v>
      </c>
      <c r="I366" s="18" t="s">
        <v>1119</v>
      </c>
      <c r="J366" s="18" t="s">
        <v>1120</v>
      </c>
      <c r="K366" s="33" t="s">
        <v>1123</v>
      </c>
      <c r="L366" s="21" t="str">
        <f>"RUTL-"&amp;RIGHT(K366,8)</f>
        <v>RUTL-MP2HBY7F</v>
      </c>
      <c r="M366" s="34" t="s">
        <v>40</v>
      </c>
      <c r="N366" s="23" t="s">
        <v>1124</v>
      </c>
      <c r="O366" s="23"/>
      <c r="P366" s="39" t="s">
        <v>90</v>
      </c>
      <c r="Q366" s="113"/>
      <c r="R366" s="15" t="s">
        <v>56</v>
      </c>
      <c r="S366" s="232" t="s">
        <v>296</v>
      </c>
      <c r="T366" s="23" t="s">
        <v>96</v>
      </c>
      <c r="U366" s="47" t="s">
        <v>1130</v>
      </c>
      <c r="V366" s="23"/>
      <c r="W366" s="23"/>
      <c r="X366" s="71"/>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row>
    <row r="367" spans="1:135" ht="30" customHeight="1" thickBot="1" x14ac:dyDescent="0.3">
      <c r="A367" s="578" t="s">
        <v>4261</v>
      </c>
      <c r="B367" s="8">
        <v>7752</v>
      </c>
      <c r="C367" s="72" t="s">
        <v>4258</v>
      </c>
      <c r="D367" s="10" t="s">
        <v>24</v>
      </c>
      <c r="E367" s="11" t="s">
        <v>25</v>
      </c>
      <c r="F367" s="20" t="s">
        <v>4259</v>
      </c>
      <c r="G367" s="15" t="s">
        <v>4260</v>
      </c>
      <c r="H367" s="102" t="s">
        <v>698</v>
      </c>
      <c r="I367" s="18" t="s">
        <v>2401</v>
      </c>
      <c r="J367" s="24" t="s">
        <v>1120</v>
      </c>
      <c r="K367" s="33" t="s">
        <v>4262</v>
      </c>
      <c r="L367" s="25" t="str">
        <f>"RUTL-"&amp;RIGHT(K367,8)</f>
        <v>RUTL-MP2HBY4T</v>
      </c>
      <c r="M367" s="34" t="s">
        <v>40</v>
      </c>
      <c r="N367" s="23"/>
      <c r="O367" s="23"/>
      <c r="P367" s="23"/>
      <c r="Q367" s="113"/>
      <c r="R367" s="23"/>
      <c r="S367" s="232" t="s">
        <v>296</v>
      </c>
      <c r="T367" s="165" t="s">
        <v>1630</v>
      </c>
      <c r="U367" s="39" t="s">
        <v>4263</v>
      </c>
      <c r="V367" s="23">
        <v>2024</v>
      </c>
      <c r="W367" s="23" t="s">
        <v>4264</v>
      </c>
      <c r="X367" s="71"/>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row>
    <row r="368" spans="1:135" ht="30" customHeight="1" thickBot="1" x14ac:dyDescent="0.3">
      <c r="A368" s="578" t="s">
        <v>4323</v>
      </c>
      <c r="B368" s="8">
        <v>8062</v>
      </c>
      <c r="C368" s="72" t="s">
        <v>4320</v>
      </c>
      <c r="D368" s="10" t="s">
        <v>24</v>
      </c>
      <c r="E368" s="11" t="s">
        <v>25</v>
      </c>
      <c r="F368" s="20" t="s">
        <v>4321</v>
      </c>
      <c r="G368" s="15" t="s">
        <v>4322</v>
      </c>
      <c r="H368" s="53" t="s">
        <v>337</v>
      </c>
      <c r="I368" s="18" t="s">
        <v>198</v>
      </c>
      <c r="J368" s="24" t="s">
        <v>1120</v>
      </c>
      <c r="K368" s="33" t="s">
        <v>4324</v>
      </c>
      <c r="L368" s="25" t="str">
        <f>"RUTL-"&amp;RIGHT(K368,8)</f>
        <v>RUTL-MP2HBY7C</v>
      </c>
      <c r="M368" s="34" t="s">
        <v>40</v>
      </c>
      <c r="N368" s="23"/>
      <c r="O368" s="23"/>
      <c r="P368" s="23"/>
      <c r="Q368" s="113"/>
      <c r="R368" s="15" t="s">
        <v>235</v>
      </c>
      <c r="S368" s="37" t="s">
        <v>57</v>
      </c>
      <c r="T368" s="53" t="s">
        <v>1581</v>
      </c>
      <c r="U368" s="39" t="s">
        <v>4325</v>
      </c>
      <c r="V368" s="23">
        <v>2024</v>
      </c>
      <c r="W368" s="23"/>
      <c r="X368" s="71"/>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row>
    <row r="369" spans="1:135" ht="30" customHeight="1" thickBot="1" x14ac:dyDescent="0.3">
      <c r="A369" s="578" t="s">
        <v>6434</v>
      </c>
      <c r="B369" s="51">
        <v>15905</v>
      </c>
      <c r="C369" s="72" t="s">
        <v>6432</v>
      </c>
      <c r="D369" s="10" t="s">
        <v>24</v>
      </c>
      <c r="E369" s="11" t="s">
        <v>25</v>
      </c>
      <c r="F369" s="12" t="s">
        <v>6433</v>
      </c>
      <c r="G369" s="15" t="s">
        <v>3329</v>
      </c>
      <c r="H369" s="102" t="s">
        <v>5582</v>
      </c>
      <c r="I369" s="24" t="s">
        <v>135</v>
      </c>
      <c r="J369" s="24" t="s">
        <v>1120</v>
      </c>
      <c r="K369" s="23" t="s">
        <v>6435</v>
      </c>
      <c r="L369" s="25" t="str">
        <f>"RUTL-"&amp;RIGHT(K369,8)</f>
        <v>RUTL-MP2HBY5J</v>
      </c>
      <c r="M369" s="34" t="s">
        <v>40</v>
      </c>
      <c r="N369" s="23" t="s">
        <v>54</v>
      </c>
      <c r="O369" s="23"/>
      <c r="P369" s="90" t="s">
        <v>90</v>
      </c>
      <c r="Q369" s="23"/>
      <c r="R369" s="15" t="s">
        <v>56</v>
      </c>
      <c r="S369" s="232" t="s">
        <v>296</v>
      </c>
      <c r="T369" s="118" t="s">
        <v>65</v>
      </c>
      <c r="U369" s="39" t="s">
        <v>883</v>
      </c>
      <c r="V369" s="48"/>
      <c r="W369" s="23"/>
      <c r="X369" s="71"/>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row>
    <row r="370" spans="1:135" ht="30" customHeight="1" thickBot="1" x14ac:dyDescent="0.3">
      <c r="A370" s="578" t="s">
        <v>4328</v>
      </c>
      <c r="B370" s="8">
        <v>8089</v>
      </c>
      <c r="C370" s="72" t="s">
        <v>4326</v>
      </c>
      <c r="D370" s="10" t="s">
        <v>24</v>
      </c>
      <c r="E370" s="11" t="s">
        <v>25</v>
      </c>
      <c r="F370" s="20" t="s">
        <v>4327</v>
      </c>
      <c r="G370" s="15" t="s">
        <v>3142</v>
      </c>
      <c r="H370" s="53" t="s">
        <v>337</v>
      </c>
      <c r="I370" s="18" t="s">
        <v>198</v>
      </c>
      <c r="J370" s="24" t="s">
        <v>1120</v>
      </c>
      <c r="K370" s="33" t="s">
        <v>4329</v>
      </c>
      <c r="L370" s="25" t="str">
        <f>"RUTL-"&amp;RIGHT(K370,8)</f>
        <v>RUTL-MP2HBVX5</v>
      </c>
      <c r="M370" s="34" t="s">
        <v>40</v>
      </c>
      <c r="N370" s="23"/>
      <c r="O370" s="23"/>
      <c r="P370" s="23"/>
      <c r="Q370" s="113"/>
      <c r="R370" s="15" t="s">
        <v>235</v>
      </c>
      <c r="S370" s="37" t="s">
        <v>57</v>
      </c>
      <c r="T370" s="53" t="s">
        <v>1581</v>
      </c>
      <c r="U370" s="39" t="s">
        <v>4330</v>
      </c>
      <c r="V370" s="23"/>
      <c r="W370" s="23"/>
      <c r="X370" s="71"/>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row>
    <row r="371" spans="1:135" ht="30" customHeight="1" thickBot="1" x14ac:dyDescent="0.3">
      <c r="A371" s="578" t="s">
        <v>4339</v>
      </c>
      <c r="B371" s="8">
        <v>8120</v>
      </c>
      <c r="C371" s="72" t="s">
        <v>4335</v>
      </c>
      <c r="D371" s="10" t="s">
        <v>24</v>
      </c>
      <c r="E371" s="11" t="s">
        <v>25</v>
      </c>
      <c r="F371" s="20" t="s">
        <v>4336</v>
      </c>
      <c r="G371" s="15" t="s">
        <v>4337</v>
      </c>
      <c r="H371" s="102" t="s">
        <v>698</v>
      </c>
      <c r="I371" s="18" t="s">
        <v>4338</v>
      </c>
      <c r="J371" s="24" t="s">
        <v>1120</v>
      </c>
      <c r="K371" s="33" t="s">
        <v>4340</v>
      </c>
      <c r="L371" s="25" t="str">
        <f>"RUTL-"&amp;RIGHT(K371,8)</f>
        <v>RUTL-MP2HBY5A</v>
      </c>
      <c r="M371" s="34" t="s">
        <v>40</v>
      </c>
      <c r="N371" s="23"/>
      <c r="O371" s="23"/>
      <c r="P371" s="23"/>
      <c r="Q371" s="113"/>
      <c r="R371" s="15" t="s">
        <v>56</v>
      </c>
      <c r="S371" s="232" t="s">
        <v>296</v>
      </c>
      <c r="T371" s="101" t="s">
        <v>96</v>
      </c>
      <c r="U371" s="39" t="s">
        <v>4330</v>
      </c>
      <c r="V371" s="23"/>
      <c r="W371" s="23"/>
      <c r="X371" s="71"/>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row>
    <row r="372" spans="1:135" ht="30" customHeight="1" thickBot="1" x14ac:dyDescent="0.3">
      <c r="A372" s="578" t="s">
        <v>6885</v>
      </c>
      <c r="B372" s="51">
        <v>16890</v>
      </c>
      <c r="C372" s="52" t="s">
        <v>6883</v>
      </c>
      <c r="D372" s="10" t="s">
        <v>24</v>
      </c>
      <c r="E372" s="11" t="s">
        <v>25</v>
      </c>
      <c r="F372" s="20" t="s">
        <v>6884</v>
      </c>
      <c r="G372" s="15" t="s">
        <v>651</v>
      </c>
      <c r="H372" s="119" t="s">
        <v>370</v>
      </c>
      <c r="I372" s="24" t="s">
        <v>135</v>
      </c>
      <c r="J372" s="24" t="s">
        <v>1120</v>
      </c>
      <c r="K372" s="23" t="s">
        <v>6886</v>
      </c>
      <c r="L372" s="25" t="str">
        <f>"RUTL-"&amp;RIGHT(K372,8)</f>
        <v>RUTL-MP2HBVY3</v>
      </c>
      <c r="M372" s="34" t="s">
        <v>40</v>
      </c>
      <c r="N372" s="39" t="s">
        <v>87</v>
      </c>
      <c r="O372" s="23"/>
      <c r="P372" s="39" t="s">
        <v>90</v>
      </c>
      <c r="Q372" s="63" t="s">
        <v>146</v>
      </c>
      <c r="R372" s="15" t="s">
        <v>56</v>
      </c>
      <c r="S372" s="37" t="s">
        <v>57</v>
      </c>
      <c r="T372" s="105" t="s">
        <v>148</v>
      </c>
      <c r="U372" s="39" t="s">
        <v>4377</v>
      </c>
      <c r="V372" s="23"/>
      <c r="W372" s="23" t="s">
        <v>441</v>
      </c>
      <c r="X372" s="71"/>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row>
    <row r="373" spans="1:135" ht="30" customHeight="1" thickBot="1" x14ac:dyDescent="0.3">
      <c r="A373" s="578" t="s">
        <v>4126</v>
      </c>
      <c r="B373" s="8">
        <v>7377</v>
      </c>
      <c r="C373" s="72" t="s">
        <v>4124</v>
      </c>
      <c r="D373" s="10" t="s">
        <v>24</v>
      </c>
      <c r="E373" s="11" t="s">
        <v>25</v>
      </c>
      <c r="F373" s="20" t="s">
        <v>4125</v>
      </c>
      <c r="G373" s="15" t="s">
        <v>285</v>
      </c>
      <c r="H373" s="143" t="s">
        <v>398</v>
      </c>
      <c r="I373" s="18" t="s">
        <v>48</v>
      </c>
      <c r="J373" s="18" t="s">
        <v>4120</v>
      </c>
      <c r="K373" s="33" t="s">
        <v>4127</v>
      </c>
      <c r="L373" s="25" t="str">
        <f>"RUTL-"&amp;RIGHT(K373,8)</f>
        <v>RUTL-12D83000</v>
      </c>
      <c r="M373" s="34" t="s">
        <v>40</v>
      </c>
      <c r="N373" s="135" t="s">
        <v>4128</v>
      </c>
      <c r="O373" s="175"/>
      <c r="P373" s="23"/>
      <c r="Q373" s="113"/>
      <c r="R373" s="15" t="s">
        <v>56</v>
      </c>
      <c r="S373" s="23"/>
      <c r="T373" s="107" t="s">
        <v>453</v>
      </c>
      <c r="U373" s="23" t="s">
        <v>3682</v>
      </c>
      <c r="V373" s="23"/>
      <c r="W373" s="23"/>
      <c r="X373" s="71"/>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row>
    <row r="374" spans="1:135" ht="30" customHeight="1" thickBot="1" x14ac:dyDescent="0.3">
      <c r="A374" s="578" t="s">
        <v>4121</v>
      </c>
      <c r="B374" s="8">
        <v>7363</v>
      </c>
      <c r="C374" s="72" t="s">
        <v>4118</v>
      </c>
      <c r="D374" s="10" t="s">
        <v>24</v>
      </c>
      <c r="E374" s="11" t="s">
        <v>25</v>
      </c>
      <c r="F374" s="20" t="s">
        <v>4119</v>
      </c>
      <c r="G374" s="15" t="s">
        <v>3219</v>
      </c>
      <c r="H374" s="156" t="s">
        <v>1573</v>
      </c>
      <c r="I374" s="18" t="s">
        <v>48</v>
      </c>
      <c r="J374" s="18" t="s">
        <v>4120</v>
      </c>
      <c r="K374" s="33" t="s">
        <v>4122</v>
      </c>
      <c r="L374" s="25" t="str">
        <f>"RUTL-"&amp;RIGHT(K374,8)</f>
        <v>RUTL-12D53000</v>
      </c>
      <c r="M374" s="34" t="s">
        <v>40</v>
      </c>
      <c r="N374" s="39" t="s">
        <v>414</v>
      </c>
      <c r="O374" s="23"/>
      <c r="P374" s="23"/>
      <c r="Q374" s="113"/>
      <c r="R374" s="15" t="s">
        <v>56</v>
      </c>
      <c r="S374" s="37" t="s">
        <v>180</v>
      </c>
      <c r="T374" s="101" t="s">
        <v>96</v>
      </c>
      <c r="U374" s="39" t="s">
        <v>4123</v>
      </c>
      <c r="V374" s="23"/>
      <c r="W374" s="23"/>
      <c r="X374" s="71"/>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row>
    <row r="375" spans="1:135" ht="30" customHeight="1" thickBot="1" x14ac:dyDescent="0.3">
      <c r="A375" s="578" t="s">
        <v>4485</v>
      </c>
      <c r="B375" s="16">
        <v>8774</v>
      </c>
      <c r="C375" s="72" t="s">
        <v>4483</v>
      </c>
      <c r="D375" s="10" t="s">
        <v>24</v>
      </c>
      <c r="E375" s="11" t="s">
        <v>25</v>
      </c>
      <c r="F375" s="20" t="s">
        <v>4484</v>
      </c>
      <c r="G375" s="15" t="s">
        <v>1486</v>
      </c>
      <c r="H375" s="18" t="s">
        <v>2210</v>
      </c>
      <c r="I375" s="18" t="s">
        <v>48</v>
      </c>
      <c r="J375" s="18" t="s">
        <v>4120</v>
      </c>
      <c r="K375" s="33" t="s">
        <v>4486</v>
      </c>
      <c r="L375" s="25" t="str">
        <f>"RUTL-"&amp;RIGHT(K375,8)</f>
        <v>RUTL-12E43000</v>
      </c>
      <c r="M375" s="34" t="s">
        <v>40</v>
      </c>
      <c r="N375" s="23" t="s">
        <v>43</v>
      </c>
      <c r="O375" s="23"/>
      <c r="P375" s="23"/>
      <c r="Q375" s="113"/>
      <c r="R375" s="15" t="s">
        <v>56</v>
      </c>
      <c r="S375" s="37" t="s">
        <v>57</v>
      </c>
      <c r="T375" s="107" t="s">
        <v>453</v>
      </c>
      <c r="U375" s="39" t="s">
        <v>4482</v>
      </c>
      <c r="V375" s="23"/>
      <c r="W375" s="23"/>
      <c r="X375" s="71"/>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row>
    <row r="376" spans="1:135" ht="30" customHeight="1" thickBot="1" x14ac:dyDescent="0.3">
      <c r="A376" s="578" t="s">
        <v>4575</v>
      </c>
      <c r="B376" s="16">
        <v>9174</v>
      </c>
      <c r="C376" s="72" t="s">
        <v>4572</v>
      </c>
      <c r="D376" s="10" t="s">
        <v>24</v>
      </c>
      <c r="E376" s="11" t="s">
        <v>25</v>
      </c>
      <c r="F376" s="20" t="s">
        <v>4573</v>
      </c>
      <c r="G376" s="15" t="s">
        <v>4574</v>
      </c>
      <c r="H376" s="291" t="s">
        <v>2731</v>
      </c>
      <c r="I376" s="18" t="s">
        <v>48</v>
      </c>
      <c r="J376" s="18" t="s">
        <v>4120</v>
      </c>
      <c r="K376" s="33" t="s">
        <v>4576</v>
      </c>
      <c r="L376" s="25" t="str">
        <f>"RUTL-"&amp;RIGHT(K376,8)</f>
        <v>RUTL-12D73000</v>
      </c>
      <c r="M376" s="34" t="s">
        <v>40</v>
      </c>
      <c r="N376" s="39" t="s">
        <v>414</v>
      </c>
      <c r="O376" s="23"/>
      <c r="P376" s="23"/>
      <c r="Q376" s="113"/>
      <c r="R376" s="15" t="s">
        <v>56</v>
      </c>
      <c r="S376" s="37" t="s">
        <v>57</v>
      </c>
      <c r="T376" s="101" t="s">
        <v>96</v>
      </c>
      <c r="U376" s="39" t="s">
        <v>4577</v>
      </c>
      <c r="V376" s="23"/>
      <c r="W376" s="23"/>
      <c r="X376" s="71"/>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row>
    <row r="377" spans="1:135" ht="30" customHeight="1" thickBot="1" x14ac:dyDescent="0.3">
      <c r="A377" s="578" t="s">
        <v>5451</v>
      </c>
      <c r="B377" s="8">
        <v>12826</v>
      </c>
      <c r="C377" s="52" t="s">
        <v>2070</v>
      </c>
      <c r="D377" s="10" t="s">
        <v>24</v>
      </c>
      <c r="E377" s="11" t="s">
        <v>25</v>
      </c>
      <c r="F377" s="29"/>
      <c r="G377" s="15" t="s">
        <v>2077</v>
      </c>
      <c r="H377" s="18" t="s">
        <v>1398</v>
      </c>
      <c r="I377" s="24" t="s">
        <v>48</v>
      </c>
      <c r="J377" s="24" t="s">
        <v>4120</v>
      </c>
      <c r="K377" s="23" t="s">
        <v>5452</v>
      </c>
      <c r="L377" s="25" t="str">
        <f>"RUTL-"&amp;RIGHT(K377,8)</f>
        <v>RUTL-12DC3000</v>
      </c>
      <c r="M377" s="34" t="s">
        <v>40</v>
      </c>
      <c r="N377" s="23"/>
      <c r="O377" s="23"/>
      <c r="P377" s="63" t="s">
        <v>90</v>
      </c>
      <c r="Q377" s="23"/>
      <c r="R377" s="15" t="s">
        <v>56</v>
      </c>
      <c r="S377" s="40" t="s">
        <v>57</v>
      </c>
      <c r="T377" s="101" t="s">
        <v>96</v>
      </c>
      <c r="U377" s="39" t="s">
        <v>5453</v>
      </c>
      <c r="V377" s="48"/>
      <c r="W377" s="23"/>
      <c r="X377" s="71"/>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row>
    <row r="378" spans="1:135" ht="30" customHeight="1" thickBot="1" x14ac:dyDescent="0.3">
      <c r="A378" s="578" t="s">
        <v>7004</v>
      </c>
      <c r="B378" s="16">
        <v>17156</v>
      </c>
      <c r="C378" s="72" t="s">
        <v>7002</v>
      </c>
      <c r="D378" s="10" t="s">
        <v>24</v>
      </c>
      <c r="E378" s="11" t="s">
        <v>25</v>
      </c>
      <c r="F378" s="12" t="s">
        <v>7003</v>
      </c>
      <c r="G378" s="15" t="s">
        <v>1401</v>
      </c>
      <c r="H378" s="76" t="s">
        <v>3015</v>
      </c>
      <c r="I378" s="18" t="s">
        <v>48</v>
      </c>
      <c r="J378" s="18" t="s">
        <v>4120</v>
      </c>
      <c r="K378" s="23" t="s">
        <v>7005</v>
      </c>
      <c r="L378" s="25" t="str">
        <f>"RUTL-"&amp;RIGHT(K378,8)</f>
        <v>RUTL-12BE3000</v>
      </c>
      <c r="M378" s="34" t="s">
        <v>40</v>
      </c>
      <c r="N378" s="39" t="s">
        <v>87</v>
      </c>
      <c r="O378" s="23"/>
      <c r="P378" s="39" t="s">
        <v>90</v>
      </c>
      <c r="Q378" s="113"/>
      <c r="R378" s="15" t="s">
        <v>7006</v>
      </c>
      <c r="S378" s="37" t="s">
        <v>57</v>
      </c>
      <c r="T378" s="101" t="s">
        <v>96</v>
      </c>
      <c r="U378" s="39" t="s">
        <v>1864</v>
      </c>
      <c r="V378" s="48"/>
      <c r="W378" s="23"/>
      <c r="X378" s="71"/>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row>
    <row r="379" spans="1:135" ht="30" customHeight="1" thickBot="1" x14ac:dyDescent="0.3">
      <c r="A379" s="578" t="s">
        <v>5372</v>
      </c>
      <c r="B379" s="8">
        <v>12709</v>
      </c>
      <c r="C379" s="72" t="s">
        <v>5369</v>
      </c>
      <c r="D379" s="10" t="s">
        <v>24</v>
      </c>
      <c r="E379" s="11" t="s">
        <v>25</v>
      </c>
      <c r="F379" s="20" t="s">
        <v>5370</v>
      </c>
      <c r="G379" s="15" t="s">
        <v>5371</v>
      </c>
      <c r="H379" s="291" t="s">
        <v>3087</v>
      </c>
      <c r="I379" s="18" t="s">
        <v>117</v>
      </c>
      <c r="J379" s="18" t="s">
        <v>412</v>
      </c>
      <c r="K379" s="23" t="s">
        <v>5373</v>
      </c>
      <c r="L379" s="25" t="str">
        <f>"RUTL-"&amp;RIGHT(K379,8)</f>
        <v>RUTL-60821484</v>
      </c>
      <c r="M379" s="34" t="s">
        <v>40</v>
      </c>
      <c r="N379" s="23"/>
      <c r="O379" s="23"/>
      <c r="P379" s="23"/>
      <c r="Q379" s="113"/>
      <c r="R379" s="15" t="s">
        <v>56</v>
      </c>
      <c r="S379" s="37" t="s">
        <v>57</v>
      </c>
      <c r="T379" s="68" t="s">
        <v>453</v>
      </c>
      <c r="U379" s="39" t="s">
        <v>5374</v>
      </c>
      <c r="V379" s="23"/>
      <c r="W379" s="23"/>
      <c r="X379" s="71"/>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row>
    <row r="380" spans="1:135" ht="30" customHeight="1" thickBot="1" x14ac:dyDescent="0.3">
      <c r="A380" s="578" t="s">
        <v>5286</v>
      </c>
      <c r="B380" s="8">
        <v>12509</v>
      </c>
      <c r="C380" s="72" t="s">
        <v>5283</v>
      </c>
      <c r="D380" s="10" t="s">
        <v>5284</v>
      </c>
      <c r="E380" s="11" t="s">
        <v>25</v>
      </c>
      <c r="F380" s="20" t="s">
        <v>5285</v>
      </c>
      <c r="G380" s="15" t="s">
        <v>2384</v>
      </c>
      <c r="H380" s="291" t="s">
        <v>2294</v>
      </c>
      <c r="I380" s="18" t="s">
        <v>135</v>
      </c>
      <c r="J380" s="18" t="s">
        <v>412</v>
      </c>
      <c r="K380" s="23" t="s">
        <v>5287</v>
      </c>
      <c r="L380" s="25" t="str">
        <f>"RUTL-"&amp;RIGHT(K380,8)</f>
        <v>RUTL-60821141</v>
      </c>
      <c r="M380" s="34" t="s">
        <v>40</v>
      </c>
      <c r="N380" s="227" t="s">
        <v>473</v>
      </c>
      <c r="O380" s="227"/>
      <c r="P380" s="39" t="s">
        <v>90</v>
      </c>
      <c r="Q380" s="328"/>
      <c r="R380" s="15" t="s">
        <v>56</v>
      </c>
      <c r="S380" s="37" t="s">
        <v>57</v>
      </c>
      <c r="T380" s="105" t="s">
        <v>148</v>
      </c>
      <c r="U380" s="39" t="s">
        <v>5288</v>
      </c>
      <c r="V380" s="23"/>
      <c r="W380" s="23"/>
      <c r="X380" s="71"/>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row>
    <row r="381" spans="1:135" ht="30" customHeight="1" thickBot="1" x14ac:dyDescent="0.3">
      <c r="A381" s="578" t="s">
        <v>6522</v>
      </c>
      <c r="B381" s="16">
        <v>16029</v>
      </c>
      <c r="C381" s="52" t="s">
        <v>6520</v>
      </c>
      <c r="D381" s="10" t="s">
        <v>24</v>
      </c>
      <c r="E381" s="11" t="s">
        <v>25</v>
      </c>
      <c r="F381" s="20" t="s">
        <v>6521</v>
      </c>
      <c r="G381" s="15" t="s">
        <v>2384</v>
      </c>
      <c r="H381" s="291" t="s">
        <v>2294</v>
      </c>
      <c r="I381" s="18" t="s">
        <v>135</v>
      </c>
      <c r="J381" s="18" t="s">
        <v>412</v>
      </c>
      <c r="K381" s="23" t="s">
        <v>6523</v>
      </c>
      <c r="L381" s="25" t="str">
        <f>"RUTL-"&amp;RIGHT(K381,8)</f>
        <v>RUTL-60820621</v>
      </c>
      <c r="M381" s="34" t="s">
        <v>40</v>
      </c>
      <c r="N381" s="23" t="s">
        <v>87</v>
      </c>
      <c r="O381" s="23"/>
      <c r="P381" s="39" t="s">
        <v>90</v>
      </c>
      <c r="Q381" s="63" t="s">
        <v>6524</v>
      </c>
      <c r="R381" s="15" t="s">
        <v>56</v>
      </c>
      <c r="S381" s="21" t="s">
        <v>57</v>
      </c>
      <c r="T381" s="369" t="s">
        <v>273</v>
      </c>
      <c r="U381" s="39" t="s">
        <v>6525</v>
      </c>
      <c r="V381" s="23"/>
      <c r="W381" s="23"/>
      <c r="X381" s="71"/>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row>
    <row r="382" spans="1:135" ht="30" customHeight="1" thickBot="1" x14ac:dyDescent="0.3">
      <c r="A382" s="578" t="s">
        <v>6759</v>
      </c>
      <c r="B382" s="51">
        <v>16645</v>
      </c>
      <c r="C382" s="72" t="s">
        <v>6756</v>
      </c>
      <c r="D382" s="10" t="s">
        <v>24</v>
      </c>
      <c r="E382" s="11" t="s">
        <v>25</v>
      </c>
      <c r="F382" s="20" t="s">
        <v>6757</v>
      </c>
      <c r="G382" s="15" t="s">
        <v>6758</v>
      </c>
      <c r="H382" s="147" t="s">
        <v>1882</v>
      </c>
      <c r="I382" s="18" t="s">
        <v>117</v>
      </c>
      <c r="J382" s="18" t="s">
        <v>412</v>
      </c>
      <c r="K382" s="23" t="s">
        <v>6760</v>
      </c>
      <c r="L382" s="21" t="str">
        <f>"RUTL-"&amp;RIGHT(K382,8)</f>
        <v>RUTL-60820183</v>
      </c>
      <c r="M382" s="34" t="s">
        <v>40</v>
      </c>
      <c r="N382" s="23" t="s">
        <v>54</v>
      </c>
      <c r="O382" s="23"/>
      <c r="P382" s="39" t="s">
        <v>90</v>
      </c>
      <c r="Q382" s="328"/>
      <c r="R382" s="15" t="s">
        <v>56</v>
      </c>
      <c r="S382" s="37" t="s">
        <v>57</v>
      </c>
      <c r="T382" s="35" t="s">
        <v>65</v>
      </c>
      <c r="U382" s="39" t="s">
        <v>3933</v>
      </c>
      <c r="V382" s="23"/>
      <c r="W382" s="23" t="s">
        <v>441</v>
      </c>
      <c r="X382" s="71"/>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row>
    <row r="383" spans="1:135" ht="30" customHeight="1" thickBot="1" x14ac:dyDescent="0.3">
      <c r="A383" s="578" t="s">
        <v>1933</v>
      </c>
      <c r="B383" s="8">
        <v>786</v>
      </c>
      <c r="C383" s="72" t="s">
        <v>1924</v>
      </c>
      <c r="D383" s="15" t="s">
        <v>72</v>
      </c>
      <c r="E383" s="11" t="s">
        <v>25</v>
      </c>
      <c r="F383" s="20" t="s">
        <v>1925</v>
      </c>
      <c r="G383" s="15" t="s">
        <v>1926</v>
      </c>
      <c r="H383" s="291" t="s">
        <v>1928</v>
      </c>
      <c r="I383" s="18" t="s">
        <v>48</v>
      </c>
      <c r="J383" s="18" t="s">
        <v>1449</v>
      </c>
      <c r="K383" s="23" t="s">
        <v>1934</v>
      </c>
      <c r="L383" s="25" t="str">
        <f>"RUTL-"&amp;RIGHT(K383,8)</f>
        <v>RUTL-65R00009</v>
      </c>
      <c r="M383" s="34" t="s">
        <v>40</v>
      </c>
      <c r="N383" s="15" t="s">
        <v>473</v>
      </c>
      <c r="O383" s="23"/>
      <c r="P383" s="39" t="s">
        <v>90</v>
      </c>
      <c r="Q383" s="63" t="s">
        <v>1935</v>
      </c>
      <c r="R383" s="15" t="s">
        <v>56</v>
      </c>
      <c r="S383" s="37" t="s">
        <v>57</v>
      </c>
      <c r="T383" s="105" t="s">
        <v>148</v>
      </c>
      <c r="U383" s="39" t="s">
        <v>1938</v>
      </c>
      <c r="V383" s="23"/>
      <c r="W383" s="23"/>
      <c r="X383" s="71"/>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row>
    <row r="384" spans="1:135" ht="30" customHeight="1" thickBot="1" x14ac:dyDescent="0.3">
      <c r="A384" s="578" t="s">
        <v>3529</v>
      </c>
      <c r="B384" s="8">
        <v>4240</v>
      </c>
      <c r="C384" s="72" t="s">
        <v>3526</v>
      </c>
      <c r="D384" s="15" t="s">
        <v>24</v>
      </c>
      <c r="E384" s="11" t="s">
        <v>25</v>
      </c>
      <c r="F384" s="20" t="s">
        <v>3527</v>
      </c>
      <c r="G384" s="15" t="s">
        <v>3528</v>
      </c>
      <c r="H384" s="291" t="s">
        <v>1928</v>
      </c>
      <c r="I384" s="18" t="s">
        <v>48</v>
      </c>
      <c r="J384" s="18" t="s">
        <v>1449</v>
      </c>
      <c r="K384" s="33" t="s">
        <v>3530</v>
      </c>
      <c r="L384" s="25" t="str">
        <f>"RUTL-"&amp;RIGHT(K384,8)</f>
        <v>RUTL-65R00484</v>
      </c>
      <c r="M384" s="34" t="s">
        <v>40</v>
      </c>
      <c r="N384" s="34" t="s">
        <v>3531</v>
      </c>
      <c r="O384" s="23"/>
      <c r="P384" s="23"/>
      <c r="Q384" s="63" t="s">
        <v>3532</v>
      </c>
      <c r="R384" s="15" t="s">
        <v>56</v>
      </c>
      <c r="S384" s="37" t="s">
        <v>57</v>
      </c>
      <c r="T384" s="165" t="s">
        <v>1630</v>
      </c>
      <c r="U384" s="39" t="s">
        <v>3533</v>
      </c>
      <c r="V384" s="23"/>
      <c r="W384" s="23"/>
      <c r="X384" s="71"/>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row>
    <row r="385" spans="1:135" ht="30" customHeight="1" thickBot="1" x14ac:dyDescent="0.3">
      <c r="A385" s="578" t="s">
        <v>4919</v>
      </c>
      <c r="B385" s="8">
        <v>11011</v>
      </c>
      <c r="C385" s="72" t="s">
        <v>4916</v>
      </c>
      <c r="D385" s="10" t="s">
        <v>24</v>
      </c>
      <c r="E385" s="10" t="s">
        <v>25</v>
      </c>
      <c r="F385" s="20" t="s">
        <v>4917</v>
      </c>
      <c r="G385" s="15" t="s">
        <v>4918</v>
      </c>
      <c r="H385" s="173" t="s">
        <v>81</v>
      </c>
      <c r="I385" s="18" t="s">
        <v>135</v>
      </c>
      <c r="J385" s="18" t="s">
        <v>412</v>
      </c>
      <c r="K385" s="23" t="s">
        <v>4920</v>
      </c>
      <c r="L385" s="25" t="str">
        <f>"RUTL-"&amp;RIGHT(K385,8)</f>
        <v>RUTL-60820236</v>
      </c>
      <c r="M385" s="34" t="s">
        <v>40</v>
      </c>
      <c r="N385" s="15" t="s">
        <v>4921</v>
      </c>
      <c r="O385" s="227"/>
      <c r="P385" s="39" t="s">
        <v>90</v>
      </c>
      <c r="Q385" s="63" t="s">
        <v>146</v>
      </c>
      <c r="R385" s="15" t="s">
        <v>56</v>
      </c>
      <c r="S385" s="37" t="s">
        <v>57</v>
      </c>
      <c r="T385" s="105" t="s">
        <v>148</v>
      </c>
      <c r="U385" s="39" t="s">
        <v>4922</v>
      </c>
      <c r="V385" s="23"/>
      <c r="W385" s="23"/>
      <c r="X385" s="71"/>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row>
    <row r="386" spans="1:135" ht="30" customHeight="1" thickBot="1" x14ac:dyDescent="0.3">
      <c r="A386" s="578" t="s">
        <v>4497</v>
      </c>
      <c r="B386" s="16">
        <v>8883</v>
      </c>
      <c r="C386" s="52" t="s">
        <v>4494</v>
      </c>
      <c r="D386" s="10" t="s">
        <v>4495</v>
      </c>
      <c r="E386" s="11" t="s">
        <v>25</v>
      </c>
      <c r="F386" s="20" t="s">
        <v>4496</v>
      </c>
      <c r="G386" s="15" t="s">
        <v>4253</v>
      </c>
      <c r="H386" s="18" t="s">
        <v>4254</v>
      </c>
      <c r="I386" s="18" t="s">
        <v>4490</v>
      </c>
      <c r="J386" s="18" t="s">
        <v>412</v>
      </c>
      <c r="K386" s="33" t="s">
        <v>4498</v>
      </c>
      <c r="L386" s="25" t="str">
        <f>"RUTL-"&amp;RIGHT(K386,8)</f>
        <v>RUTL-60821335</v>
      </c>
      <c r="M386" s="34" t="s">
        <v>40</v>
      </c>
      <c r="N386" s="136" t="s">
        <v>2365</v>
      </c>
      <c r="O386" s="227"/>
      <c r="P386" s="23"/>
      <c r="Q386" s="243" t="s">
        <v>4499</v>
      </c>
      <c r="R386" s="15" t="s">
        <v>56</v>
      </c>
      <c r="S386" s="135"/>
      <c r="T386" s="101" t="s">
        <v>96</v>
      </c>
      <c r="U386" s="23" t="s">
        <v>4315</v>
      </c>
      <c r="V386" s="23"/>
      <c r="W386" s="23"/>
      <c r="X386" s="71"/>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row>
    <row r="387" spans="1:135" ht="30" customHeight="1" thickBot="1" x14ac:dyDescent="0.3">
      <c r="A387" s="578" t="s">
        <v>4312</v>
      </c>
      <c r="B387" s="8">
        <v>8011</v>
      </c>
      <c r="C387" s="72" t="s">
        <v>4310</v>
      </c>
      <c r="D387" s="10" t="s">
        <v>24</v>
      </c>
      <c r="E387" s="11" t="s">
        <v>25</v>
      </c>
      <c r="F387" s="20" t="s">
        <v>4311</v>
      </c>
      <c r="G387" s="15" t="s">
        <v>78</v>
      </c>
      <c r="H387" s="18" t="s">
        <v>4254</v>
      </c>
      <c r="I387" s="18" t="s">
        <v>135</v>
      </c>
      <c r="J387" s="18" t="s">
        <v>412</v>
      </c>
      <c r="K387" s="33" t="s">
        <v>4313</v>
      </c>
      <c r="L387" s="25" t="str">
        <f>"RUTL-"&amp;RIGHT(K387,8)</f>
        <v>RUTL-60821135</v>
      </c>
      <c r="M387" s="34" t="s">
        <v>40</v>
      </c>
      <c r="N387" s="136" t="s">
        <v>2365</v>
      </c>
      <c r="O387" s="227"/>
      <c r="P387" s="23"/>
      <c r="Q387" s="243" t="s">
        <v>4314</v>
      </c>
      <c r="R387" s="15" t="s">
        <v>56</v>
      </c>
      <c r="S387" s="37" t="s">
        <v>57</v>
      </c>
      <c r="T387" s="101" t="s">
        <v>96</v>
      </c>
      <c r="U387" s="39" t="s">
        <v>4315</v>
      </c>
      <c r="V387" s="23"/>
      <c r="W387" s="23"/>
      <c r="X387" s="71"/>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row>
    <row r="388" spans="1:135" ht="30" customHeight="1" thickBot="1" x14ac:dyDescent="0.3">
      <c r="A388" s="578" t="s">
        <v>1971</v>
      </c>
      <c r="B388" s="8">
        <v>818</v>
      </c>
      <c r="C388" s="72" t="s">
        <v>1969</v>
      </c>
      <c r="D388" s="15" t="s">
        <v>24</v>
      </c>
      <c r="E388" s="11" t="s">
        <v>25</v>
      </c>
      <c r="F388" s="20" t="s">
        <v>1970</v>
      </c>
      <c r="G388" s="15" t="s">
        <v>651</v>
      </c>
      <c r="H388" s="119" t="s">
        <v>370</v>
      </c>
      <c r="I388" s="18" t="s">
        <v>135</v>
      </c>
      <c r="J388" s="18" t="s">
        <v>412</v>
      </c>
      <c r="K388" s="23" t="s">
        <v>1972</v>
      </c>
      <c r="L388" s="25" t="str">
        <f>"RUTL-"&amp;RIGHT(K388,8)</f>
        <v>RUTL-60821255</v>
      </c>
      <c r="M388" s="34" t="s">
        <v>40</v>
      </c>
      <c r="N388" s="23" t="s">
        <v>43</v>
      </c>
      <c r="O388" s="23"/>
      <c r="P388" s="39" t="s">
        <v>90</v>
      </c>
      <c r="Q388" s="113"/>
      <c r="R388" s="15" t="s">
        <v>56</v>
      </c>
      <c r="S388" s="37" t="s">
        <v>57</v>
      </c>
      <c r="T388" s="105" t="s">
        <v>148</v>
      </c>
      <c r="U388" s="39" t="s">
        <v>1377</v>
      </c>
      <c r="V388" s="23"/>
      <c r="W388" s="23"/>
      <c r="X388" s="71"/>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row>
    <row r="389" spans="1:135" ht="30" customHeight="1" thickBot="1" x14ac:dyDescent="0.3">
      <c r="A389" s="578" t="s">
        <v>4555</v>
      </c>
      <c r="B389" s="16">
        <v>9124</v>
      </c>
      <c r="C389" s="167" t="s">
        <v>4552</v>
      </c>
      <c r="D389" s="174" t="s">
        <v>4553</v>
      </c>
      <c r="E389" s="11" t="s">
        <v>25</v>
      </c>
      <c r="F389" s="20" t="s">
        <v>4554</v>
      </c>
      <c r="G389" s="15" t="s">
        <v>3731</v>
      </c>
      <c r="H389" s="18" t="s">
        <v>1398</v>
      </c>
      <c r="I389" s="18" t="s">
        <v>117</v>
      </c>
      <c r="J389" s="18" t="s">
        <v>412</v>
      </c>
      <c r="K389" s="33" t="s">
        <v>4556</v>
      </c>
      <c r="L389" s="25" t="str">
        <f>"RUTL-"&amp;RIGHT(K389,8)</f>
        <v>RUTL-60820118</v>
      </c>
      <c r="M389" s="34" t="s">
        <v>40</v>
      </c>
      <c r="N389" s="39" t="s">
        <v>414</v>
      </c>
      <c r="O389" s="39" t="s">
        <v>4557</v>
      </c>
      <c r="P389" s="39" t="s">
        <v>90</v>
      </c>
      <c r="Q389" s="63" t="s">
        <v>4558</v>
      </c>
      <c r="R389" s="15" t="s">
        <v>56</v>
      </c>
      <c r="S389" s="37" t="s">
        <v>180</v>
      </c>
      <c r="T389" s="107" t="s">
        <v>453</v>
      </c>
      <c r="U389" s="39" t="s">
        <v>4559</v>
      </c>
      <c r="V389" s="23"/>
      <c r="W389" s="23"/>
      <c r="X389" s="71"/>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row>
    <row r="390" spans="1:135" ht="30" customHeight="1" thickBot="1" x14ac:dyDescent="0.3">
      <c r="A390" s="578" t="s">
        <v>7045</v>
      </c>
      <c r="B390" s="51">
        <v>17241</v>
      </c>
      <c r="C390" s="52" t="s">
        <v>7042</v>
      </c>
      <c r="D390" s="10" t="s">
        <v>24</v>
      </c>
      <c r="E390" s="11" t="s">
        <v>25</v>
      </c>
      <c r="F390" s="20" t="s">
        <v>7043</v>
      </c>
      <c r="G390" s="15" t="s">
        <v>7044</v>
      </c>
      <c r="H390" s="17" t="s">
        <v>682</v>
      </c>
      <c r="I390" s="18" t="s">
        <v>135</v>
      </c>
      <c r="J390" s="18" t="s">
        <v>412</v>
      </c>
      <c r="K390" s="23" t="s">
        <v>7046</v>
      </c>
      <c r="L390" s="25" t="str">
        <f>"RUTL-"&amp;RIGHT(K390,8)</f>
        <v>RUTL-60821128</v>
      </c>
      <c r="M390" s="34" t="s">
        <v>40</v>
      </c>
      <c r="N390" s="23" t="s">
        <v>54</v>
      </c>
      <c r="O390" s="23"/>
      <c r="P390" s="39" t="s">
        <v>90</v>
      </c>
      <c r="Q390" s="113"/>
      <c r="R390" s="15" t="s">
        <v>56</v>
      </c>
      <c r="S390" s="40" t="s">
        <v>57</v>
      </c>
      <c r="T390" s="118" t="s">
        <v>65</v>
      </c>
      <c r="U390" s="39" t="s">
        <v>1262</v>
      </c>
      <c r="V390" s="23"/>
      <c r="W390" s="23"/>
      <c r="X390" s="71"/>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row>
    <row r="391" spans="1:135" ht="30" customHeight="1" thickBot="1" x14ac:dyDescent="0.3">
      <c r="A391" s="578" t="s">
        <v>1242</v>
      </c>
      <c r="B391" s="8">
        <v>504</v>
      </c>
      <c r="C391" s="72" t="s">
        <v>1237</v>
      </c>
      <c r="D391" s="15" t="s">
        <v>24</v>
      </c>
      <c r="E391" s="11" t="s">
        <v>25</v>
      </c>
      <c r="F391" s="12" t="s">
        <v>1239</v>
      </c>
      <c r="G391" s="15" t="s">
        <v>1241</v>
      </c>
      <c r="H391" s="17" t="s">
        <v>682</v>
      </c>
      <c r="I391" s="18" t="s">
        <v>117</v>
      </c>
      <c r="J391" s="18" t="s">
        <v>412</v>
      </c>
      <c r="K391" s="23" t="s">
        <v>1243</v>
      </c>
      <c r="L391" s="25" t="str">
        <f>"RUTL-"&amp;RIGHT(K391,8)</f>
        <v>RUTL-60820814</v>
      </c>
      <c r="M391" s="34" t="s">
        <v>40</v>
      </c>
      <c r="N391" s="23" t="s">
        <v>43</v>
      </c>
      <c r="O391" s="23"/>
      <c r="P391" s="39" t="s">
        <v>90</v>
      </c>
      <c r="Q391" s="113"/>
      <c r="R391" s="15" t="s">
        <v>56</v>
      </c>
      <c r="S391" s="37" t="s">
        <v>57</v>
      </c>
      <c r="T391" s="87" t="s">
        <v>273</v>
      </c>
      <c r="U391" s="39" t="s">
        <v>911</v>
      </c>
      <c r="V391" s="170"/>
      <c r="W391" s="23"/>
      <c r="X391" s="71"/>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row>
    <row r="392" spans="1:135" ht="30" customHeight="1" thickBot="1" x14ac:dyDescent="0.3">
      <c r="A392" s="578" t="s">
        <v>4373</v>
      </c>
      <c r="B392" s="8">
        <v>8182</v>
      </c>
      <c r="C392" s="72" t="s">
        <v>4370</v>
      </c>
      <c r="D392" s="10" t="s">
        <v>24</v>
      </c>
      <c r="E392" s="11" t="s">
        <v>25</v>
      </c>
      <c r="F392" s="20" t="s">
        <v>4371</v>
      </c>
      <c r="G392" s="15" t="s">
        <v>4372</v>
      </c>
      <c r="H392" s="17" t="s">
        <v>470</v>
      </c>
      <c r="I392" s="18" t="s">
        <v>135</v>
      </c>
      <c r="J392" s="18" t="s">
        <v>412</v>
      </c>
      <c r="K392" s="33" t="s">
        <v>4374</v>
      </c>
      <c r="L392" s="25" t="str">
        <f>"RUTL-"&amp;RIGHT(K392,8)</f>
        <v>RUTL-60820296</v>
      </c>
      <c r="M392" s="34" t="s">
        <v>40</v>
      </c>
      <c r="N392" s="23" t="s">
        <v>4203</v>
      </c>
      <c r="O392" s="23"/>
      <c r="P392" s="39" t="s">
        <v>90</v>
      </c>
      <c r="Q392" s="113" t="s">
        <v>4203</v>
      </c>
      <c r="R392" s="15" t="s">
        <v>56</v>
      </c>
      <c r="S392" s="37" t="s">
        <v>57</v>
      </c>
      <c r="T392" s="23" t="s">
        <v>273</v>
      </c>
      <c r="U392" s="39" t="s">
        <v>4375</v>
      </c>
      <c r="V392" s="23"/>
      <c r="W392" s="23" t="s">
        <v>4376</v>
      </c>
      <c r="X392" s="71"/>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row>
    <row r="393" spans="1:135" ht="30" customHeight="1" thickBot="1" x14ac:dyDescent="0.3">
      <c r="A393" s="578" t="s">
        <v>5855</v>
      </c>
      <c r="B393" s="8">
        <v>14581</v>
      </c>
      <c r="C393" s="72" t="s">
        <v>5853</v>
      </c>
      <c r="D393" s="10" t="s">
        <v>24</v>
      </c>
      <c r="E393" s="11" t="s">
        <v>25</v>
      </c>
      <c r="F393" s="12" t="s">
        <v>5854</v>
      </c>
      <c r="G393" s="15" t="s">
        <v>4153</v>
      </c>
      <c r="H393" s="17" t="s">
        <v>1846</v>
      </c>
      <c r="I393" s="18" t="s">
        <v>135</v>
      </c>
      <c r="J393" s="18" t="s">
        <v>412</v>
      </c>
      <c r="K393" s="23" t="s">
        <v>5856</v>
      </c>
      <c r="L393" s="25" t="str">
        <f>"RUTL-"&amp;RIGHT(K393,8)</f>
        <v>RUTL-60821372</v>
      </c>
      <c r="M393" s="34" t="s">
        <v>40</v>
      </c>
      <c r="N393" s="23" t="s">
        <v>54</v>
      </c>
      <c r="O393" s="23"/>
      <c r="P393" s="39" t="s">
        <v>90</v>
      </c>
      <c r="Q393" s="63" t="s">
        <v>5857</v>
      </c>
      <c r="R393" s="15" t="s">
        <v>56</v>
      </c>
      <c r="S393" s="37" t="s">
        <v>57</v>
      </c>
      <c r="T393" s="101" t="s">
        <v>96</v>
      </c>
      <c r="U393" s="23" t="s">
        <v>5858</v>
      </c>
      <c r="V393" s="566" t="s">
        <v>5859</v>
      </c>
      <c r="W393" s="379" t="s">
        <v>5477</v>
      </c>
      <c r="X393" s="71"/>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row>
    <row r="394" spans="1:135" ht="30" customHeight="1" thickBot="1" x14ac:dyDescent="0.3">
      <c r="A394" s="578" t="s">
        <v>7313</v>
      </c>
      <c r="B394" s="51">
        <v>18315</v>
      </c>
      <c r="C394" s="72" t="s">
        <v>7311</v>
      </c>
      <c r="D394" s="10" t="s">
        <v>24</v>
      </c>
      <c r="E394" s="28" t="s">
        <v>25</v>
      </c>
      <c r="F394" s="20" t="s">
        <v>7312</v>
      </c>
      <c r="G394" s="15" t="s">
        <v>606</v>
      </c>
      <c r="H394" s="53" t="s">
        <v>1319</v>
      </c>
      <c r="I394" s="18" t="s">
        <v>135</v>
      </c>
      <c r="J394" s="18" t="s">
        <v>412</v>
      </c>
      <c r="K394" s="33" t="s">
        <v>7314</v>
      </c>
      <c r="L394" s="25" t="str">
        <f>"RUTL-"&amp;RIGHT(K394,8)</f>
        <v>RUTL-60821933</v>
      </c>
      <c r="M394" s="34" t="s">
        <v>40</v>
      </c>
      <c r="N394" s="39" t="s">
        <v>473</v>
      </c>
      <c r="O394" s="23"/>
      <c r="P394" s="39" t="s">
        <v>90</v>
      </c>
      <c r="Q394" s="63" t="s">
        <v>7315</v>
      </c>
      <c r="R394" s="15" t="s">
        <v>56</v>
      </c>
      <c r="S394" s="37" t="s">
        <v>57</v>
      </c>
      <c r="T394" s="41" t="s">
        <v>65</v>
      </c>
      <c r="U394" s="39" t="s">
        <v>926</v>
      </c>
      <c r="V394" s="23"/>
      <c r="W394" s="23"/>
      <c r="X394" s="71"/>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row>
    <row r="395" spans="1:135" ht="30" customHeight="1" thickBot="1" x14ac:dyDescent="0.3">
      <c r="A395" s="578" t="s">
        <v>3376</v>
      </c>
      <c r="B395" s="8">
        <v>3668</v>
      </c>
      <c r="C395" s="72" t="s">
        <v>3374</v>
      </c>
      <c r="D395" s="15" t="s">
        <v>24</v>
      </c>
      <c r="E395" s="11" t="s">
        <v>25</v>
      </c>
      <c r="F395" s="20" t="s">
        <v>3375</v>
      </c>
      <c r="G395" s="15" t="s">
        <v>681</v>
      </c>
      <c r="H395" s="17" t="s">
        <v>470</v>
      </c>
      <c r="I395" s="18" t="s">
        <v>135</v>
      </c>
      <c r="J395" s="18" t="s">
        <v>412</v>
      </c>
      <c r="K395" s="33" t="s">
        <v>3377</v>
      </c>
      <c r="L395" s="25" t="str">
        <f>"RUTL-"&amp;RIGHT(K395,8)</f>
        <v>RUTL-60821906</v>
      </c>
      <c r="M395" s="34" t="s">
        <v>40</v>
      </c>
      <c r="N395" s="23"/>
      <c r="O395" s="23"/>
      <c r="P395" s="23"/>
      <c r="Q395" s="113"/>
      <c r="R395" s="15" t="s">
        <v>56</v>
      </c>
      <c r="S395" s="23"/>
      <c r="T395" s="107" t="s">
        <v>453</v>
      </c>
      <c r="U395" s="23" t="s">
        <v>2327</v>
      </c>
      <c r="V395" s="23"/>
      <c r="W395" s="23"/>
      <c r="X395" s="71"/>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row>
    <row r="396" spans="1:135" ht="30" customHeight="1" thickBot="1" x14ac:dyDescent="0.3">
      <c r="A396" s="578" t="s">
        <v>4550</v>
      </c>
      <c r="B396" s="16">
        <v>9078</v>
      </c>
      <c r="C396" s="72" t="s">
        <v>4548</v>
      </c>
      <c r="D396" s="10" t="s">
        <v>24</v>
      </c>
      <c r="E396" s="11" t="s">
        <v>25</v>
      </c>
      <c r="F396" s="20" t="s">
        <v>4549</v>
      </c>
      <c r="G396" s="15" t="s">
        <v>285</v>
      </c>
      <c r="H396" s="22" t="s">
        <v>3902</v>
      </c>
      <c r="I396" s="18" t="s">
        <v>135</v>
      </c>
      <c r="J396" s="18" t="s">
        <v>412</v>
      </c>
      <c r="K396" s="33" t="s">
        <v>4551</v>
      </c>
      <c r="L396" s="25" t="str">
        <f>"RUTL-"&amp;RIGHT(K396,8)</f>
        <v>RUTL-60821134</v>
      </c>
      <c r="M396" s="34" t="s">
        <v>40</v>
      </c>
      <c r="N396" s="23"/>
      <c r="O396" s="23"/>
      <c r="P396" s="23"/>
      <c r="Q396" s="113"/>
      <c r="R396" s="15" t="s">
        <v>56</v>
      </c>
      <c r="S396" s="37" t="s">
        <v>180</v>
      </c>
      <c r="T396" s="101" t="s">
        <v>96</v>
      </c>
      <c r="U396" s="39" t="s">
        <v>2327</v>
      </c>
      <c r="V396" s="23"/>
      <c r="W396" s="23"/>
      <c r="X396" s="71"/>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row>
    <row r="397" spans="1:135" ht="30" customHeight="1" thickBot="1" x14ac:dyDescent="0.3">
      <c r="A397" s="578" t="s">
        <v>6062</v>
      </c>
      <c r="B397" s="8">
        <v>14991</v>
      </c>
      <c r="C397" s="72" t="s">
        <v>6060</v>
      </c>
      <c r="D397" s="10" t="s">
        <v>24</v>
      </c>
      <c r="E397" s="11" t="s">
        <v>25</v>
      </c>
      <c r="F397" s="20" t="s">
        <v>6061</v>
      </c>
      <c r="G397" s="15" t="s">
        <v>1546</v>
      </c>
      <c r="H397" s="104" t="s">
        <v>4678</v>
      </c>
      <c r="I397" s="18" t="s">
        <v>117</v>
      </c>
      <c r="J397" s="18" t="s">
        <v>412</v>
      </c>
      <c r="K397" s="23" t="s">
        <v>6063</v>
      </c>
      <c r="L397" s="25" t="str">
        <f>"RUTL-"&amp;RIGHT(K397,8)</f>
        <v>RUTL-60821921</v>
      </c>
      <c r="M397" s="34" t="s">
        <v>40</v>
      </c>
      <c r="N397" s="32" t="s">
        <v>54</v>
      </c>
      <c r="O397" s="23"/>
      <c r="P397" s="39" t="s">
        <v>90</v>
      </c>
      <c r="Q397" s="63" t="s">
        <v>6064</v>
      </c>
      <c r="R397" s="15" t="s">
        <v>56</v>
      </c>
      <c r="S397" s="37" t="s">
        <v>57</v>
      </c>
      <c r="T397" s="23" t="s">
        <v>6065</v>
      </c>
      <c r="U397" s="39" t="s">
        <v>5040</v>
      </c>
      <c r="V397" s="23"/>
      <c r="W397" s="23"/>
      <c r="X397" s="71"/>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row>
    <row r="398" spans="1:135" ht="30" customHeight="1" thickBot="1" x14ac:dyDescent="0.3">
      <c r="A398" s="578" t="s">
        <v>1804</v>
      </c>
      <c r="B398" s="435" t="s">
        <v>1797</v>
      </c>
      <c r="C398" s="72" t="s">
        <v>1799</v>
      </c>
      <c r="D398" s="10" t="s">
        <v>24</v>
      </c>
      <c r="E398" s="122" t="s">
        <v>25</v>
      </c>
      <c r="F398" s="20" t="s">
        <v>1801</v>
      </c>
      <c r="G398" s="15" t="s">
        <v>1699</v>
      </c>
      <c r="H398" s="17" t="s">
        <v>1777</v>
      </c>
      <c r="I398" s="18" t="s">
        <v>38</v>
      </c>
      <c r="J398" s="18" t="s">
        <v>412</v>
      </c>
      <c r="K398" s="124" t="s">
        <v>1806</v>
      </c>
      <c r="L398" s="127" t="str">
        <f>"RUTL-"&amp;RIGHT(K398,8)</f>
        <v>RUTL-60821062</v>
      </c>
      <c r="M398" s="129" t="s">
        <v>40</v>
      </c>
      <c r="N398" s="14" t="s">
        <v>43</v>
      </c>
      <c r="O398" s="124"/>
      <c r="P398" s="39" t="s">
        <v>90</v>
      </c>
      <c r="Q398" s="124"/>
      <c r="R398" s="121" t="s">
        <v>56</v>
      </c>
      <c r="S398" s="37" t="s">
        <v>57</v>
      </c>
      <c r="T398" s="137" t="s">
        <v>1807</v>
      </c>
      <c r="U398" s="124" t="s">
        <v>1808</v>
      </c>
      <c r="V398" s="124"/>
      <c r="W398" s="124"/>
      <c r="X398" s="71"/>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row>
    <row r="399" spans="1:135" ht="30" customHeight="1" thickBot="1" x14ac:dyDescent="0.3">
      <c r="A399" s="578" t="s">
        <v>4708</v>
      </c>
      <c r="B399" s="16">
        <v>9764</v>
      </c>
      <c r="C399" s="52" t="s">
        <v>4705</v>
      </c>
      <c r="D399" s="10" t="s">
        <v>24</v>
      </c>
      <c r="E399" s="11" t="s">
        <v>25</v>
      </c>
      <c r="F399" s="20" t="s">
        <v>4706</v>
      </c>
      <c r="G399" s="15" t="s">
        <v>4707</v>
      </c>
      <c r="H399" s="17" t="s">
        <v>470</v>
      </c>
      <c r="I399" s="18" t="s">
        <v>135</v>
      </c>
      <c r="J399" s="18" t="s">
        <v>412</v>
      </c>
      <c r="K399" s="33" t="s">
        <v>4709</v>
      </c>
      <c r="L399" s="25" t="str">
        <f>"RUTL-"&amp;RIGHT(K399,8)</f>
        <v>RUTL-60820399</v>
      </c>
      <c r="M399" s="34" t="s">
        <v>40</v>
      </c>
      <c r="N399" s="23" t="s">
        <v>43</v>
      </c>
      <c r="O399" s="23"/>
      <c r="P399" s="39" t="s">
        <v>90</v>
      </c>
      <c r="Q399" s="63" t="s">
        <v>4710</v>
      </c>
      <c r="R399" s="15" t="s">
        <v>56</v>
      </c>
      <c r="S399" s="37" t="s">
        <v>57</v>
      </c>
      <c r="T399" s="107" t="s">
        <v>453</v>
      </c>
      <c r="U399" s="39" t="s">
        <v>149</v>
      </c>
      <c r="V399" s="23"/>
      <c r="W399" s="23"/>
      <c r="X399" s="71"/>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row>
    <row r="400" spans="1:135" ht="30" customHeight="1" thickBot="1" x14ac:dyDescent="0.3">
      <c r="A400" s="578" t="s">
        <v>2212</v>
      </c>
      <c r="B400" s="120" t="s">
        <v>2203</v>
      </c>
      <c r="C400" s="72" t="s">
        <v>2204</v>
      </c>
      <c r="D400" s="10" t="s">
        <v>24</v>
      </c>
      <c r="E400" s="11" t="s">
        <v>25</v>
      </c>
      <c r="F400" s="20" t="s">
        <v>2206</v>
      </c>
      <c r="G400" s="15" t="s">
        <v>2208</v>
      </c>
      <c r="H400" s="17" t="s">
        <v>470</v>
      </c>
      <c r="I400" s="18" t="s">
        <v>1778</v>
      </c>
      <c r="J400" s="18" t="s">
        <v>412</v>
      </c>
      <c r="K400" s="33" t="s">
        <v>2215</v>
      </c>
      <c r="L400" s="25" t="str">
        <f>"RUTL-"&amp;RIGHT(K400,8)</f>
        <v>RUTL-60821715</v>
      </c>
      <c r="M400" s="129" t="s">
        <v>40</v>
      </c>
      <c r="N400" s="23" t="s">
        <v>54</v>
      </c>
      <c r="O400" s="23"/>
      <c r="P400" s="39" t="s">
        <v>90</v>
      </c>
      <c r="Q400" s="90" t="s">
        <v>146</v>
      </c>
      <c r="R400" s="121" t="s">
        <v>56</v>
      </c>
      <c r="S400" s="37" t="s">
        <v>57</v>
      </c>
      <c r="T400" s="41" t="s">
        <v>65</v>
      </c>
      <c r="U400" s="47" t="s">
        <v>2217</v>
      </c>
      <c r="V400" s="23"/>
      <c r="W400" s="23"/>
      <c r="X400" s="71"/>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row>
    <row r="401" spans="1:135" ht="30" customHeight="1" thickBot="1" x14ac:dyDescent="0.3">
      <c r="A401" s="578" t="s">
        <v>4733</v>
      </c>
      <c r="B401" s="16">
        <v>9773</v>
      </c>
      <c r="C401" s="72" t="s">
        <v>4730</v>
      </c>
      <c r="D401" s="10" t="s">
        <v>24</v>
      </c>
      <c r="E401" s="11" t="s">
        <v>25</v>
      </c>
      <c r="F401" s="20" t="s">
        <v>4731</v>
      </c>
      <c r="G401" s="15" t="s">
        <v>4732</v>
      </c>
      <c r="H401" s="53" t="s">
        <v>609</v>
      </c>
      <c r="I401" s="18" t="s">
        <v>135</v>
      </c>
      <c r="J401" s="18" t="s">
        <v>412</v>
      </c>
      <c r="K401" s="33" t="s">
        <v>4734</v>
      </c>
      <c r="L401" s="25" t="str">
        <f>"RUTL-"&amp;RIGHT(K401,8)</f>
        <v>RUTL-60821486</v>
      </c>
      <c r="M401" s="34" t="s">
        <v>40</v>
      </c>
      <c r="N401" s="23" t="s">
        <v>43</v>
      </c>
      <c r="O401" s="23"/>
      <c r="P401" s="39" t="s">
        <v>90</v>
      </c>
      <c r="Q401" s="63" t="s">
        <v>4735</v>
      </c>
      <c r="R401" s="15" t="s">
        <v>56</v>
      </c>
      <c r="S401" s="37" t="s">
        <v>57</v>
      </c>
      <c r="T401" s="105" t="s">
        <v>148</v>
      </c>
      <c r="U401" s="39" t="s">
        <v>3326</v>
      </c>
      <c r="V401" s="23"/>
      <c r="W401" s="23"/>
      <c r="X401" s="71"/>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row>
    <row r="402" spans="1:135" ht="30" customHeight="1" thickBot="1" x14ac:dyDescent="0.3">
      <c r="A402" s="578" t="s">
        <v>6263</v>
      </c>
      <c r="B402" s="51">
        <v>15529</v>
      </c>
      <c r="C402" s="72" t="s">
        <v>6261</v>
      </c>
      <c r="D402" s="10" t="s">
        <v>24</v>
      </c>
      <c r="E402" s="11" t="s">
        <v>25</v>
      </c>
      <c r="F402" s="20" t="s">
        <v>6262</v>
      </c>
      <c r="G402" s="15" t="s">
        <v>2917</v>
      </c>
      <c r="H402" s="421" t="s">
        <v>76</v>
      </c>
      <c r="I402" s="18" t="s">
        <v>117</v>
      </c>
      <c r="J402" s="18" t="s">
        <v>412</v>
      </c>
      <c r="K402" s="23" t="s">
        <v>6264</v>
      </c>
      <c r="L402" s="25" t="str">
        <f>"RUTL-"&amp;RIGHT(K402,8)</f>
        <v>RUTL-60820629</v>
      </c>
      <c r="M402" s="34" t="s">
        <v>40</v>
      </c>
      <c r="N402" s="23"/>
      <c r="O402" s="23"/>
      <c r="P402" s="23"/>
      <c r="Q402" s="113"/>
      <c r="R402" s="15" t="s">
        <v>56</v>
      </c>
      <c r="S402" s="23"/>
      <c r="T402" s="107" t="s">
        <v>58</v>
      </c>
      <c r="U402" s="39" t="s">
        <v>6265</v>
      </c>
      <c r="V402" s="111">
        <v>46120</v>
      </c>
      <c r="W402" s="23"/>
      <c r="X402" s="71"/>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row>
    <row r="403" spans="1:135" ht="30" customHeight="1" thickBot="1" x14ac:dyDescent="0.3">
      <c r="A403" s="578" t="s">
        <v>2423</v>
      </c>
      <c r="B403" s="120" t="s">
        <v>2419</v>
      </c>
      <c r="C403" s="72" t="s">
        <v>2420</v>
      </c>
      <c r="D403" s="10" t="s">
        <v>24</v>
      </c>
      <c r="E403" s="122" t="s">
        <v>25</v>
      </c>
      <c r="F403" s="20" t="s">
        <v>2421</v>
      </c>
      <c r="G403" s="15" t="s">
        <v>2422</v>
      </c>
      <c r="H403" s="53" t="s">
        <v>76</v>
      </c>
      <c r="I403" s="18" t="s">
        <v>38</v>
      </c>
      <c r="J403" s="18" t="s">
        <v>412</v>
      </c>
      <c r="K403" s="124" t="s">
        <v>2426</v>
      </c>
      <c r="L403" s="127" t="str">
        <f>"RUTL-"&amp;RIGHT(K403,8)</f>
        <v>RUTL-60820709</v>
      </c>
      <c r="M403" s="129" t="s">
        <v>40</v>
      </c>
      <c r="N403" s="185" t="s">
        <v>414</v>
      </c>
      <c r="O403" s="124"/>
      <c r="P403" s="124"/>
      <c r="Q403" s="124"/>
      <c r="R403" s="121" t="s">
        <v>56</v>
      </c>
      <c r="S403" s="124"/>
      <c r="T403" s="287" t="s">
        <v>453</v>
      </c>
      <c r="U403" s="187" t="s">
        <v>2429</v>
      </c>
      <c r="V403" s="124"/>
      <c r="W403" s="124"/>
      <c r="X403" s="71"/>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row>
    <row r="404" spans="1:135" ht="30" customHeight="1" thickBot="1" x14ac:dyDescent="0.3">
      <c r="A404" s="578" t="s">
        <v>4491</v>
      </c>
      <c r="B404" s="16">
        <v>8798</v>
      </c>
      <c r="C404" s="52" t="s">
        <v>4487</v>
      </c>
      <c r="D404" s="322" t="s">
        <v>4488</v>
      </c>
      <c r="E404" s="11" t="s">
        <v>25</v>
      </c>
      <c r="F404" s="20" t="s">
        <v>4489</v>
      </c>
      <c r="G404" s="15" t="s">
        <v>3295</v>
      </c>
      <c r="H404" s="119" t="s">
        <v>370</v>
      </c>
      <c r="I404" s="18" t="s">
        <v>4490</v>
      </c>
      <c r="J404" s="18" t="s">
        <v>412</v>
      </c>
      <c r="K404" s="33" t="s">
        <v>4492</v>
      </c>
      <c r="L404" s="25" t="str">
        <f>"RUTL-"&amp;RIGHT(K404,8)</f>
        <v>RUTL-60820573</v>
      </c>
      <c r="M404" s="34" t="s">
        <v>40</v>
      </c>
      <c r="N404" s="39" t="s">
        <v>414</v>
      </c>
      <c r="O404" s="23"/>
      <c r="P404" s="39" t="s">
        <v>90</v>
      </c>
      <c r="Q404" s="243" t="s">
        <v>4493</v>
      </c>
      <c r="R404" s="15" t="s">
        <v>56</v>
      </c>
      <c r="S404" s="37" t="s">
        <v>57</v>
      </c>
      <c r="T404" s="107" t="s">
        <v>148</v>
      </c>
      <c r="U404" s="39" t="s">
        <v>819</v>
      </c>
      <c r="V404" s="23"/>
      <c r="W404" s="23"/>
      <c r="X404" s="71"/>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row>
    <row r="405" spans="1:135" ht="30" customHeight="1" thickBot="1" x14ac:dyDescent="0.3">
      <c r="A405" s="578" t="s">
        <v>7273</v>
      </c>
      <c r="B405" s="51">
        <v>18226</v>
      </c>
      <c r="C405" s="72" t="s">
        <v>7271</v>
      </c>
      <c r="D405" s="10" t="s">
        <v>24</v>
      </c>
      <c r="E405" s="11" t="s">
        <v>25</v>
      </c>
      <c r="F405" s="20" t="s">
        <v>7272</v>
      </c>
      <c r="G405" s="15" t="s">
        <v>1007</v>
      </c>
      <c r="H405" s="104" t="s">
        <v>329</v>
      </c>
      <c r="I405" s="18" t="s">
        <v>135</v>
      </c>
      <c r="J405" s="18" t="s">
        <v>412</v>
      </c>
      <c r="K405" s="23" t="s">
        <v>7274</v>
      </c>
      <c r="L405" s="25" t="str">
        <f>"RUTL-"&amp;RIGHT(K405,8)</f>
        <v>RUTL-60821894</v>
      </c>
      <c r="M405" s="34" t="s">
        <v>40</v>
      </c>
      <c r="N405" s="23" t="s">
        <v>54</v>
      </c>
      <c r="O405" s="23"/>
      <c r="P405" s="39" t="s">
        <v>90</v>
      </c>
      <c r="Q405" s="113"/>
      <c r="R405" s="15" t="s">
        <v>56</v>
      </c>
      <c r="S405" s="37" t="s">
        <v>57</v>
      </c>
      <c r="T405" s="118" t="s">
        <v>65</v>
      </c>
      <c r="U405" s="39" t="s">
        <v>4513</v>
      </c>
      <c r="V405" s="23"/>
      <c r="W405" s="23"/>
      <c r="X405" s="71"/>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row>
    <row r="406" spans="1:135" ht="30" customHeight="1" thickBot="1" x14ac:dyDescent="0.3">
      <c r="A406" s="578" t="s">
        <v>5421</v>
      </c>
      <c r="B406" s="8">
        <v>12799</v>
      </c>
      <c r="C406" s="72" t="s">
        <v>5419</v>
      </c>
      <c r="D406" s="10" t="s">
        <v>24</v>
      </c>
      <c r="E406" s="11" t="s">
        <v>25</v>
      </c>
      <c r="F406" s="20" t="s">
        <v>5420</v>
      </c>
      <c r="G406" s="15" t="s">
        <v>904</v>
      </c>
      <c r="H406" s="119" t="s">
        <v>852</v>
      </c>
      <c r="I406" s="18" t="s">
        <v>30</v>
      </c>
      <c r="J406" s="18" t="s">
        <v>412</v>
      </c>
      <c r="K406" s="23" t="s">
        <v>5422</v>
      </c>
      <c r="L406" s="25" t="str">
        <f>"RUTL-"&amp;RIGHT(K406,8)</f>
        <v>RUTL-60820238</v>
      </c>
      <c r="M406" s="34" t="s">
        <v>40</v>
      </c>
      <c r="N406" s="23" t="s">
        <v>5423</v>
      </c>
      <c r="O406" s="23"/>
      <c r="P406" s="39" t="s">
        <v>90</v>
      </c>
      <c r="Q406" s="63" t="s">
        <v>5424</v>
      </c>
      <c r="R406" s="15" t="s">
        <v>56</v>
      </c>
      <c r="S406" s="37" t="s">
        <v>57</v>
      </c>
      <c r="T406" s="107" t="s">
        <v>1630</v>
      </c>
      <c r="U406" s="39" t="s">
        <v>1060</v>
      </c>
      <c r="V406" s="23"/>
      <c r="W406" s="23"/>
      <c r="X406" s="71"/>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row>
    <row r="407" spans="1:135" ht="30" customHeight="1" thickBot="1" x14ac:dyDescent="0.3">
      <c r="A407" s="578" t="s">
        <v>2660</v>
      </c>
      <c r="B407" s="8">
        <v>1603</v>
      </c>
      <c r="C407" s="72" t="s">
        <v>2655</v>
      </c>
      <c r="D407" s="15" t="s">
        <v>2656</v>
      </c>
      <c r="E407" s="11" t="s">
        <v>25</v>
      </c>
      <c r="F407" s="20" t="s">
        <v>2657</v>
      </c>
      <c r="G407" s="15" t="s">
        <v>606</v>
      </c>
      <c r="H407" s="22" t="s">
        <v>2658</v>
      </c>
      <c r="I407" s="18" t="s">
        <v>135</v>
      </c>
      <c r="J407" s="18" t="s">
        <v>412</v>
      </c>
      <c r="K407" s="33" t="s">
        <v>2661</v>
      </c>
      <c r="L407" s="25" t="str">
        <f>"RUTL-"&amp;RIGHT(K407,8)</f>
        <v>RUTL-60821165</v>
      </c>
      <c r="M407" s="34" t="s">
        <v>40</v>
      </c>
      <c r="N407" s="23" t="s">
        <v>43</v>
      </c>
      <c r="O407" s="23"/>
      <c r="P407" s="39" t="s">
        <v>90</v>
      </c>
      <c r="Q407" s="63"/>
      <c r="R407" s="15" t="s">
        <v>56</v>
      </c>
      <c r="S407" s="37" t="s">
        <v>57</v>
      </c>
      <c r="T407" s="107"/>
      <c r="U407" s="57"/>
      <c r="V407" s="23"/>
      <c r="W407" s="23"/>
      <c r="X407" s="71"/>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row>
    <row r="408" spans="1:135" ht="30" customHeight="1" thickBot="1" x14ac:dyDescent="0.3">
      <c r="A408" s="578" t="s">
        <v>3283</v>
      </c>
      <c r="B408" s="8">
        <v>3317</v>
      </c>
      <c r="C408" s="52" t="s">
        <v>3281</v>
      </c>
      <c r="D408" s="15" t="s">
        <v>24</v>
      </c>
      <c r="E408" s="11" t="s">
        <v>25</v>
      </c>
      <c r="F408" s="20" t="s">
        <v>3282</v>
      </c>
      <c r="G408" s="15" t="s">
        <v>651</v>
      </c>
      <c r="H408" s="119" t="s">
        <v>1071</v>
      </c>
      <c r="I408" s="18" t="s">
        <v>135</v>
      </c>
      <c r="J408" s="18" t="s">
        <v>412</v>
      </c>
      <c r="K408" s="33" t="s">
        <v>3284</v>
      </c>
      <c r="L408" s="25" t="str">
        <f>"RUTL-"&amp;RIGHT(K408,8)</f>
        <v>RUTL-60820790</v>
      </c>
      <c r="M408" s="34" t="s">
        <v>40</v>
      </c>
      <c r="N408" s="23" t="s">
        <v>43</v>
      </c>
      <c r="O408" s="23"/>
      <c r="P408" s="23"/>
      <c r="Q408" s="63" t="s">
        <v>3285</v>
      </c>
      <c r="R408" s="15" t="s">
        <v>56</v>
      </c>
      <c r="S408" s="37" t="s">
        <v>180</v>
      </c>
      <c r="T408" s="101" t="s">
        <v>96</v>
      </c>
      <c r="U408" s="39" t="s">
        <v>3286</v>
      </c>
      <c r="V408" s="23"/>
      <c r="W408" s="23"/>
      <c r="X408" s="71"/>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row>
    <row r="409" spans="1:135" ht="30" customHeight="1" thickBot="1" x14ac:dyDescent="0.3">
      <c r="A409" s="578" t="s">
        <v>1072</v>
      </c>
      <c r="B409" s="226" t="s">
        <v>1062</v>
      </c>
      <c r="C409" s="69" t="s">
        <v>1063</v>
      </c>
      <c r="D409" s="15" t="s">
        <v>24</v>
      </c>
      <c r="E409" s="11" t="s">
        <v>25</v>
      </c>
      <c r="F409" s="20" t="s">
        <v>1067</v>
      </c>
      <c r="G409" s="15" t="s">
        <v>988</v>
      </c>
      <c r="H409" s="119" t="s">
        <v>1071</v>
      </c>
      <c r="I409" s="18" t="s">
        <v>38</v>
      </c>
      <c r="J409" s="18" t="s">
        <v>412</v>
      </c>
      <c r="K409" s="23" t="s">
        <v>1075</v>
      </c>
      <c r="L409" s="21" t="str">
        <f>"RUTL-"&amp;RIGHT(K409,8)</f>
        <v>RUTL-60820989</v>
      </c>
      <c r="M409" s="34" t="s">
        <v>40</v>
      </c>
      <c r="N409" s="23" t="s">
        <v>43</v>
      </c>
      <c r="O409" s="23"/>
      <c r="P409" s="23"/>
      <c r="Q409" s="63" t="s">
        <v>1077</v>
      </c>
      <c r="R409" s="15" t="s">
        <v>56</v>
      </c>
      <c r="S409" s="37" t="s">
        <v>57</v>
      </c>
      <c r="T409" s="107" t="s">
        <v>453</v>
      </c>
      <c r="U409" s="47" t="s">
        <v>1078</v>
      </c>
      <c r="V409" s="23"/>
      <c r="W409" s="23"/>
      <c r="X409" s="71"/>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row>
    <row r="410" spans="1:135" ht="30" customHeight="1" thickBot="1" x14ac:dyDescent="0.3">
      <c r="A410" s="578" t="s">
        <v>962</v>
      </c>
      <c r="B410" s="216" t="s">
        <v>950</v>
      </c>
      <c r="C410" s="69" t="s">
        <v>952</v>
      </c>
      <c r="D410" s="15" t="s">
        <v>953</v>
      </c>
      <c r="E410" s="122" t="s">
        <v>25</v>
      </c>
      <c r="F410" s="20" t="s">
        <v>956</v>
      </c>
      <c r="G410" s="15" t="s">
        <v>958</v>
      </c>
      <c r="H410" s="97" t="s">
        <v>960</v>
      </c>
      <c r="I410" s="18" t="s">
        <v>38</v>
      </c>
      <c r="J410" s="18" t="s">
        <v>412</v>
      </c>
      <c r="K410" s="23" t="s">
        <v>968</v>
      </c>
      <c r="L410" s="127" t="str">
        <f>"RUTL-"&amp;RIGHT(K410,8)</f>
        <v>RUTL-60821908</v>
      </c>
      <c r="M410" s="129" t="s">
        <v>40</v>
      </c>
      <c r="N410" s="14" t="s">
        <v>43</v>
      </c>
      <c r="O410" s="14"/>
      <c r="P410" s="39" t="s">
        <v>90</v>
      </c>
      <c r="Q410" s="39" t="s">
        <v>970</v>
      </c>
      <c r="R410" s="121" t="s">
        <v>56</v>
      </c>
      <c r="S410" s="151" t="s">
        <v>57</v>
      </c>
      <c r="T410" s="14" t="s">
        <v>972</v>
      </c>
      <c r="U410" s="138" t="s">
        <v>973</v>
      </c>
      <c r="V410" s="14"/>
      <c r="W410" s="14"/>
      <c r="X410" s="71"/>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row>
    <row r="411" spans="1:135" ht="30" customHeight="1" thickBot="1" x14ac:dyDescent="0.3">
      <c r="A411" s="578" t="s">
        <v>5823</v>
      </c>
      <c r="B411" s="437">
        <v>14284</v>
      </c>
      <c r="C411" s="52" t="s">
        <v>5821</v>
      </c>
      <c r="D411" s="10" t="s">
        <v>24</v>
      </c>
      <c r="E411" s="11" t="s">
        <v>25</v>
      </c>
      <c r="F411" s="20" t="s">
        <v>5822</v>
      </c>
      <c r="G411" s="15" t="s">
        <v>5364</v>
      </c>
      <c r="H411" s="119" t="s">
        <v>811</v>
      </c>
      <c r="I411" s="18" t="s">
        <v>48</v>
      </c>
      <c r="J411" s="18" t="s">
        <v>1449</v>
      </c>
      <c r="K411" s="23" t="s">
        <v>5824</v>
      </c>
      <c r="L411" s="25" t="str">
        <f>"RUTL-"&amp;RIGHT(K411,8)</f>
        <v>RUTL-65R00483</v>
      </c>
      <c r="M411" s="34" t="s">
        <v>40</v>
      </c>
      <c r="N411" s="23" t="s">
        <v>43</v>
      </c>
      <c r="O411" s="23"/>
      <c r="P411" s="39" t="s">
        <v>90</v>
      </c>
      <c r="Q411" s="63" t="s">
        <v>5825</v>
      </c>
      <c r="R411" s="15" t="s">
        <v>56</v>
      </c>
      <c r="S411" s="37" t="s">
        <v>57</v>
      </c>
      <c r="T411" s="107" t="s">
        <v>148</v>
      </c>
      <c r="U411" s="23" t="s">
        <v>1887</v>
      </c>
      <c r="V411" s="23"/>
      <c r="W411" s="23"/>
      <c r="X411" s="71"/>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row>
    <row r="412" spans="1:135" ht="30" customHeight="1" thickBot="1" x14ac:dyDescent="0.3">
      <c r="A412" s="578" t="s">
        <v>5324</v>
      </c>
      <c r="B412" s="8">
        <v>12637</v>
      </c>
      <c r="C412" s="52" t="s">
        <v>5323</v>
      </c>
      <c r="D412" s="10" t="s">
        <v>24</v>
      </c>
      <c r="E412" s="11" t="s">
        <v>25</v>
      </c>
      <c r="F412" s="20"/>
      <c r="G412" s="15" t="s">
        <v>904</v>
      </c>
      <c r="H412" s="119" t="s">
        <v>852</v>
      </c>
      <c r="I412" s="18" t="s">
        <v>135</v>
      </c>
      <c r="J412" s="18" t="s">
        <v>412</v>
      </c>
      <c r="K412" s="23" t="s">
        <v>5325</v>
      </c>
      <c r="L412" s="25" t="str">
        <f>"RUTL-"&amp;RIGHT(K412,8)</f>
        <v>RUTL-60821810</v>
      </c>
      <c r="M412" s="34" t="s">
        <v>40</v>
      </c>
      <c r="N412" s="39" t="s">
        <v>414</v>
      </c>
      <c r="O412" s="39" t="s">
        <v>5326</v>
      </c>
      <c r="P412" s="39" t="s">
        <v>90</v>
      </c>
      <c r="Q412" s="63" t="s">
        <v>5327</v>
      </c>
      <c r="R412" s="15" t="s">
        <v>56</v>
      </c>
      <c r="S412" s="37" t="s">
        <v>57</v>
      </c>
      <c r="T412" s="105" t="s">
        <v>148</v>
      </c>
      <c r="U412" s="39" t="s">
        <v>2975</v>
      </c>
      <c r="V412" s="23"/>
      <c r="W412" s="23"/>
      <c r="X412" s="71"/>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row>
    <row r="413" spans="1:135" ht="30" customHeight="1" thickBot="1" x14ac:dyDescent="0.3">
      <c r="A413" s="578" t="s">
        <v>5915</v>
      </c>
      <c r="B413" s="437">
        <v>14694</v>
      </c>
      <c r="C413" s="72" t="s">
        <v>5913</v>
      </c>
      <c r="D413" s="10" t="s">
        <v>24</v>
      </c>
      <c r="E413" s="11" t="s">
        <v>25</v>
      </c>
      <c r="F413" s="20" t="s">
        <v>5914</v>
      </c>
      <c r="G413" s="15" t="s">
        <v>2512</v>
      </c>
      <c r="H413" s="156" t="s">
        <v>1573</v>
      </c>
      <c r="I413" s="18" t="s">
        <v>135</v>
      </c>
      <c r="J413" s="18" t="s">
        <v>412</v>
      </c>
      <c r="K413" s="23" t="s">
        <v>5916</v>
      </c>
      <c r="L413" s="25" t="str">
        <f>"RUTL-"&amp;RIGHT(K413,8)</f>
        <v>RUTL-60821126</v>
      </c>
      <c r="M413" s="34" t="s">
        <v>40</v>
      </c>
      <c r="N413" s="23" t="s">
        <v>43</v>
      </c>
      <c r="O413" s="23"/>
      <c r="P413" s="39" t="s">
        <v>90</v>
      </c>
      <c r="Q413" s="63" t="s">
        <v>146</v>
      </c>
      <c r="R413" s="15" t="s">
        <v>56</v>
      </c>
      <c r="S413" s="23"/>
      <c r="T413" s="390" t="s">
        <v>5917</v>
      </c>
      <c r="U413" s="23" t="s">
        <v>5918</v>
      </c>
      <c r="V413" s="23"/>
      <c r="W413" s="23"/>
      <c r="X413" s="71"/>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row>
    <row r="414" spans="1:135" ht="30" customHeight="1" thickBot="1" x14ac:dyDescent="0.3">
      <c r="A414" s="578" t="s">
        <v>892</v>
      </c>
      <c r="B414" s="51" t="s">
        <v>661</v>
      </c>
      <c r="C414" s="72" t="s">
        <v>884</v>
      </c>
      <c r="D414" s="10" t="s">
        <v>24</v>
      </c>
      <c r="E414" s="11" t="s">
        <v>25</v>
      </c>
      <c r="F414" s="29" t="s">
        <v>886</v>
      </c>
      <c r="G414" s="15" t="s">
        <v>887</v>
      </c>
      <c r="H414" s="119" t="s">
        <v>370</v>
      </c>
      <c r="I414" s="18" t="s">
        <v>117</v>
      </c>
      <c r="J414" s="18" t="s">
        <v>412</v>
      </c>
      <c r="K414" s="23" t="s">
        <v>895</v>
      </c>
      <c r="L414" s="21" t="str">
        <f>"RUTL-"&amp;RIGHT(K414,8)</f>
        <v>RUTL-60820288</v>
      </c>
      <c r="M414" s="34" t="s">
        <v>40</v>
      </c>
      <c r="N414" s="23" t="s">
        <v>43</v>
      </c>
      <c r="O414" s="23"/>
      <c r="P414" s="39" t="s">
        <v>90</v>
      </c>
      <c r="Q414" s="63" t="s">
        <v>899</v>
      </c>
      <c r="R414" s="15" t="s">
        <v>56</v>
      </c>
      <c r="S414" s="37" t="s">
        <v>57</v>
      </c>
      <c r="T414" s="105" t="s">
        <v>901</v>
      </c>
      <c r="U414" s="39" t="s">
        <v>902</v>
      </c>
      <c r="V414" s="23"/>
      <c r="W414" s="23"/>
      <c r="X414" s="71"/>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row>
    <row r="415" spans="1:135" ht="30" customHeight="1" thickBot="1" x14ac:dyDescent="0.3">
      <c r="A415" s="578" t="s">
        <v>4913</v>
      </c>
      <c r="B415" s="8">
        <v>11006</v>
      </c>
      <c r="C415" s="52" t="s">
        <v>4910</v>
      </c>
      <c r="D415" s="10" t="s">
        <v>24</v>
      </c>
      <c r="E415" s="10" t="s">
        <v>25</v>
      </c>
      <c r="F415" s="20" t="s">
        <v>4911</v>
      </c>
      <c r="G415" s="15" t="s">
        <v>4912</v>
      </c>
      <c r="H415" s="119" t="s">
        <v>852</v>
      </c>
      <c r="I415" s="18" t="s">
        <v>135</v>
      </c>
      <c r="J415" s="18" t="s">
        <v>412</v>
      </c>
      <c r="K415" s="23" t="s">
        <v>4914</v>
      </c>
      <c r="L415" s="25" t="str">
        <f>"RUTL-"&amp;RIGHT(K415,8)</f>
        <v>RUTL-60820625</v>
      </c>
      <c r="M415" s="34" t="s">
        <v>40</v>
      </c>
      <c r="N415" s="23" t="s">
        <v>43</v>
      </c>
      <c r="O415" s="23"/>
      <c r="P415" s="39" t="s">
        <v>90</v>
      </c>
      <c r="Q415" s="63" t="s">
        <v>4915</v>
      </c>
      <c r="R415" s="15" t="s">
        <v>56</v>
      </c>
      <c r="S415" s="37" t="s">
        <v>57</v>
      </c>
      <c r="T415" s="105" t="s">
        <v>148</v>
      </c>
      <c r="U415" s="39" t="s">
        <v>4341</v>
      </c>
      <c r="V415" s="23"/>
      <c r="W415" s="23"/>
      <c r="X415" s="71"/>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row>
    <row r="416" spans="1:135" ht="30" customHeight="1" thickBot="1" x14ac:dyDescent="0.3">
      <c r="A416" s="578" t="s">
        <v>4822</v>
      </c>
      <c r="B416" s="16">
        <v>10515</v>
      </c>
      <c r="C416" s="72" t="s">
        <v>4819</v>
      </c>
      <c r="D416" s="10" t="s">
        <v>24</v>
      </c>
      <c r="E416" s="10" t="s">
        <v>25</v>
      </c>
      <c r="F416" s="20" t="s">
        <v>4820</v>
      </c>
      <c r="G416" s="15" t="s">
        <v>4821</v>
      </c>
      <c r="H416" s="119" t="s">
        <v>852</v>
      </c>
      <c r="I416" s="18" t="s">
        <v>135</v>
      </c>
      <c r="J416" s="18" t="s">
        <v>412</v>
      </c>
      <c r="K416" s="23" t="s">
        <v>4823</v>
      </c>
      <c r="L416" s="25" t="str">
        <f>"RUTL-"&amp;RIGHT(K416,8)</f>
        <v>RUTL-60820579</v>
      </c>
      <c r="M416" s="34" t="s">
        <v>40</v>
      </c>
      <c r="N416" s="23" t="s">
        <v>43</v>
      </c>
      <c r="O416" s="23"/>
      <c r="P416" s="39" t="s">
        <v>90</v>
      </c>
      <c r="Q416" s="113"/>
      <c r="R416" s="15" t="s">
        <v>56</v>
      </c>
      <c r="S416" s="37" t="s">
        <v>57</v>
      </c>
      <c r="T416" s="107" t="s">
        <v>453</v>
      </c>
      <c r="U416" s="39" t="s">
        <v>4824</v>
      </c>
      <c r="V416" s="23"/>
      <c r="W416" s="23"/>
      <c r="X416" s="71"/>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row>
    <row r="417" spans="1:135" ht="30" customHeight="1" thickBot="1" x14ac:dyDescent="0.3">
      <c r="A417" s="578" t="s">
        <v>1507</v>
      </c>
      <c r="B417" s="16">
        <v>594</v>
      </c>
      <c r="C417" s="9" t="s">
        <v>1501</v>
      </c>
      <c r="D417" s="15" t="s">
        <v>24</v>
      </c>
      <c r="E417" s="11" t="s">
        <v>25</v>
      </c>
      <c r="F417" s="12" t="s">
        <v>1503</v>
      </c>
      <c r="G417" s="15" t="s">
        <v>1505</v>
      </c>
      <c r="H417" s="17" t="s">
        <v>891</v>
      </c>
      <c r="I417" s="18" t="s">
        <v>135</v>
      </c>
      <c r="J417" s="18" t="s">
        <v>412</v>
      </c>
      <c r="K417" s="23" t="s">
        <v>1509</v>
      </c>
      <c r="L417" s="25" t="str">
        <f>"RUTL-"&amp;RIGHT(K417,8)</f>
        <v>RUTL-60820616</v>
      </c>
      <c r="M417" s="34" t="s">
        <v>40</v>
      </c>
      <c r="N417" s="32" t="s">
        <v>54</v>
      </c>
      <c r="O417" s="32"/>
      <c r="P417" s="7" t="s">
        <v>90</v>
      </c>
      <c r="Q417" s="63" t="s">
        <v>1510</v>
      </c>
      <c r="R417" s="15" t="s">
        <v>56</v>
      </c>
      <c r="S417" s="40" t="s">
        <v>57</v>
      </c>
      <c r="T417" s="38" t="s">
        <v>58</v>
      </c>
      <c r="U417" s="39" t="s">
        <v>1511</v>
      </c>
      <c r="V417" s="48"/>
      <c r="W417" s="23"/>
      <c r="X417" s="71"/>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row>
    <row r="418" spans="1:135" ht="30" customHeight="1" thickBot="1" x14ac:dyDescent="0.3">
      <c r="A418" s="578" t="s">
        <v>2272</v>
      </c>
      <c r="B418" s="8">
        <v>960</v>
      </c>
      <c r="C418" s="52" t="s">
        <v>2269</v>
      </c>
      <c r="D418" s="15" t="s">
        <v>24</v>
      </c>
      <c r="E418" s="11" t="s">
        <v>25</v>
      </c>
      <c r="F418" s="20" t="s">
        <v>2270</v>
      </c>
      <c r="G418" s="15" t="s">
        <v>2271</v>
      </c>
      <c r="H418" s="22" t="s">
        <v>2246</v>
      </c>
      <c r="I418" s="18" t="s">
        <v>135</v>
      </c>
      <c r="J418" s="18" t="s">
        <v>412</v>
      </c>
      <c r="K418" s="23" t="s">
        <v>2273</v>
      </c>
      <c r="L418" s="25" t="str">
        <f>"RUTL-"&amp;RIGHT(K418,8)</f>
        <v>RUTL-60821577</v>
      </c>
      <c r="M418" s="34" t="s">
        <v>40</v>
      </c>
      <c r="N418" s="15"/>
      <c r="O418" s="15"/>
      <c r="P418" s="39" t="s">
        <v>90</v>
      </c>
      <c r="Q418" s="113"/>
      <c r="R418" s="15" t="s">
        <v>56</v>
      </c>
      <c r="S418" s="37" t="s">
        <v>57</v>
      </c>
      <c r="T418" s="105" t="s">
        <v>148</v>
      </c>
      <c r="U418" s="39" t="s">
        <v>2274</v>
      </c>
      <c r="V418" s="23"/>
      <c r="W418" s="23"/>
      <c r="X418" s="71"/>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row>
    <row r="419" spans="1:135" ht="30" customHeight="1" thickBot="1" x14ac:dyDescent="0.3">
      <c r="A419" s="578" t="s">
        <v>5490</v>
      </c>
      <c r="B419" s="8">
        <v>12954</v>
      </c>
      <c r="C419" s="52" t="s">
        <v>5487</v>
      </c>
      <c r="D419" s="10" t="s">
        <v>24</v>
      </c>
      <c r="E419" s="11" t="s">
        <v>25</v>
      </c>
      <c r="F419" s="20" t="s">
        <v>5488</v>
      </c>
      <c r="G419" s="15" t="s">
        <v>5489</v>
      </c>
      <c r="H419" s="37" t="s">
        <v>533</v>
      </c>
      <c r="I419" s="18" t="s">
        <v>135</v>
      </c>
      <c r="J419" s="18" t="s">
        <v>412</v>
      </c>
      <c r="K419" s="23" t="s">
        <v>5491</v>
      </c>
      <c r="L419" s="25" t="str">
        <f>"RUTL-"&amp;RIGHT(K419,8)</f>
        <v>RUTL-60821362</v>
      </c>
      <c r="M419" s="34" t="s">
        <v>40</v>
      </c>
      <c r="N419" s="136" t="s">
        <v>2365</v>
      </c>
      <c r="O419" s="227"/>
      <c r="P419" s="39" t="s">
        <v>90</v>
      </c>
      <c r="Q419" s="63" t="s">
        <v>5492</v>
      </c>
      <c r="R419" s="15" t="s">
        <v>56</v>
      </c>
      <c r="S419" s="37" t="s">
        <v>57</v>
      </c>
      <c r="T419" s="108" t="s">
        <v>453</v>
      </c>
      <c r="U419" s="39" t="s">
        <v>497</v>
      </c>
      <c r="V419" s="23"/>
      <c r="W419" s="23"/>
      <c r="X419" s="71"/>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row>
    <row r="420" spans="1:135" ht="30" customHeight="1" thickBot="1" x14ac:dyDescent="0.3">
      <c r="A420" s="578" t="s">
        <v>5474</v>
      </c>
      <c r="B420" s="8">
        <v>12874</v>
      </c>
      <c r="C420" s="52" t="s">
        <v>5471</v>
      </c>
      <c r="D420" s="10" t="s">
        <v>5472</v>
      </c>
      <c r="E420" s="11" t="s">
        <v>25</v>
      </c>
      <c r="F420" s="20" t="s">
        <v>5473</v>
      </c>
      <c r="G420" s="15" t="s">
        <v>5149</v>
      </c>
      <c r="H420" s="104" t="s">
        <v>349</v>
      </c>
      <c r="I420" s="18" t="s">
        <v>135</v>
      </c>
      <c r="J420" s="18" t="s">
        <v>412</v>
      </c>
      <c r="K420" s="23" t="s">
        <v>5475</v>
      </c>
      <c r="L420" s="25" t="str">
        <f>"RUTL-"&amp;RIGHT(K420,8)</f>
        <v>RUTL-60821910</v>
      </c>
      <c r="M420" s="34" t="s">
        <v>40</v>
      </c>
      <c r="N420" s="23" t="s">
        <v>54</v>
      </c>
      <c r="O420" s="23"/>
      <c r="P420" s="39" t="s">
        <v>90</v>
      </c>
      <c r="Q420" s="63" t="s">
        <v>5476</v>
      </c>
      <c r="R420" s="15" t="s">
        <v>56</v>
      </c>
      <c r="S420" s="37" t="s">
        <v>57</v>
      </c>
      <c r="T420" s="107" t="s">
        <v>453</v>
      </c>
      <c r="U420" s="39" t="s">
        <v>761</v>
      </c>
      <c r="V420" s="23"/>
      <c r="W420" s="379" t="s">
        <v>5477</v>
      </c>
      <c r="X420" s="71"/>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row>
    <row r="421" spans="1:135" ht="30" customHeight="1" thickBot="1" x14ac:dyDescent="0.3">
      <c r="A421" s="578" t="s">
        <v>3324</v>
      </c>
      <c r="B421" s="8">
        <v>3317</v>
      </c>
      <c r="C421" s="72" t="s">
        <v>3321</v>
      </c>
      <c r="D421" s="10" t="s">
        <v>24</v>
      </c>
      <c r="E421" s="11" t="s">
        <v>25</v>
      </c>
      <c r="F421" s="20" t="s">
        <v>3322</v>
      </c>
      <c r="G421" s="15" t="s">
        <v>3323</v>
      </c>
      <c r="H421" s="147" t="s">
        <v>434</v>
      </c>
      <c r="I421" s="18" t="s">
        <v>117</v>
      </c>
      <c r="J421" s="18" t="s">
        <v>412</v>
      </c>
      <c r="K421" s="33" t="s">
        <v>3325</v>
      </c>
      <c r="L421" s="25" t="str">
        <f>"RUTL-"&amp;RIGHT(K421,8)</f>
        <v>RUTL-60820164</v>
      </c>
      <c r="M421" s="34" t="s">
        <v>40</v>
      </c>
      <c r="N421" s="23" t="s">
        <v>43</v>
      </c>
      <c r="O421" s="23"/>
      <c r="P421" s="23"/>
      <c r="Q421" s="113"/>
      <c r="R421" s="15" t="s">
        <v>56</v>
      </c>
      <c r="S421" s="40" t="s">
        <v>57</v>
      </c>
      <c r="T421" s="101" t="s">
        <v>96</v>
      </c>
      <c r="U421" s="39" t="s">
        <v>3326</v>
      </c>
      <c r="V421" s="23"/>
      <c r="W421" s="23"/>
      <c r="X421" s="71"/>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row>
    <row r="422" spans="1:135" ht="30" customHeight="1" thickBot="1" x14ac:dyDescent="0.3">
      <c r="A422" s="578" t="s">
        <v>1594</v>
      </c>
      <c r="B422" s="23"/>
      <c r="C422" s="99" t="s">
        <v>1586</v>
      </c>
      <c r="D422" s="15" t="s">
        <v>24</v>
      </c>
      <c r="E422" s="28" t="s">
        <v>25</v>
      </c>
      <c r="F422" s="29"/>
      <c r="G422" s="12" t="s">
        <v>1590</v>
      </c>
      <c r="H422" s="147" t="s">
        <v>1109</v>
      </c>
      <c r="I422" s="18" t="s">
        <v>135</v>
      </c>
      <c r="J422" s="18" t="s">
        <v>412</v>
      </c>
      <c r="K422" s="23" t="s">
        <v>1595</v>
      </c>
      <c r="L422" s="21" t="str">
        <f>"RUTL-"&amp;RIGHT(K422,8)</f>
        <v>RUTL-60821254</v>
      </c>
      <c r="M422" s="144" t="s">
        <v>40</v>
      </c>
      <c r="N422" s="23" t="s">
        <v>43</v>
      </c>
      <c r="O422" s="23"/>
      <c r="P422" s="23"/>
      <c r="Q422" s="218" t="s">
        <v>1597</v>
      </c>
      <c r="R422" s="15" t="s">
        <v>56</v>
      </c>
      <c r="S422" s="21"/>
      <c r="T422" s="112" t="s">
        <v>58</v>
      </c>
      <c r="U422" s="47" t="s">
        <v>1599</v>
      </c>
      <c r="V422" s="23"/>
      <c r="W422" s="23"/>
      <c r="X422" s="71"/>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row>
    <row r="423" spans="1:135" ht="30" customHeight="1" thickBot="1" x14ac:dyDescent="0.3">
      <c r="A423" s="578" t="s">
        <v>5416</v>
      </c>
      <c r="B423" s="8">
        <v>12798</v>
      </c>
      <c r="C423" s="72" t="s">
        <v>5413</v>
      </c>
      <c r="D423" s="10" t="s">
        <v>24</v>
      </c>
      <c r="E423" s="11" t="s">
        <v>25</v>
      </c>
      <c r="F423" s="20" t="s">
        <v>5414</v>
      </c>
      <c r="G423" s="15" t="s">
        <v>5415</v>
      </c>
      <c r="H423" s="313" t="s">
        <v>4070</v>
      </c>
      <c r="I423" s="18" t="s">
        <v>117</v>
      </c>
      <c r="J423" s="18" t="s">
        <v>412</v>
      </c>
      <c r="K423" s="23" t="s">
        <v>5417</v>
      </c>
      <c r="L423" s="25" t="str">
        <f>"RUTL-"&amp;RIGHT(K423,8)</f>
        <v>RUTL-60821382</v>
      </c>
      <c r="M423" s="34" t="s">
        <v>40</v>
      </c>
      <c r="N423" s="23" t="s">
        <v>43</v>
      </c>
      <c r="O423" s="23"/>
      <c r="P423" s="35" t="s">
        <v>46</v>
      </c>
      <c r="Q423" s="36" t="s">
        <v>5418</v>
      </c>
      <c r="R423" s="15" t="s">
        <v>56</v>
      </c>
      <c r="S423" s="37" t="s">
        <v>57</v>
      </c>
      <c r="T423" s="107" t="s">
        <v>148</v>
      </c>
      <c r="U423" s="39" t="s">
        <v>2093</v>
      </c>
      <c r="V423" s="23"/>
      <c r="W423" s="23"/>
      <c r="X423" s="71"/>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row>
    <row r="424" spans="1:135" ht="30" customHeight="1" thickBot="1" x14ac:dyDescent="0.3">
      <c r="A424" s="578" t="s">
        <v>5968</v>
      </c>
      <c r="B424" s="437">
        <v>14768</v>
      </c>
      <c r="C424" s="52" t="s">
        <v>5965</v>
      </c>
      <c r="D424" s="10" t="s">
        <v>24</v>
      </c>
      <c r="E424" s="11" t="s">
        <v>25</v>
      </c>
      <c r="F424" s="12" t="s">
        <v>5966</v>
      </c>
      <c r="G424" s="15" t="s">
        <v>5967</v>
      </c>
      <c r="H424" s="22" t="s">
        <v>4594</v>
      </c>
      <c r="I424" s="18" t="s">
        <v>117</v>
      </c>
      <c r="J424" s="18" t="s">
        <v>412</v>
      </c>
      <c r="K424" s="23" t="s">
        <v>5969</v>
      </c>
      <c r="L424" s="25" t="str">
        <f>"RUTL-"&amp;RIGHT(K424,8)</f>
        <v>RUTL-60820716</v>
      </c>
      <c r="M424" s="34" t="s">
        <v>40</v>
      </c>
      <c r="N424" s="136" t="s">
        <v>2365</v>
      </c>
      <c r="O424" s="227"/>
      <c r="P424" s="23"/>
      <c r="Q424" s="63" t="s">
        <v>5970</v>
      </c>
      <c r="R424" s="15" t="s">
        <v>56</v>
      </c>
      <c r="S424" s="37" t="s">
        <v>57</v>
      </c>
      <c r="T424" s="87" t="s">
        <v>273</v>
      </c>
      <c r="U424" s="23" t="s">
        <v>207</v>
      </c>
      <c r="V424" s="23"/>
      <c r="W424" s="23"/>
      <c r="X424" s="71"/>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row>
    <row r="425" spans="1:135" ht="30" customHeight="1" thickBot="1" x14ac:dyDescent="0.3">
      <c r="A425" s="578" t="s">
        <v>5768</v>
      </c>
      <c r="B425" s="8">
        <v>13829</v>
      </c>
      <c r="C425" s="72" t="s">
        <v>5766</v>
      </c>
      <c r="D425" s="10" t="s">
        <v>24</v>
      </c>
      <c r="E425" s="11" t="s">
        <v>25</v>
      </c>
      <c r="F425" s="20" t="s">
        <v>5767</v>
      </c>
      <c r="G425" s="15" t="s">
        <v>889</v>
      </c>
      <c r="H425" s="22" t="s">
        <v>1454</v>
      </c>
      <c r="I425" s="18" t="s">
        <v>117</v>
      </c>
      <c r="J425" s="18" t="s">
        <v>412</v>
      </c>
      <c r="K425" s="23" t="s">
        <v>5769</v>
      </c>
      <c r="L425" s="25" t="str">
        <f>"RUTL-"&amp;RIGHT(K425,8)</f>
        <v>RUTL-60820873</v>
      </c>
      <c r="M425" s="34" t="s">
        <v>40</v>
      </c>
      <c r="N425" s="23"/>
      <c r="O425" s="23"/>
      <c r="P425" s="39" t="s">
        <v>90</v>
      </c>
      <c r="Q425" s="63" t="s">
        <v>5770</v>
      </c>
      <c r="R425" s="15" t="s">
        <v>56</v>
      </c>
      <c r="S425" s="37" t="s">
        <v>57</v>
      </c>
      <c r="T425" s="107" t="s">
        <v>453</v>
      </c>
      <c r="U425" s="23" t="s">
        <v>605</v>
      </c>
      <c r="V425" s="23"/>
      <c r="W425" s="23"/>
      <c r="X425" s="71"/>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row>
    <row r="426" spans="1:135" ht="30" customHeight="1" thickBot="1" x14ac:dyDescent="0.3">
      <c r="A426" s="578" t="s">
        <v>5942</v>
      </c>
      <c r="B426" s="437">
        <v>14719</v>
      </c>
      <c r="C426" s="72" t="s">
        <v>5940</v>
      </c>
      <c r="D426" s="10" t="s">
        <v>24</v>
      </c>
      <c r="E426" s="11" t="s">
        <v>25</v>
      </c>
      <c r="F426" s="20" t="s">
        <v>5941</v>
      </c>
      <c r="G426" s="15" t="s">
        <v>3536</v>
      </c>
      <c r="H426" s="104" t="s">
        <v>349</v>
      </c>
      <c r="I426" s="18" t="s">
        <v>117</v>
      </c>
      <c r="J426" s="18" t="s">
        <v>412</v>
      </c>
      <c r="K426" s="23" t="s">
        <v>5943</v>
      </c>
      <c r="L426" s="25" t="str">
        <f>"RUTL-"&amp;RIGHT(K426,8)</f>
        <v>RUTL-60821467</v>
      </c>
      <c r="M426" s="34" t="s">
        <v>40</v>
      </c>
      <c r="N426" s="23" t="s">
        <v>2365</v>
      </c>
      <c r="O426" s="227"/>
      <c r="P426" s="39" t="s">
        <v>90</v>
      </c>
      <c r="Q426" s="63" t="s">
        <v>5944</v>
      </c>
      <c r="R426" s="15" t="s">
        <v>56</v>
      </c>
      <c r="S426" s="37" t="s">
        <v>57</v>
      </c>
      <c r="T426" s="105" t="s">
        <v>148</v>
      </c>
      <c r="U426" s="39" t="s">
        <v>3091</v>
      </c>
      <c r="V426" s="23"/>
      <c r="W426" s="23"/>
      <c r="X426" s="71"/>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row>
    <row r="427" spans="1:135" ht="30" customHeight="1" thickBot="1" x14ac:dyDescent="0.3">
      <c r="A427" s="578" t="s">
        <v>3859</v>
      </c>
      <c r="B427" s="51">
        <v>6183</v>
      </c>
      <c r="C427" s="72" t="s">
        <v>3857</v>
      </c>
      <c r="D427" s="10" t="s">
        <v>24</v>
      </c>
      <c r="E427" s="11" t="s">
        <v>25</v>
      </c>
      <c r="F427" s="29" t="s">
        <v>3858</v>
      </c>
      <c r="G427" s="15" t="s">
        <v>443</v>
      </c>
      <c r="H427" s="355" t="s">
        <v>3573</v>
      </c>
      <c r="I427" s="18" t="s">
        <v>135</v>
      </c>
      <c r="J427" s="18" t="s">
        <v>412</v>
      </c>
      <c r="K427" s="33" t="s">
        <v>3860</v>
      </c>
      <c r="L427" s="25" t="str">
        <f>"RUTL-"&amp;RIGHT(K427,8)</f>
        <v>RUTL-60821504</v>
      </c>
      <c r="M427" s="34" t="s">
        <v>40</v>
      </c>
      <c r="N427" s="23" t="s">
        <v>54</v>
      </c>
      <c r="O427" s="23"/>
      <c r="P427" s="39" t="s">
        <v>90</v>
      </c>
      <c r="Q427" s="36"/>
      <c r="R427" s="15" t="s">
        <v>56</v>
      </c>
      <c r="S427" s="37" t="s">
        <v>57</v>
      </c>
      <c r="T427" s="118" t="s">
        <v>65</v>
      </c>
      <c r="U427" s="47" t="s">
        <v>1262</v>
      </c>
      <c r="V427" s="23"/>
      <c r="W427" s="23"/>
      <c r="X427" s="71"/>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row>
    <row r="428" spans="1:135" ht="30" customHeight="1" thickBot="1" x14ac:dyDescent="0.3">
      <c r="A428" s="578" t="s">
        <v>4028</v>
      </c>
      <c r="B428" s="8">
        <v>6858</v>
      </c>
      <c r="C428" s="72" t="s">
        <v>4026</v>
      </c>
      <c r="D428" s="10" t="s">
        <v>24</v>
      </c>
      <c r="E428" s="11" t="s">
        <v>25</v>
      </c>
      <c r="F428" s="20" t="s">
        <v>4027</v>
      </c>
      <c r="G428" s="15" t="s">
        <v>3556</v>
      </c>
      <c r="H428" s="147" t="s">
        <v>1109</v>
      </c>
      <c r="I428" s="18" t="s">
        <v>117</v>
      </c>
      <c r="J428" s="18" t="s">
        <v>412</v>
      </c>
      <c r="K428" s="33" t="s">
        <v>4029</v>
      </c>
      <c r="L428" s="25" t="str">
        <f>"RUTL-"&amp;RIGHT(K428,8)</f>
        <v>RUTL-60821892</v>
      </c>
      <c r="M428" s="34" t="s">
        <v>40</v>
      </c>
      <c r="N428" s="23" t="s">
        <v>43</v>
      </c>
      <c r="O428" s="23"/>
      <c r="P428" s="39" t="s">
        <v>90</v>
      </c>
      <c r="Q428" s="113"/>
      <c r="R428" s="15" t="s">
        <v>1328</v>
      </c>
      <c r="S428" s="37" t="s">
        <v>57</v>
      </c>
      <c r="T428" s="105" t="s">
        <v>148</v>
      </c>
      <c r="U428" s="39" t="s">
        <v>4030</v>
      </c>
      <c r="V428" s="23"/>
      <c r="W428" s="23"/>
      <c r="X428" s="71"/>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row>
    <row r="429" spans="1:135" ht="30" customHeight="1" thickBot="1" x14ac:dyDescent="0.3">
      <c r="A429" s="578" t="s">
        <v>4063</v>
      </c>
      <c r="B429" s="8">
        <v>7107</v>
      </c>
      <c r="C429" s="72" t="s">
        <v>4061</v>
      </c>
      <c r="D429" s="15" t="s">
        <v>24</v>
      </c>
      <c r="E429" s="11" t="s">
        <v>25</v>
      </c>
      <c r="F429" s="20" t="s">
        <v>4062</v>
      </c>
      <c r="G429" s="15" t="s">
        <v>606</v>
      </c>
      <c r="H429" s="22" t="s">
        <v>1547</v>
      </c>
      <c r="I429" s="18" t="s">
        <v>117</v>
      </c>
      <c r="J429" s="18" t="s">
        <v>412</v>
      </c>
      <c r="K429" s="33" t="s">
        <v>4064</v>
      </c>
      <c r="L429" s="25" t="str">
        <f>"RUTL-"&amp;RIGHT(K429,8)</f>
        <v>RUTL-60820746</v>
      </c>
      <c r="M429" s="34" t="s">
        <v>40</v>
      </c>
      <c r="N429" s="15" t="s">
        <v>4065</v>
      </c>
      <c r="O429" s="360"/>
      <c r="P429" s="39" t="s">
        <v>90</v>
      </c>
      <c r="Q429" s="113"/>
      <c r="R429" s="15" t="s">
        <v>56</v>
      </c>
      <c r="S429" s="37" t="s">
        <v>57</v>
      </c>
      <c r="T429" s="101" t="s">
        <v>96</v>
      </c>
      <c r="U429" s="23" t="s">
        <v>4066</v>
      </c>
      <c r="V429" s="23"/>
      <c r="W429" s="23"/>
      <c r="X429" s="71"/>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row>
    <row r="430" spans="1:135" ht="30" customHeight="1" thickBot="1" x14ac:dyDescent="0.3">
      <c r="A430" s="578" t="s">
        <v>1984</v>
      </c>
      <c r="B430" s="120" t="s">
        <v>1980</v>
      </c>
      <c r="C430" s="72" t="s">
        <v>1981</v>
      </c>
      <c r="D430" s="121" t="s">
        <v>24</v>
      </c>
      <c r="E430" s="122" t="s">
        <v>25</v>
      </c>
      <c r="F430" s="20" t="s">
        <v>1982</v>
      </c>
      <c r="G430" s="15" t="s">
        <v>1983</v>
      </c>
      <c r="H430" s="17" t="s">
        <v>1846</v>
      </c>
      <c r="I430" s="18" t="s">
        <v>586</v>
      </c>
      <c r="J430" s="18" t="s">
        <v>412</v>
      </c>
      <c r="K430" s="124" t="s">
        <v>1985</v>
      </c>
      <c r="L430" s="127" t="str">
        <f>"RUTL-"&amp;RIGHT(K430,8)</f>
        <v>RUTL-60821801</v>
      </c>
      <c r="M430" s="129" t="s">
        <v>40</v>
      </c>
      <c r="N430" s="14" t="s">
        <v>43</v>
      </c>
      <c r="O430" s="14"/>
      <c r="P430" s="39" t="s">
        <v>90</v>
      </c>
      <c r="Q430" s="188" t="s">
        <v>1986</v>
      </c>
      <c r="R430" s="121" t="s">
        <v>56</v>
      </c>
      <c r="S430" s="151" t="s">
        <v>57</v>
      </c>
      <c r="T430" s="153" t="s">
        <v>560</v>
      </c>
      <c r="U430" s="138" t="s">
        <v>1987</v>
      </c>
      <c r="V430" s="14"/>
      <c r="W430" s="14"/>
      <c r="X430" s="71"/>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row>
    <row r="431" spans="1:135" ht="30" customHeight="1" thickBot="1" x14ac:dyDescent="0.3">
      <c r="A431" s="578" t="s">
        <v>5892</v>
      </c>
      <c r="B431" s="437">
        <v>14680</v>
      </c>
      <c r="C431" s="72" t="s">
        <v>5889</v>
      </c>
      <c r="D431" s="10" t="s">
        <v>5890</v>
      </c>
      <c r="E431" s="11" t="s">
        <v>25</v>
      </c>
      <c r="F431" s="20" t="s">
        <v>5891</v>
      </c>
      <c r="G431" s="15" t="s">
        <v>5614</v>
      </c>
      <c r="H431" s="291" t="s">
        <v>3268</v>
      </c>
      <c r="I431" s="18" t="s">
        <v>135</v>
      </c>
      <c r="J431" s="18" t="s">
        <v>412</v>
      </c>
      <c r="K431" s="23" t="s">
        <v>5893</v>
      </c>
      <c r="L431" s="25" t="str">
        <f>"RUTL-"&amp;RIGHT(K431,8)</f>
        <v>RUTL-60820427</v>
      </c>
      <c r="M431" s="34" t="s">
        <v>40</v>
      </c>
      <c r="N431" s="39" t="s">
        <v>5830</v>
      </c>
      <c r="O431" s="39" t="s">
        <v>5894</v>
      </c>
      <c r="P431" s="39" t="s">
        <v>90</v>
      </c>
      <c r="Q431" s="63" t="s">
        <v>5895</v>
      </c>
      <c r="R431" s="15" t="s">
        <v>56</v>
      </c>
      <c r="S431" s="37" t="s">
        <v>57</v>
      </c>
      <c r="T431" s="107" t="s">
        <v>453</v>
      </c>
      <c r="U431" s="23" t="s">
        <v>5896</v>
      </c>
      <c r="V431" s="23"/>
      <c r="W431" s="23"/>
      <c r="X431" s="71"/>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row>
    <row r="432" spans="1:135" ht="30" customHeight="1" thickBot="1" x14ac:dyDescent="0.3">
      <c r="A432" s="578" t="s">
        <v>4925</v>
      </c>
      <c r="B432" s="8">
        <v>11027</v>
      </c>
      <c r="C432" s="52" t="s">
        <v>4923</v>
      </c>
      <c r="D432" s="10" t="s">
        <v>24</v>
      </c>
      <c r="E432" s="10" t="s">
        <v>25</v>
      </c>
      <c r="F432" s="20" t="s">
        <v>4924</v>
      </c>
      <c r="G432" s="15" t="s">
        <v>1546</v>
      </c>
      <c r="H432" s="119" t="s">
        <v>370</v>
      </c>
      <c r="I432" s="18" t="s">
        <v>135</v>
      </c>
      <c r="J432" s="18" t="s">
        <v>412</v>
      </c>
      <c r="K432" s="23" t="s">
        <v>4926</v>
      </c>
      <c r="L432" s="25" t="str">
        <f>"RUTL-"&amp;RIGHT(K432,8)</f>
        <v>RUTL-60821549</v>
      </c>
      <c r="M432" s="34" t="s">
        <v>40</v>
      </c>
      <c r="N432" s="23" t="s">
        <v>43</v>
      </c>
      <c r="O432" s="23"/>
      <c r="P432" s="39" t="s">
        <v>90</v>
      </c>
      <c r="Q432" s="113"/>
      <c r="R432" s="15" t="s">
        <v>56</v>
      </c>
      <c r="S432" s="37" t="s">
        <v>57</v>
      </c>
      <c r="T432" s="369" t="s">
        <v>273</v>
      </c>
      <c r="U432" s="23" t="s">
        <v>4066</v>
      </c>
      <c r="V432" s="23"/>
      <c r="W432" s="23"/>
      <c r="X432" s="71"/>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row>
    <row r="433" spans="1:135" ht="30" customHeight="1" thickBot="1" x14ac:dyDescent="0.3">
      <c r="A433" s="578" t="s">
        <v>1095</v>
      </c>
      <c r="B433" s="8">
        <v>445</v>
      </c>
      <c r="C433" s="72" t="s">
        <v>1086</v>
      </c>
      <c r="D433" s="15" t="s">
        <v>24</v>
      </c>
      <c r="E433" s="11" t="s">
        <v>25</v>
      </c>
      <c r="F433" s="20" t="s">
        <v>1090</v>
      </c>
      <c r="G433" s="15" t="s">
        <v>1092</v>
      </c>
      <c r="H433" s="22" t="s">
        <v>197</v>
      </c>
      <c r="I433" s="18" t="s">
        <v>117</v>
      </c>
      <c r="J433" s="18" t="s">
        <v>412</v>
      </c>
      <c r="K433" s="23" t="s">
        <v>1097</v>
      </c>
      <c r="L433" s="25" t="str">
        <f>"RUTL-"&amp;RIGHT(K433,8)</f>
        <v>RUTL-60820191</v>
      </c>
      <c r="M433" s="34" t="s">
        <v>40</v>
      </c>
      <c r="N433" s="32" t="s">
        <v>43</v>
      </c>
      <c r="O433" s="32"/>
      <c r="P433" s="32"/>
      <c r="Q433" s="100"/>
      <c r="R433" s="15" t="s">
        <v>56</v>
      </c>
      <c r="S433" s="88"/>
      <c r="T433" s="88"/>
      <c r="U433" s="88">
        <v>2026</v>
      </c>
      <c r="V433" s="32"/>
      <c r="W433" s="23"/>
      <c r="X433" s="71"/>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row>
    <row r="434" spans="1:135" ht="30" customHeight="1" thickBot="1" x14ac:dyDescent="0.3">
      <c r="A434" s="578" t="s">
        <v>4832</v>
      </c>
      <c r="B434" s="16">
        <v>10596</v>
      </c>
      <c r="C434" s="72" t="s">
        <v>4830</v>
      </c>
      <c r="D434" s="10" t="s">
        <v>24</v>
      </c>
      <c r="E434" s="10" t="s">
        <v>25</v>
      </c>
      <c r="F434" s="20" t="s">
        <v>4831</v>
      </c>
      <c r="G434" s="15" t="s">
        <v>3517</v>
      </c>
      <c r="H434" s="147" t="s">
        <v>1882</v>
      </c>
      <c r="I434" s="18" t="s">
        <v>117</v>
      </c>
      <c r="J434" s="18" t="s">
        <v>412</v>
      </c>
      <c r="K434" s="23" t="s">
        <v>4833</v>
      </c>
      <c r="L434" s="25" t="str">
        <f>"RUTL-"&amp;RIGHT(K434,8)</f>
        <v>RUTL-60820054</v>
      </c>
      <c r="M434" s="34" t="s">
        <v>40</v>
      </c>
      <c r="N434" s="23" t="s">
        <v>43</v>
      </c>
      <c r="O434" s="23"/>
      <c r="P434" s="39" t="s">
        <v>90</v>
      </c>
      <c r="Q434" s="63" t="s">
        <v>4834</v>
      </c>
      <c r="R434" s="15" t="s">
        <v>56</v>
      </c>
      <c r="S434" s="37" t="s">
        <v>57</v>
      </c>
      <c r="T434" s="107" t="s">
        <v>453</v>
      </c>
      <c r="U434" s="39" t="s">
        <v>4818</v>
      </c>
      <c r="V434" s="23"/>
      <c r="W434" s="23"/>
      <c r="X434" s="71"/>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row>
    <row r="435" spans="1:135" ht="30" customHeight="1" thickBot="1" x14ac:dyDescent="0.3">
      <c r="A435" s="578" t="s">
        <v>4815</v>
      </c>
      <c r="B435" s="16">
        <v>10512</v>
      </c>
      <c r="C435" s="72" t="s">
        <v>4812</v>
      </c>
      <c r="D435" s="10" t="s">
        <v>24</v>
      </c>
      <c r="E435" s="10" t="s">
        <v>25</v>
      </c>
      <c r="F435" s="20" t="s">
        <v>4813</v>
      </c>
      <c r="G435" s="15" t="s">
        <v>4814</v>
      </c>
      <c r="H435" s="147" t="s">
        <v>1882</v>
      </c>
      <c r="I435" s="18" t="s">
        <v>117</v>
      </c>
      <c r="J435" s="18" t="s">
        <v>412</v>
      </c>
      <c r="K435" s="33" t="s">
        <v>4816</v>
      </c>
      <c r="L435" s="25" t="str">
        <f>"RUTL-"&amp;RIGHT(K435,8)</f>
        <v>RUTL-60820315</v>
      </c>
      <c r="M435" s="34" t="s">
        <v>40</v>
      </c>
      <c r="N435" s="23" t="s">
        <v>43</v>
      </c>
      <c r="O435" s="23"/>
      <c r="P435" s="39" t="s">
        <v>90</v>
      </c>
      <c r="Q435" s="63" t="s">
        <v>4817</v>
      </c>
      <c r="R435" s="15" t="s">
        <v>56</v>
      </c>
      <c r="S435" s="37" t="s">
        <v>57</v>
      </c>
      <c r="T435" s="107" t="s">
        <v>453</v>
      </c>
      <c r="U435" s="39" t="s">
        <v>4818</v>
      </c>
      <c r="V435" s="23"/>
      <c r="W435" s="23"/>
      <c r="X435" s="71"/>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row>
    <row r="436" spans="1:135" ht="30" customHeight="1" thickBot="1" x14ac:dyDescent="0.3">
      <c r="A436" s="578" t="s">
        <v>551</v>
      </c>
      <c r="B436" s="16">
        <v>243</v>
      </c>
      <c r="C436" s="72" t="s">
        <v>547</v>
      </c>
      <c r="D436" s="10" t="s">
        <v>24</v>
      </c>
      <c r="E436" s="11" t="s">
        <v>25</v>
      </c>
      <c r="F436" s="20" t="s">
        <v>549</v>
      </c>
      <c r="G436" s="15" t="s">
        <v>448</v>
      </c>
      <c r="H436" s="22" t="s">
        <v>550</v>
      </c>
      <c r="I436" s="18" t="s">
        <v>117</v>
      </c>
      <c r="J436" s="18" t="s">
        <v>412</v>
      </c>
      <c r="K436" s="23" t="s">
        <v>552</v>
      </c>
      <c r="L436" s="25" t="str">
        <f>"RUTL-"&amp;RIGHT(K436,8)</f>
        <v>RUTL-60820078</v>
      </c>
      <c r="M436" s="34" t="s">
        <v>40</v>
      </c>
      <c r="N436" s="23" t="s">
        <v>43</v>
      </c>
      <c r="O436" s="23"/>
      <c r="P436" s="39" t="s">
        <v>90</v>
      </c>
      <c r="Q436" s="63" t="s">
        <v>553</v>
      </c>
      <c r="R436" s="15" t="s">
        <v>56</v>
      </c>
      <c r="S436" s="37" t="s">
        <v>57</v>
      </c>
      <c r="T436" s="165" t="s">
        <v>554</v>
      </c>
      <c r="U436" s="39" t="s">
        <v>556</v>
      </c>
      <c r="V436" s="23"/>
      <c r="W436" s="23"/>
      <c r="X436" s="71"/>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row>
    <row r="437" spans="1:135" ht="30" customHeight="1" thickBot="1" x14ac:dyDescent="0.3">
      <c r="A437" s="578" t="s">
        <v>1624</v>
      </c>
      <c r="B437" s="8">
        <v>673</v>
      </c>
      <c r="C437" s="72" t="s">
        <v>1620</v>
      </c>
      <c r="D437" s="15" t="s">
        <v>24</v>
      </c>
      <c r="E437" s="11" t="s">
        <v>25</v>
      </c>
      <c r="F437" s="12" t="s">
        <v>1621</v>
      </c>
      <c r="G437" s="15" t="s">
        <v>1622</v>
      </c>
      <c r="H437" s="119" t="s">
        <v>370</v>
      </c>
      <c r="I437" s="18" t="s">
        <v>135</v>
      </c>
      <c r="J437" s="18" t="s">
        <v>412</v>
      </c>
      <c r="K437" s="23" t="s">
        <v>1626</v>
      </c>
      <c r="L437" s="25" t="str">
        <f>"RUTL-"&amp;RIGHT(K437,8)</f>
        <v>RUTL-60820527</v>
      </c>
      <c r="M437" s="34" t="s">
        <v>40</v>
      </c>
      <c r="N437" s="23" t="s">
        <v>43</v>
      </c>
      <c r="O437" s="23"/>
      <c r="P437" s="39" t="s">
        <v>90</v>
      </c>
      <c r="Q437" s="63" t="s">
        <v>1629</v>
      </c>
      <c r="R437" s="15" t="s">
        <v>56</v>
      </c>
      <c r="S437" s="232" t="s">
        <v>296</v>
      </c>
      <c r="T437" s="165" t="s">
        <v>1630</v>
      </c>
      <c r="U437" s="39" t="s">
        <v>1633</v>
      </c>
      <c r="V437" s="23"/>
      <c r="W437" s="23"/>
      <c r="X437" s="71"/>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row>
    <row r="438" spans="1:135" ht="30" customHeight="1" thickBot="1" x14ac:dyDescent="0.3">
      <c r="A438" s="578" t="s">
        <v>5241</v>
      </c>
      <c r="B438" s="8">
        <v>12410</v>
      </c>
      <c r="C438" s="72" t="s">
        <v>5239</v>
      </c>
      <c r="D438" s="10" t="s">
        <v>24</v>
      </c>
      <c r="E438" s="11" t="s">
        <v>25</v>
      </c>
      <c r="F438" s="20" t="s">
        <v>5240</v>
      </c>
      <c r="G438" s="15" t="s">
        <v>1521</v>
      </c>
      <c r="H438" s="18" t="s">
        <v>1398</v>
      </c>
      <c r="I438" s="18" t="s">
        <v>48</v>
      </c>
      <c r="J438" s="18" t="s">
        <v>1449</v>
      </c>
      <c r="K438" s="23" t="s">
        <v>5242</v>
      </c>
      <c r="L438" s="25" t="str">
        <f>"RUTL-"&amp;RIGHT(K438,8)</f>
        <v>RUTL-65R00421</v>
      </c>
      <c r="M438" s="34" t="s">
        <v>40</v>
      </c>
      <c r="N438" s="39" t="s">
        <v>414</v>
      </c>
      <c r="O438" s="39" t="s">
        <v>5243</v>
      </c>
      <c r="P438" s="39" t="s">
        <v>90</v>
      </c>
      <c r="Q438" s="113"/>
      <c r="R438" s="15" t="s">
        <v>56</v>
      </c>
      <c r="S438" s="37" t="s">
        <v>57</v>
      </c>
      <c r="T438" s="107" t="s">
        <v>273</v>
      </c>
      <c r="U438" s="39" t="s">
        <v>5244</v>
      </c>
      <c r="V438" s="23"/>
      <c r="W438" s="23"/>
      <c r="X438" s="71"/>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row>
    <row r="439" spans="1:135" ht="30" customHeight="1" thickBot="1" x14ac:dyDescent="0.3">
      <c r="A439" s="578" t="s">
        <v>5188</v>
      </c>
      <c r="B439" s="8">
        <v>12229</v>
      </c>
      <c r="C439" s="72" t="s">
        <v>5185</v>
      </c>
      <c r="D439" s="10" t="s">
        <v>24</v>
      </c>
      <c r="E439" s="11" t="s">
        <v>25</v>
      </c>
      <c r="F439" s="20" t="s">
        <v>5186</v>
      </c>
      <c r="G439" s="15" t="s">
        <v>5187</v>
      </c>
      <c r="H439" s="18" t="s">
        <v>1398</v>
      </c>
      <c r="I439" s="18" t="s">
        <v>48</v>
      </c>
      <c r="J439" s="18" t="s">
        <v>1449</v>
      </c>
      <c r="K439" s="23" t="s">
        <v>5189</v>
      </c>
      <c r="L439" s="25" t="str">
        <f>"RUTL-"&amp;RIGHT(K439,8)</f>
        <v>RUTL-65R00479</v>
      </c>
      <c r="M439" s="34" t="s">
        <v>40</v>
      </c>
      <c r="N439" s="23" t="s">
        <v>43</v>
      </c>
      <c r="O439" s="23"/>
      <c r="P439" s="39" t="s">
        <v>90</v>
      </c>
      <c r="Q439" s="63" t="s">
        <v>5190</v>
      </c>
      <c r="R439" s="15" t="s">
        <v>56</v>
      </c>
      <c r="S439" s="37" t="s">
        <v>57</v>
      </c>
      <c r="T439" s="107" t="s">
        <v>453</v>
      </c>
      <c r="U439" s="39" t="s">
        <v>3304</v>
      </c>
      <c r="V439" s="23"/>
      <c r="W439" s="23"/>
      <c r="X439" s="71"/>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row>
    <row r="440" spans="1:135" ht="30" customHeight="1" thickBot="1" x14ac:dyDescent="0.3">
      <c r="A440" s="578" t="s">
        <v>451</v>
      </c>
      <c r="B440" s="8">
        <v>168</v>
      </c>
      <c r="C440" s="72" t="s">
        <v>446</v>
      </c>
      <c r="D440" s="15" t="s">
        <v>24</v>
      </c>
      <c r="E440" s="11" t="s">
        <v>25</v>
      </c>
      <c r="F440" s="20" t="s">
        <v>447</v>
      </c>
      <c r="G440" s="15" t="s">
        <v>448</v>
      </c>
      <c r="H440" s="53" t="s">
        <v>450</v>
      </c>
      <c r="I440" s="18" t="s">
        <v>135</v>
      </c>
      <c r="J440" s="18" t="s">
        <v>412</v>
      </c>
      <c r="K440" s="23" t="s">
        <v>452</v>
      </c>
      <c r="L440" s="25" t="str">
        <f>"RUTL-"&amp;RIGHT(K440,8)</f>
        <v>RUTL-60821409</v>
      </c>
      <c r="M440" s="34" t="s">
        <v>40</v>
      </c>
      <c r="N440" s="23" t="s">
        <v>43</v>
      </c>
      <c r="O440" s="23"/>
      <c r="P440" s="23"/>
      <c r="Q440" s="113"/>
      <c r="R440" s="15" t="s">
        <v>56</v>
      </c>
      <c r="S440" s="23"/>
      <c r="T440" s="107" t="s">
        <v>453</v>
      </c>
      <c r="U440" s="23" t="s">
        <v>455</v>
      </c>
      <c r="V440" s="23"/>
      <c r="W440" s="23"/>
      <c r="X440" s="71"/>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row>
    <row r="441" spans="1:135" ht="30" customHeight="1" thickBot="1" x14ac:dyDescent="0.3">
      <c r="A441" s="578" t="s">
        <v>3949</v>
      </c>
      <c r="B441" s="51">
        <v>6591</v>
      </c>
      <c r="C441" s="72" t="s">
        <v>3946</v>
      </c>
      <c r="D441" s="10" t="s">
        <v>24</v>
      </c>
      <c r="E441" s="122" t="s">
        <v>25</v>
      </c>
      <c r="F441" s="20" t="s">
        <v>3947</v>
      </c>
      <c r="G441" s="15" t="s">
        <v>3948</v>
      </c>
      <c r="H441" s="147" t="s">
        <v>1477</v>
      </c>
      <c r="I441" s="18" t="s">
        <v>117</v>
      </c>
      <c r="J441" s="18" t="s">
        <v>412</v>
      </c>
      <c r="K441" s="33" t="s">
        <v>3950</v>
      </c>
      <c r="L441" s="25" t="str">
        <f>"RUTL-"&amp;RIGHT(K441,8)</f>
        <v>RUTL-60820719</v>
      </c>
      <c r="M441" s="129" t="s">
        <v>40</v>
      </c>
      <c r="N441" s="14" t="s">
        <v>43</v>
      </c>
      <c r="O441" s="14"/>
      <c r="P441" s="39" t="s">
        <v>90</v>
      </c>
      <c r="Q441" s="14" t="s">
        <v>3951</v>
      </c>
      <c r="R441" s="121" t="s">
        <v>56</v>
      </c>
      <c r="S441" s="151" t="s">
        <v>57</v>
      </c>
      <c r="T441" s="153" t="s">
        <v>560</v>
      </c>
      <c r="U441" s="39" t="s">
        <v>3952</v>
      </c>
      <c r="V441" s="14"/>
      <c r="W441" s="14"/>
      <c r="X441" s="71"/>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row>
    <row r="442" spans="1:135" ht="30" customHeight="1" thickBot="1" x14ac:dyDescent="0.3">
      <c r="A442" s="578" t="s">
        <v>5025</v>
      </c>
      <c r="B442" s="16">
        <v>11404</v>
      </c>
      <c r="C442" s="52" t="s">
        <v>5023</v>
      </c>
      <c r="D442" s="10" t="s">
        <v>24</v>
      </c>
      <c r="E442" s="11" t="s">
        <v>25</v>
      </c>
      <c r="F442" s="20" t="s">
        <v>5024</v>
      </c>
      <c r="G442" s="15" t="s">
        <v>2565</v>
      </c>
      <c r="H442" s="147" t="s">
        <v>1477</v>
      </c>
      <c r="I442" s="18" t="s">
        <v>117</v>
      </c>
      <c r="J442" s="18" t="s">
        <v>412</v>
      </c>
      <c r="K442" s="23" t="s">
        <v>5026</v>
      </c>
      <c r="L442" s="25" t="str">
        <f>"RUTL-"&amp;RIGHT(K442,8)</f>
        <v>RUTL-60821136</v>
      </c>
      <c r="M442" s="34" t="s">
        <v>40</v>
      </c>
      <c r="N442" s="23" t="s">
        <v>43</v>
      </c>
      <c r="O442" s="23"/>
      <c r="P442" s="39" t="s">
        <v>90</v>
      </c>
      <c r="Q442" s="63" t="s">
        <v>5027</v>
      </c>
      <c r="R442" s="15" t="s">
        <v>56</v>
      </c>
      <c r="S442" s="37" t="s">
        <v>57</v>
      </c>
      <c r="T442" s="87" t="s">
        <v>273</v>
      </c>
      <c r="U442" s="39" t="s">
        <v>1201</v>
      </c>
      <c r="V442" s="23"/>
      <c r="W442" s="23"/>
      <c r="X442" s="71"/>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row>
    <row r="443" spans="1:135" ht="30" customHeight="1" thickBot="1" x14ac:dyDescent="0.3">
      <c r="A443" s="578" t="s">
        <v>1223</v>
      </c>
      <c r="B443" s="8">
        <v>495</v>
      </c>
      <c r="C443" s="52" t="s">
        <v>1218</v>
      </c>
      <c r="D443" s="15" t="s">
        <v>24</v>
      </c>
      <c r="E443" s="11" t="s">
        <v>25</v>
      </c>
      <c r="F443" s="12" t="s">
        <v>1220</v>
      </c>
      <c r="G443" s="15" t="s">
        <v>1137</v>
      </c>
      <c r="H443" s="22" t="s">
        <v>1221</v>
      </c>
      <c r="I443" s="18" t="s">
        <v>117</v>
      </c>
      <c r="J443" s="18" t="s">
        <v>412</v>
      </c>
      <c r="K443" s="23" t="s">
        <v>1225</v>
      </c>
      <c r="L443" s="25" t="str">
        <f>"RUTL-"&amp;RIGHT(K443,8)</f>
        <v>RUTL-60820350</v>
      </c>
      <c r="M443" s="34" t="s">
        <v>40</v>
      </c>
      <c r="N443" s="32" t="s">
        <v>54</v>
      </c>
      <c r="O443" s="23"/>
      <c r="P443" s="39" t="s">
        <v>90</v>
      </c>
      <c r="Q443" s="63" t="s">
        <v>1229</v>
      </c>
      <c r="R443" s="15" t="s">
        <v>56</v>
      </c>
      <c r="S443" s="37" t="s">
        <v>180</v>
      </c>
      <c r="T443" s="107" t="s">
        <v>453</v>
      </c>
      <c r="U443" s="23" t="s">
        <v>605</v>
      </c>
      <c r="V443" s="23"/>
      <c r="W443" s="23"/>
      <c r="X443" s="71"/>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row>
    <row r="444" spans="1:135" ht="30" customHeight="1" thickBot="1" x14ac:dyDescent="0.3">
      <c r="A444" s="578" t="s">
        <v>4872</v>
      </c>
      <c r="B444" s="8">
        <v>10857</v>
      </c>
      <c r="C444" s="72" t="s">
        <v>4870</v>
      </c>
      <c r="D444" s="10" t="s">
        <v>24</v>
      </c>
      <c r="E444" s="10" t="s">
        <v>25</v>
      </c>
      <c r="F444" s="20" t="s">
        <v>4871</v>
      </c>
      <c r="G444" s="15" t="s">
        <v>3993</v>
      </c>
      <c r="H444" s="53" t="s">
        <v>1319</v>
      </c>
      <c r="I444" s="18" t="s">
        <v>135</v>
      </c>
      <c r="J444" s="18" t="s">
        <v>412</v>
      </c>
      <c r="K444" s="23" t="s">
        <v>4873</v>
      </c>
      <c r="L444" s="25" t="str">
        <f>"RUTL-"&amp;RIGHT(K444,8)</f>
        <v>RUTL-60820575</v>
      </c>
      <c r="M444" s="34" t="s">
        <v>40</v>
      </c>
      <c r="N444" s="23" t="s">
        <v>43</v>
      </c>
      <c r="O444" s="23"/>
      <c r="P444" s="39" t="s">
        <v>90</v>
      </c>
      <c r="Q444" s="63" t="s">
        <v>4874</v>
      </c>
      <c r="R444" s="15" t="s">
        <v>56</v>
      </c>
      <c r="S444" s="37" t="s">
        <v>57</v>
      </c>
      <c r="T444" s="165" t="s">
        <v>273</v>
      </c>
      <c r="U444" s="39" t="s">
        <v>4875</v>
      </c>
      <c r="V444" s="23"/>
      <c r="W444" s="23"/>
      <c r="X444" s="71"/>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row>
    <row r="445" spans="1:135" ht="30" customHeight="1" thickBot="1" x14ac:dyDescent="0.3">
      <c r="A445" s="578" t="s">
        <v>4516</v>
      </c>
      <c r="B445" s="16">
        <v>8998</v>
      </c>
      <c r="C445" s="72" t="s">
        <v>4514</v>
      </c>
      <c r="D445" s="10" t="s">
        <v>24</v>
      </c>
      <c r="E445" s="11" t="s">
        <v>25</v>
      </c>
      <c r="F445" s="20" t="s">
        <v>4515</v>
      </c>
      <c r="G445" s="15" t="s">
        <v>3993</v>
      </c>
      <c r="H445" s="53" t="s">
        <v>1319</v>
      </c>
      <c r="I445" s="18" t="s">
        <v>135</v>
      </c>
      <c r="J445" s="18" t="s">
        <v>412</v>
      </c>
      <c r="K445" s="33" t="s">
        <v>4517</v>
      </c>
      <c r="L445" s="25" t="str">
        <f>"RUTL-"&amp;RIGHT(K445,8)</f>
        <v>RUTL-60820729</v>
      </c>
      <c r="M445" s="34" t="s">
        <v>40</v>
      </c>
      <c r="N445" s="23" t="s">
        <v>43</v>
      </c>
      <c r="O445" s="23"/>
      <c r="P445" s="23"/>
      <c r="Q445" s="113"/>
      <c r="R445" s="15" t="s">
        <v>56</v>
      </c>
      <c r="S445" s="37" t="s">
        <v>57</v>
      </c>
      <c r="T445" s="107" t="s">
        <v>453</v>
      </c>
      <c r="U445" s="39" t="s">
        <v>2327</v>
      </c>
      <c r="V445" s="23"/>
      <c r="W445" s="23"/>
      <c r="X445" s="71"/>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row>
    <row r="446" spans="1:135" ht="30" customHeight="1" thickBot="1" x14ac:dyDescent="0.3">
      <c r="A446" s="578" t="s">
        <v>4837</v>
      </c>
      <c r="B446" s="16">
        <v>10647</v>
      </c>
      <c r="C446" s="72" t="s">
        <v>4835</v>
      </c>
      <c r="D446" s="10" t="s">
        <v>24</v>
      </c>
      <c r="E446" s="10" t="s">
        <v>25</v>
      </c>
      <c r="F446" s="12" t="s">
        <v>4836</v>
      </c>
      <c r="G446" s="15" t="s">
        <v>3993</v>
      </c>
      <c r="H446" s="53" t="s">
        <v>1319</v>
      </c>
      <c r="I446" s="18" t="s">
        <v>135</v>
      </c>
      <c r="J446" s="18" t="s">
        <v>412</v>
      </c>
      <c r="K446" s="23" t="s">
        <v>4838</v>
      </c>
      <c r="L446" s="25" t="str">
        <f>"RUTL-"&amp;RIGHT(K446,8)</f>
        <v>RUTL-60821884</v>
      </c>
      <c r="M446" s="34" t="s">
        <v>40</v>
      </c>
      <c r="N446" s="23" t="s">
        <v>43</v>
      </c>
      <c r="O446" s="23"/>
      <c r="P446" s="23"/>
      <c r="Q446" s="113"/>
      <c r="R446" s="15" t="s">
        <v>56</v>
      </c>
      <c r="S446" s="37" t="s">
        <v>57</v>
      </c>
      <c r="T446" s="101" t="s">
        <v>96</v>
      </c>
      <c r="U446" s="39" t="s">
        <v>2327</v>
      </c>
      <c r="V446" s="23"/>
      <c r="W446" s="23"/>
      <c r="X446" s="71"/>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row>
    <row r="447" spans="1:135" ht="30" customHeight="1" thickBot="1" x14ac:dyDescent="0.3">
      <c r="A447" s="578" t="s">
        <v>2374</v>
      </c>
      <c r="B447" s="8">
        <v>1086</v>
      </c>
      <c r="C447" s="52" t="s">
        <v>2371</v>
      </c>
      <c r="D447" s="15" t="s">
        <v>24</v>
      </c>
      <c r="E447" s="11" t="s">
        <v>25</v>
      </c>
      <c r="F447" s="20" t="s">
        <v>2372</v>
      </c>
      <c r="G447" s="15" t="s">
        <v>2373</v>
      </c>
      <c r="H447" s="17" t="s">
        <v>1154</v>
      </c>
      <c r="I447" s="18" t="s">
        <v>257</v>
      </c>
      <c r="J447" s="18" t="s">
        <v>412</v>
      </c>
      <c r="K447" s="23" t="s">
        <v>2375</v>
      </c>
      <c r="L447" s="25" t="str">
        <f>"RUTL-"&amp;RIGHT(K447,8)</f>
        <v>RUTL-60820119</v>
      </c>
      <c r="M447" s="34" t="s">
        <v>40</v>
      </c>
      <c r="N447" s="23" t="s">
        <v>2376</v>
      </c>
      <c r="O447" s="23"/>
      <c r="P447" s="39" t="s">
        <v>90</v>
      </c>
      <c r="Q447" s="63" t="s">
        <v>2377</v>
      </c>
      <c r="R447" s="15" t="s">
        <v>56</v>
      </c>
      <c r="S447" s="37" t="s">
        <v>57</v>
      </c>
      <c r="T447" s="105" t="s">
        <v>148</v>
      </c>
      <c r="U447" s="23" t="s">
        <v>1887</v>
      </c>
      <c r="V447" s="23"/>
      <c r="W447" s="23"/>
      <c r="X447" s="71"/>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row>
    <row r="448" spans="1:135" ht="30" customHeight="1" thickBot="1" x14ac:dyDescent="0.3">
      <c r="A448" s="578" t="s">
        <v>2130</v>
      </c>
      <c r="B448" s="51">
        <v>897</v>
      </c>
      <c r="C448" s="72" t="s">
        <v>2126</v>
      </c>
      <c r="D448" s="15" t="s">
        <v>24</v>
      </c>
      <c r="E448" s="11" t="s">
        <v>25</v>
      </c>
      <c r="F448" s="20" t="s">
        <v>2128</v>
      </c>
      <c r="G448" s="15" t="s">
        <v>2129</v>
      </c>
      <c r="H448" s="17" t="s">
        <v>891</v>
      </c>
      <c r="I448" s="18" t="s">
        <v>135</v>
      </c>
      <c r="J448" s="18" t="s">
        <v>412</v>
      </c>
      <c r="K448" s="23" t="s">
        <v>2131</v>
      </c>
      <c r="L448" s="25" t="str">
        <f>"RUTL-"&amp;RIGHT(K448,8)</f>
        <v>RUTL-60821580</v>
      </c>
      <c r="M448" s="34" t="s">
        <v>40</v>
      </c>
      <c r="N448" s="23" t="s">
        <v>2095</v>
      </c>
      <c r="O448" s="23"/>
      <c r="P448" s="23"/>
      <c r="Q448" s="113"/>
      <c r="R448" s="15" t="s">
        <v>235</v>
      </c>
      <c r="S448" s="23"/>
      <c r="T448" s="23"/>
      <c r="U448" s="23" t="s">
        <v>2133</v>
      </c>
      <c r="V448" s="23"/>
      <c r="W448" s="23"/>
      <c r="X448" s="71"/>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row>
    <row r="449" spans="1:135" ht="30" customHeight="1" thickBot="1" x14ac:dyDescent="0.3">
      <c r="A449" s="578" t="s">
        <v>5529</v>
      </c>
      <c r="B449" s="8">
        <v>13124</v>
      </c>
      <c r="C449" s="72" t="s">
        <v>5527</v>
      </c>
      <c r="D449" s="10" t="s">
        <v>24</v>
      </c>
      <c r="E449" s="11" t="s">
        <v>25</v>
      </c>
      <c r="F449" s="20" t="s">
        <v>5528</v>
      </c>
      <c r="G449" s="15" t="s">
        <v>4580</v>
      </c>
      <c r="H449" s="104" t="s">
        <v>4678</v>
      </c>
      <c r="I449" s="18" t="s">
        <v>117</v>
      </c>
      <c r="J449" s="18" t="s">
        <v>412</v>
      </c>
      <c r="K449" s="23" t="s">
        <v>5530</v>
      </c>
      <c r="L449" s="25" t="str">
        <f>"RUTL-"&amp;RIGHT(K449,8)</f>
        <v>RUTL-60820975</v>
      </c>
      <c r="M449" s="34" t="s">
        <v>40</v>
      </c>
      <c r="N449" s="23" t="s">
        <v>43</v>
      </c>
      <c r="O449" s="23"/>
      <c r="P449" s="39" t="s">
        <v>90</v>
      </c>
      <c r="Q449" s="63" t="s">
        <v>5531</v>
      </c>
      <c r="R449" s="15" t="s">
        <v>56</v>
      </c>
      <c r="S449" s="37" t="s">
        <v>57</v>
      </c>
      <c r="T449" s="105" t="s">
        <v>148</v>
      </c>
      <c r="U449" s="39" t="s">
        <v>5532</v>
      </c>
      <c r="V449" s="23"/>
      <c r="W449" s="23"/>
      <c r="X449" s="71"/>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row>
    <row r="450" spans="1:135" ht="30" customHeight="1" thickBot="1" x14ac:dyDescent="0.3">
      <c r="A450" s="578" t="s">
        <v>2693</v>
      </c>
      <c r="B450" s="177" t="s">
        <v>2685</v>
      </c>
      <c r="C450" s="52" t="s">
        <v>2686</v>
      </c>
      <c r="D450" s="15" t="s">
        <v>24</v>
      </c>
      <c r="E450" s="11" t="s">
        <v>25</v>
      </c>
      <c r="F450" s="20" t="s">
        <v>2687</v>
      </c>
      <c r="G450" s="15" t="s">
        <v>2688</v>
      </c>
      <c r="H450" s="336" t="s">
        <v>1109</v>
      </c>
      <c r="I450" s="18" t="s">
        <v>38</v>
      </c>
      <c r="J450" s="24" t="s">
        <v>412</v>
      </c>
      <c r="K450" s="124" t="s">
        <v>2696</v>
      </c>
      <c r="L450" s="127" t="s">
        <v>2698</v>
      </c>
      <c r="M450" s="42" t="s">
        <v>40</v>
      </c>
      <c r="N450" s="32" t="s">
        <v>54</v>
      </c>
      <c r="O450" s="117"/>
      <c r="P450" s="90" t="s">
        <v>90</v>
      </c>
      <c r="Q450" s="117"/>
      <c r="R450" s="121" t="s">
        <v>56</v>
      </c>
      <c r="S450" s="40" t="s">
        <v>57</v>
      </c>
      <c r="T450" s="68" t="s">
        <v>2700</v>
      </c>
      <c r="U450" s="83" t="s">
        <v>2701</v>
      </c>
      <c r="V450" s="117"/>
      <c r="W450" s="117"/>
      <c r="X450" s="71"/>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row>
    <row r="451" spans="1:135" ht="30" customHeight="1" thickBot="1" x14ac:dyDescent="0.3">
      <c r="A451" s="578" t="s">
        <v>7028</v>
      </c>
      <c r="B451" s="51">
        <v>17227</v>
      </c>
      <c r="C451" s="72" t="s">
        <v>7026</v>
      </c>
      <c r="D451" s="10" t="s">
        <v>24</v>
      </c>
      <c r="E451" s="11" t="s">
        <v>25</v>
      </c>
      <c r="F451" s="20" t="s">
        <v>7027</v>
      </c>
      <c r="G451" s="15" t="s">
        <v>2384</v>
      </c>
      <c r="H451" s="291" t="s">
        <v>2294</v>
      </c>
      <c r="I451" s="24" t="s">
        <v>135</v>
      </c>
      <c r="J451" s="24" t="s">
        <v>412</v>
      </c>
      <c r="K451" s="23" t="s">
        <v>7029</v>
      </c>
      <c r="L451" s="25" t="str">
        <f>"RUTL-"&amp;RIGHT(K451,8)</f>
        <v>RUTL-60821215</v>
      </c>
      <c r="M451" s="34" t="s">
        <v>40</v>
      </c>
      <c r="N451" s="23" t="s">
        <v>54</v>
      </c>
      <c r="O451" s="23"/>
      <c r="P451" s="39" t="s">
        <v>90</v>
      </c>
      <c r="Q451" s="113"/>
      <c r="R451" s="15" t="s">
        <v>56</v>
      </c>
      <c r="S451" s="37" t="s">
        <v>57</v>
      </c>
      <c r="T451" s="118" t="s">
        <v>65</v>
      </c>
      <c r="U451" s="23" t="s">
        <v>6980</v>
      </c>
      <c r="V451" s="23"/>
      <c r="W451" s="23"/>
      <c r="X451" s="71"/>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row>
    <row r="452" spans="1:135" ht="30" customHeight="1" thickBot="1" x14ac:dyDescent="0.3">
      <c r="A452" s="578" t="s">
        <v>4752</v>
      </c>
      <c r="B452" s="16">
        <v>9847</v>
      </c>
      <c r="C452" s="72" t="s">
        <v>4749</v>
      </c>
      <c r="D452" s="10" t="s">
        <v>24</v>
      </c>
      <c r="E452" s="11" t="s">
        <v>25</v>
      </c>
      <c r="F452" s="20" t="s">
        <v>4750</v>
      </c>
      <c r="G452" s="15" t="s">
        <v>4751</v>
      </c>
      <c r="H452" s="104" t="s">
        <v>349</v>
      </c>
      <c r="I452" s="18" t="s">
        <v>135</v>
      </c>
      <c r="J452" s="18" t="s">
        <v>412</v>
      </c>
      <c r="K452" s="33" t="s">
        <v>4753</v>
      </c>
      <c r="L452" s="25" t="str">
        <f>"RUTL-"&amp;RIGHT(K452,8)</f>
        <v>RUTL-60820471</v>
      </c>
      <c r="M452" s="34" t="s">
        <v>40</v>
      </c>
      <c r="N452" s="23" t="s">
        <v>43</v>
      </c>
      <c r="O452" s="23"/>
      <c r="P452" s="23"/>
      <c r="Q452" s="113"/>
      <c r="R452" s="15" t="s">
        <v>56</v>
      </c>
      <c r="S452" s="37" t="s">
        <v>57</v>
      </c>
      <c r="T452" s="107" t="s">
        <v>453</v>
      </c>
      <c r="U452" s="39" t="s">
        <v>4754</v>
      </c>
      <c r="V452" s="23"/>
      <c r="W452" s="23"/>
      <c r="X452" s="71"/>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row>
    <row r="453" spans="1:135" ht="30" customHeight="1" thickBot="1" x14ac:dyDescent="0.3">
      <c r="A453" s="578" t="s">
        <v>5264</v>
      </c>
      <c r="B453" s="8">
        <v>12486</v>
      </c>
      <c r="C453" s="52" t="s">
        <v>5262</v>
      </c>
      <c r="D453" s="10" t="s">
        <v>24</v>
      </c>
      <c r="E453" s="11" t="s">
        <v>25</v>
      </c>
      <c r="F453" s="20" t="s">
        <v>5263</v>
      </c>
      <c r="G453" s="15" t="s">
        <v>5149</v>
      </c>
      <c r="H453" s="104" t="s">
        <v>486</v>
      </c>
      <c r="I453" s="18" t="s">
        <v>135</v>
      </c>
      <c r="J453" s="18" t="s">
        <v>412</v>
      </c>
      <c r="K453" s="23" t="s">
        <v>5265</v>
      </c>
      <c r="L453" s="25" t="str">
        <f>"RUTL-"&amp;RIGHT(K453,8)</f>
        <v>RUTL-60821489</v>
      </c>
      <c r="M453" s="34" t="s">
        <v>40</v>
      </c>
      <c r="N453" s="23" t="s">
        <v>43</v>
      </c>
      <c r="O453" s="23"/>
      <c r="P453" s="39" t="s">
        <v>90</v>
      </c>
      <c r="Q453" s="63" t="s">
        <v>5266</v>
      </c>
      <c r="R453" s="15" t="s">
        <v>56</v>
      </c>
      <c r="S453" s="37" t="s">
        <v>57</v>
      </c>
      <c r="T453" s="101" t="s">
        <v>96</v>
      </c>
      <c r="U453" s="39" t="s">
        <v>5267</v>
      </c>
      <c r="V453" s="23"/>
      <c r="W453" s="23"/>
      <c r="X453" s="71"/>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row>
    <row r="454" spans="1:135" ht="30" customHeight="1" thickBot="1" x14ac:dyDescent="0.3">
      <c r="A454" s="578" t="s">
        <v>4581</v>
      </c>
      <c r="B454" s="16">
        <v>9266</v>
      </c>
      <c r="C454" s="72" t="s">
        <v>4578</v>
      </c>
      <c r="D454" s="10" t="s">
        <v>24</v>
      </c>
      <c r="E454" s="11" t="s">
        <v>25</v>
      </c>
      <c r="F454" s="20" t="s">
        <v>4579</v>
      </c>
      <c r="G454" s="15" t="s">
        <v>4580</v>
      </c>
      <c r="H454" s="104" t="s">
        <v>349</v>
      </c>
      <c r="I454" s="18" t="s">
        <v>135</v>
      </c>
      <c r="J454" s="18" t="s">
        <v>412</v>
      </c>
      <c r="K454" s="33" t="s">
        <v>4582</v>
      </c>
      <c r="L454" s="25" t="str">
        <f>"RUTL-"&amp;RIGHT(K454,8)</f>
        <v>RUTL-60820026</v>
      </c>
      <c r="M454" s="34" t="s">
        <v>40</v>
      </c>
      <c r="N454" s="23" t="s">
        <v>43</v>
      </c>
      <c r="O454" s="23"/>
      <c r="P454" s="39" t="s">
        <v>90</v>
      </c>
      <c r="Q454" s="113"/>
      <c r="R454" s="15" t="s">
        <v>56</v>
      </c>
      <c r="S454" s="37" t="s">
        <v>57</v>
      </c>
      <c r="T454" s="165" t="s">
        <v>273</v>
      </c>
      <c r="U454" s="39" t="s">
        <v>4583</v>
      </c>
      <c r="V454" s="23"/>
      <c r="W454" s="23"/>
      <c r="X454" s="71"/>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row>
    <row r="455" spans="1:135" ht="30" customHeight="1" thickBot="1" x14ac:dyDescent="0.3">
      <c r="A455" s="578" t="s">
        <v>2227</v>
      </c>
      <c r="B455" s="444">
        <v>6731</v>
      </c>
      <c r="C455" s="456" t="s">
        <v>2223</v>
      </c>
      <c r="D455" s="10" t="s">
        <v>2224</v>
      </c>
      <c r="E455" s="11" t="s">
        <v>25</v>
      </c>
      <c r="F455" s="20" t="s">
        <v>2225</v>
      </c>
      <c r="G455" s="15" t="s">
        <v>2226</v>
      </c>
      <c r="H455" s="17" t="s">
        <v>470</v>
      </c>
      <c r="I455" s="18" t="s">
        <v>38</v>
      </c>
      <c r="J455" s="18" t="s">
        <v>412</v>
      </c>
      <c r="K455" s="124" t="s">
        <v>2228</v>
      </c>
      <c r="L455" s="127" t="str">
        <f>"RUTL-"&amp;RIGHT(K455,8)</f>
        <v>RUTL-60820030</v>
      </c>
      <c r="M455" s="144" t="s">
        <v>40</v>
      </c>
      <c r="N455" s="515" t="s">
        <v>414</v>
      </c>
      <c r="O455" s="515" t="s">
        <v>2229</v>
      </c>
      <c r="P455" s="515" t="s">
        <v>90</v>
      </c>
      <c r="Q455" s="495"/>
      <c r="R455" s="492" t="s">
        <v>56</v>
      </c>
      <c r="S455" s="544" t="s">
        <v>57</v>
      </c>
      <c r="T455" s="552" t="s">
        <v>2230</v>
      </c>
      <c r="U455" s="47" t="s">
        <v>2231</v>
      </c>
      <c r="V455" s="493"/>
      <c r="W455" s="493"/>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row>
    <row r="456" spans="1:135" ht="30" customHeight="1" thickBot="1" x14ac:dyDescent="0.3">
      <c r="A456" s="578" t="s">
        <v>683</v>
      </c>
      <c r="B456" s="8">
        <v>284</v>
      </c>
      <c r="C456" s="72" t="s">
        <v>678</v>
      </c>
      <c r="D456" s="15" t="s">
        <v>24</v>
      </c>
      <c r="E456" s="11" t="s">
        <v>25</v>
      </c>
      <c r="F456" s="20" t="s">
        <v>680</v>
      </c>
      <c r="G456" s="15" t="s">
        <v>681</v>
      </c>
      <c r="H456" s="17" t="s">
        <v>682</v>
      </c>
      <c r="I456" s="18" t="s">
        <v>135</v>
      </c>
      <c r="J456" s="18" t="s">
        <v>412</v>
      </c>
      <c r="K456" s="23" t="s">
        <v>684</v>
      </c>
      <c r="L456" s="25" t="str">
        <f>"RUTL-"&amp;RIGHT(K456,8)</f>
        <v>RUTL-60820454</v>
      </c>
      <c r="M456" s="34" t="s">
        <v>40</v>
      </c>
      <c r="N456" s="23" t="s">
        <v>43</v>
      </c>
      <c r="O456" s="23"/>
      <c r="P456" s="39" t="s">
        <v>90</v>
      </c>
      <c r="Q456" s="63" t="s">
        <v>685</v>
      </c>
      <c r="R456" s="15" t="s">
        <v>56</v>
      </c>
      <c r="S456" s="37" t="s">
        <v>57</v>
      </c>
      <c r="T456" s="105" t="s">
        <v>148</v>
      </c>
      <c r="U456" s="39" t="s">
        <v>686</v>
      </c>
      <c r="V456" s="23"/>
      <c r="W456" s="23"/>
      <c r="X456" s="71"/>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row>
    <row r="457" spans="1:135" ht="30" customHeight="1" thickBot="1" x14ac:dyDescent="0.3">
      <c r="A457" s="578" t="s">
        <v>3330</v>
      </c>
      <c r="B457" s="8">
        <v>3317</v>
      </c>
      <c r="C457" s="69" t="s">
        <v>3327</v>
      </c>
      <c r="D457" s="10" t="s">
        <v>24</v>
      </c>
      <c r="E457" s="11" t="s">
        <v>25</v>
      </c>
      <c r="F457" s="20" t="s">
        <v>3328</v>
      </c>
      <c r="G457" s="15" t="s">
        <v>3329</v>
      </c>
      <c r="H457" s="102" t="s">
        <v>2956</v>
      </c>
      <c r="I457" s="18" t="s">
        <v>135</v>
      </c>
      <c r="J457" s="18" t="s">
        <v>121</v>
      </c>
      <c r="K457" s="33" t="s">
        <v>3331</v>
      </c>
      <c r="L457" s="25" t="str">
        <f>"RUTL-"&amp;RIGHT(K457,8)</f>
        <v>RUTL-02103193</v>
      </c>
      <c r="M457" s="34" t="s">
        <v>40</v>
      </c>
      <c r="N457" s="23" t="s">
        <v>43</v>
      </c>
      <c r="O457" s="23"/>
      <c r="P457" s="346"/>
      <c r="Q457" s="63" t="s">
        <v>3332</v>
      </c>
      <c r="R457" s="15" t="s">
        <v>56</v>
      </c>
      <c r="S457" s="40" t="s">
        <v>57</v>
      </c>
      <c r="T457" s="101" t="s">
        <v>96</v>
      </c>
      <c r="U457" s="39" t="s">
        <v>3333</v>
      </c>
      <c r="V457" s="23"/>
      <c r="W457" s="23"/>
      <c r="X457" s="71"/>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row>
    <row r="458" spans="1:135" ht="30" customHeight="1" thickBot="1" x14ac:dyDescent="0.3">
      <c r="A458" s="578" t="s">
        <v>1323</v>
      </c>
      <c r="B458" s="16" t="s">
        <v>1311</v>
      </c>
      <c r="C458" s="72" t="s">
        <v>1314</v>
      </c>
      <c r="D458" s="10" t="s">
        <v>24</v>
      </c>
      <c r="E458" s="11" t="s">
        <v>25</v>
      </c>
      <c r="F458" s="12" t="s">
        <v>1317</v>
      </c>
      <c r="G458" s="15" t="s">
        <v>1318</v>
      </c>
      <c r="H458" s="102" t="s">
        <v>97</v>
      </c>
      <c r="I458" s="18" t="s">
        <v>1321</v>
      </c>
      <c r="J458" s="18" t="s">
        <v>121</v>
      </c>
      <c r="K458" s="23" t="s">
        <v>1324</v>
      </c>
      <c r="L458" s="21" t="str">
        <f>"RUTL-"&amp;RIGHT(K458,8)</f>
        <v>RUTL-02103063</v>
      </c>
      <c r="M458" s="34" t="s">
        <v>40</v>
      </c>
      <c r="N458" s="23" t="s">
        <v>43</v>
      </c>
      <c r="O458" s="23"/>
      <c r="P458" s="39" t="s">
        <v>90</v>
      </c>
      <c r="Q458" s="63" t="s">
        <v>1330</v>
      </c>
      <c r="R458" s="15" t="s">
        <v>56</v>
      </c>
      <c r="S458" s="21" t="s">
        <v>57</v>
      </c>
      <c r="T458" s="107" t="s">
        <v>453</v>
      </c>
      <c r="U458" s="39" t="s">
        <v>1334</v>
      </c>
      <c r="V458" s="23"/>
      <c r="W458" s="23"/>
      <c r="X458" s="71"/>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row>
    <row r="459" spans="1:135" ht="30" customHeight="1" thickBot="1" x14ac:dyDescent="0.3">
      <c r="A459" s="578" t="s">
        <v>1184</v>
      </c>
      <c r="B459" s="8">
        <v>476</v>
      </c>
      <c r="C459" s="72" t="s">
        <v>1179</v>
      </c>
      <c r="D459" s="15" t="s">
        <v>24</v>
      </c>
      <c r="E459" s="11" t="s">
        <v>25</v>
      </c>
      <c r="F459" s="20" t="s">
        <v>1181</v>
      </c>
      <c r="G459" s="15" t="s">
        <v>1183</v>
      </c>
      <c r="H459" s="119" t="s">
        <v>1071</v>
      </c>
      <c r="I459" s="18" t="s">
        <v>135</v>
      </c>
      <c r="J459" s="18" t="s">
        <v>121</v>
      </c>
      <c r="K459" s="23" t="s">
        <v>1188</v>
      </c>
      <c r="L459" s="25" t="str">
        <f>"RUTL-"&amp;RIGHT(K459,8)</f>
        <v>RUTL-02103178</v>
      </c>
      <c r="M459" s="34" t="s">
        <v>40</v>
      </c>
      <c r="N459" s="23" t="s">
        <v>1018</v>
      </c>
      <c r="O459" s="23"/>
      <c r="P459" s="39" t="s">
        <v>90</v>
      </c>
      <c r="Q459" s="63" t="s">
        <v>1190</v>
      </c>
      <c r="R459" s="15" t="s">
        <v>56</v>
      </c>
      <c r="S459" s="41" t="s">
        <v>296</v>
      </c>
      <c r="T459" s="105" t="s">
        <v>148</v>
      </c>
      <c r="U459" s="39" t="s">
        <v>1192</v>
      </c>
      <c r="V459" s="23"/>
      <c r="W459" s="23"/>
      <c r="X459" s="71"/>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row>
    <row r="460" spans="1:135" ht="30" customHeight="1" thickBot="1" x14ac:dyDescent="0.3">
      <c r="A460" s="578" t="s">
        <v>653</v>
      </c>
      <c r="B460" s="8">
        <v>281</v>
      </c>
      <c r="C460" s="72" t="s">
        <v>646</v>
      </c>
      <c r="D460" s="15" t="s">
        <v>24</v>
      </c>
      <c r="E460" s="11" t="s">
        <v>25</v>
      </c>
      <c r="F460" s="20" t="s">
        <v>649</v>
      </c>
      <c r="G460" s="15" t="s">
        <v>651</v>
      </c>
      <c r="H460" s="119" t="s">
        <v>312</v>
      </c>
      <c r="I460" s="18" t="s">
        <v>117</v>
      </c>
      <c r="J460" s="18" t="s">
        <v>121</v>
      </c>
      <c r="K460" s="23" t="s">
        <v>656</v>
      </c>
      <c r="L460" s="25" t="str">
        <f>"RUTL-"&amp;RIGHT(K460,8)</f>
        <v>RUTL-02103038</v>
      </c>
      <c r="M460" s="34" t="s">
        <v>40</v>
      </c>
      <c r="N460" s="23" t="s">
        <v>660</v>
      </c>
      <c r="O460" s="23"/>
      <c r="P460" s="39" t="s">
        <v>90</v>
      </c>
      <c r="Q460" s="63" t="s">
        <v>665</v>
      </c>
      <c r="R460" s="15" t="s">
        <v>56</v>
      </c>
      <c r="S460" s="41" t="s">
        <v>296</v>
      </c>
      <c r="T460" s="101" t="s">
        <v>96</v>
      </c>
      <c r="U460" s="39" t="s">
        <v>667</v>
      </c>
      <c r="V460" s="23"/>
      <c r="W460" s="23"/>
      <c r="X460" s="71"/>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row>
    <row r="461" spans="1:135" ht="30" customHeight="1" thickBot="1" x14ac:dyDescent="0.3">
      <c r="A461" s="578" t="s">
        <v>122</v>
      </c>
      <c r="B461" s="8">
        <v>47</v>
      </c>
      <c r="C461" s="72" t="s">
        <v>105</v>
      </c>
      <c r="D461" s="10" t="s">
        <v>24</v>
      </c>
      <c r="E461" s="11" t="s">
        <v>25</v>
      </c>
      <c r="F461" s="29" t="s">
        <v>108</v>
      </c>
      <c r="G461" s="15" t="s">
        <v>109</v>
      </c>
      <c r="H461" s="76" t="s">
        <v>111</v>
      </c>
      <c r="I461" s="24" t="s">
        <v>117</v>
      </c>
      <c r="J461" s="24" t="s">
        <v>121</v>
      </c>
      <c r="K461" s="23" t="s">
        <v>123</v>
      </c>
      <c r="L461" s="25" t="str">
        <f>"RUTL-"&amp;RIGHT(K461,8)</f>
        <v>RUTL-02103035</v>
      </c>
      <c r="M461" s="34" t="s">
        <v>40</v>
      </c>
      <c r="N461" s="32" t="s">
        <v>43</v>
      </c>
      <c r="O461" s="89" t="s">
        <v>125</v>
      </c>
      <c r="P461" s="90" t="s">
        <v>90</v>
      </c>
      <c r="Q461" s="91" t="s">
        <v>146</v>
      </c>
      <c r="R461" s="15" t="s">
        <v>56</v>
      </c>
      <c r="S461" s="37" t="s">
        <v>57</v>
      </c>
      <c r="T461" s="39" t="s">
        <v>148</v>
      </c>
      <c r="U461" s="39" t="s">
        <v>149</v>
      </c>
      <c r="V461" s="32"/>
      <c r="W461" s="32"/>
      <c r="X461" s="71"/>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row>
    <row r="462" spans="1:135" ht="30" customHeight="1" thickBot="1" x14ac:dyDescent="0.3">
      <c r="A462" s="578" t="s">
        <v>4739</v>
      </c>
      <c r="B462" s="16">
        <v>9800</v>
      </c>
      <c r="C462" s="72" t="s">
        <v>4736</v>
      </c>
      <c r="D462" s="10" t="s">
        <v>24</v>
      </c>
      <c r="E462" s="11" t="s">
        <v>25</v>
      </c>
      <c r="F462" s="20" t="s">
        <v>4737</v>
      </c>
      <c r="G462" s="15" t="s">
        <v>4738</v>
      </c>
      <c r="H462" s="147" t="s">
        <v>1109</v>
      </c>
      <c r="I462" s="18" t="s">
        <v>135</v>
      </c>
      <c r="J462" s="18" t="s">
        <v>412</v>
      </c>
      <c r="K462" s="33" t="s">
        <v>4740</v>
      </c>
      <c r="L462" s="25" t="str">
        <f>"RUTL-"&amp;RIGHT(K462,8)</f>
        <v>RUTL-60820821</v>
      </c>
      <c r="M462" s="34" t="s">
        <v>40</v>
      </c>
      <c r="N462" s="23" t="s">
        <v>43</v>
      </c>
      <c r="O462" s="23"/>
      <c r="P462" s="39" t="s">
        <v>90</v>
      </c>
      <c r="Q462" s="63" t="s">
        <v>4741</v>
      </c>
      <c r="R462" s="15" t="s">
        <v>56</v>
      </c>
      <c r="S462" s="37" t="s">
        <v>57</v>
      </c>
      <c r="T462" s="108" t="s">
        <v>273</v>
      </c>
      <c r="U462" s="39" t="s">
        <v>4742</v>
      </c>
      <c r="V462" s="23"/>
      <c r="W462" s="23"/>
      <c r="X462" s="71"/>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row>
    <row r="463" spans="1:135" ht="30" customHeight="1" thickBot="1" x14ac:dyDescent="0.3">
      <c r="A463" s="578" t="s">
        <v>4786</v>
      </c>
      <c r="B463" s="16">
        <v>10207</v>
      </c>
      <c r="C463" s="72" t="s">
        <v>4784</v>
      </c>
      <c r="D463" s="10" t="s">
        <v>24</v>
      </c>
      <c r="E463" s="11" t="s">
        <v>25</v>
      </c>
      <c r="F463" s="20" t="s">
        <v>4785</v>
      </c>
      <c r="G463" s="15" t="s">
        <v>3948</v>
      </c>
      <c r="H463" s="147" t="s">
        <v>434</v>
      </c>
      <c r="I463" s="18" t="s">
        <v>117</v>
      </c>
      <c r="J463" s="18" t="s">
        <v>412</v>
      </c>
      <c r="K463" s="33" t="s">
        <v>4787</v>
      </c>
      <c r="L463" s="25" t="str">
        <f>"RUTL-"&amp;RIGHT(K463,8)</f>
        <v>RUTL-60820816</v>
      </c>
      <c r="M463" s="34" t="s">
        <v>40</v>
      </c>
      <c r="N463" s="136" t="s">
        <v>2365</v>
      </c>
      <c r="O463" s="227"/>
      <c r="P463" s="23"/>
      <c r="Q463" s="63" t="s">
        <v>4788</v>
      </c>
      <c r="R463" s="15" t="s">
        <v>56</v>
      </c>
      <c r="S463" s="40" t="s">
        <v>57</v>
      </c>
      <c r="T463" s="165" t="s">
        <v>1630</v>
      </c>
      <c r="U463" s="39" t="s">
        <v>4789</v>
      </c>
      <c r="V463" s="23"/>
      <c r="W463" s="23"/>
      <c r="X463" s="71"/>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row>
    <row r="464" spans="1:135" ht="30" customHeight="1" thickBot="1" x14ac:dyDescent="0.3">
      <c r="A464" s="578" t="s">
        <v>4797</v>
      </c>
      <c r="B464" s="16">
        <v>10340</v>
      </c>
      <c r="C464" s="72" t="s">
        <v>4795</v>
      </c>
      <c r="D464" s="10" t="s">
        <v>24</v>
      </c>
      <c r="E464" s="10" t="s">
        <v>25</v>
      </c>
      <c r="F464" s="20" t="s">
        <v>4796</v>
      </c>
      <c r="G464" s="15" t="s">
        <v>2400</v>
      </c>
      <c r="H464" s="108" t="s">
        <v>225</v>
      </c>
      <c r="I464" s="18" t="s">
        <v>117</v>
      </c>
      <c r="J464" s="18" t="s">
        <v>412</v>
      </c>
      <c r="K464" s="33" t="s">
        <v>4798</v>
      </c>
      <c r="L464" s="25" t="str">
        <f>"RUTL-"&amp;RIGHT(K464,8)</f>
        <v>RUTL-60821833</v>
      </c>
      <c r="M464" s="34" t="s">
        <v>40</v>
      </c>
      <c r="N464" s="23" t="s">
        <v>43</v>
      </c>
      <c r="O464" s="23"/>
      <c r="P464" s="39" t="s">
        <v>90</v>
      </c>
      <c r="Q464" s="63" t="s">
        <v>4799</v>
      </c>
      <c r="R464" s="15" t="s">
        <v>56</v>
      </c>
      <c r="S464" s="37" t="s">
        <v>57</v>
      </c>
      <c r="T464" s="165" t="s">
        <v>1630</v>
      </c>
      <c r="U464" s="39" t="s">
        <v>3326</v>
      </c>
      <c r="V464" s="23"/>
      <c r="W464" s="23"/>
      <c r="X464" s="71"/>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row>
    <row r="465" spans="1:135" ht="30" customHeight="1" thickBot="1" x14ac:dyDescent="0.3">
      <c r="A465" s="578" t="s">
        <v>4895</v>
      </c>
      <c r="B465" s="8">
        <v>10943</v>
      </c>
      <c r="C465" s="72" t="s">
        <v>4892</v>
      </c>
      <c r="D465" s="10" t="s">
        <v>24</v>
      </c>
      <c r="E465" s="10" t="s">
        <v>25</v>
      </c>
      <c r="F465" s="20" t="s">
        <v>4893</v>
      </c>
      <c r="G465" s="15" t="s">
        <v>4894</v>
      </c>
      <c r="H465" s="37" t="s">
        <v>533</v>
      </c>
      <c r="I465" s="18" t="s">
        <v>135</v>
      </c>
      <c r="J465" s="18" t="s">
        <v>412</v>
      </c>
      <c r="K465" s="23" t="s">
        <v>4896</v>
      </c>
      <c r="L465" s="25" t="str">
        <f>"RUTL-"&amp;RIGHT(K465,8)</f>
        <v>RUTL-60820627</v>
      </c>
      <c r="M465" s="34" t="s">
        <v>40</v>
      </c>
      <c r="N465" s="23" t="s">
        <v>43</v>
      </c>
      <c r="O465" s="23"/>
      <c r="P465" s="39" t="s">
        <v>90</v>
      </c>
      <c r="Q465" s="63" t="s">
        <v>4897</v>
      </c>
      <c r="R465" s="15" t="s">
        <v>56</v>
      </c>
      <c r="S465" s="37" t="s">
        <v>57</v>
      </c>
      <c r="T465" s="107" t="s">
        <v>453</v>
      </c>
      <c r="U465" s="39" t="s">
        <v>4898</v>
      </c>
      <c r="V465" s="23"/>
      <c r="W465" s="23"/>
      <c r="X465" s="71"/>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row>
    <row r="466" spans="1:135" ht="30" customHeight="1" thickBot="1" x14ac:dyDescent="0.3">
      <c r="A466" s="578" t="s">
        <v>4907</v>
      </c>
      <c r="B466" s="8">
        <v>10997</v>
      </c>
      <c r="C466" s="52" t="s">
        <v>4905</v>
      </c>
      <c r="D466" s="10" t="s">
        <v>24</v>
      </c>
      <c r="E466" s="10" t="s">
        <v>25</v>
      </c>
      <c r="F466" s="20" t="s">
        <v>4906</v>
      </c>
      <c r="G466" s="15" t="s">
        <v>3948</v>
      </c>
      <c r="H466" s="147" t="s">
        <v>434</v>
      </c>
      <c r="I466" s="18" t="s">
        <v>135</v>
      </c>
      <c r="J466" s="18" t="s">
        <v>412</v>
      </c>
      <c r="K466" s="23" t="s">
        <v>4908</v>
      </c>
      <c r="L466" s="25" t="str">
        <f>"RUTL-"&amp;RIGHT(K466,8)</f>
        <v>RUTL-60820196</v>
      </c>
      <c r="M466" s="34" t="s">
        <v>40</v>
      </c>
      <c r="N466" s="23" t="s">
        <v>43</v>
      </c>
      <c r="O466" s="23"/>
      <c r="P466" s="39" t="s">
        <v>90</v>
      </c>
      <c r="Q466" s="63" t="s">
        <v>4909</v>
      </c>
      <c r="R466" s="15" t="s">
        <v>56</v>
      </c>
      <c r="S466" s="37" t="s">
        <v>57</v>
      </c>
      <c r="T466" s="107" t="s">
        <v>453</v>
      </c>
      <c r="U466" s="39" t="s">
        <v>4824</v>
      </c>
      <c r="V466" s="23"/>
      <c r="W466" s="23"/>
      <c r="X466" s="71"/>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row>
    <row r="467" spans="1:135" ht="30" customHeight="1" thickBot="1" x14ac:dyDescent="0.3">
      <c r="A467" s="578" t="s">
        <v>4940</v>
      </c>
      <c r="B467" s="8">
        <v>11075</v>
      </c>
      <c r="C467" s="72" t="s">
        <v>4938</v>
      </c>
      <c r="D467" s="10" t="s">
        <v>24</v>
      </c>
      <c r="E467" s="10" t="s">
        <v>25</v>
      </c>
      <c r="F467" s="20" t="s">
        <v>4939</v>
      </c>
      <c r="G467" s="15" t="s">
        <v>1622</v>
      </c>
      <c r="H467" s="119" t="s">
        <v>370</v>
      </c>
      <c r="I467" s="18" t="s">
        <v>135</v>
      </c>
      <c r="J467" s="18" t="s">
        <v>412</v>
      </c>
      <c r="K467" s="23" t="s">
        <v>4941</v>
      </c>
      <c r="L467" s="25" t="str">
        <f>"RUTL-"&amp;RIGHT(K467,8)</f>
        <v>RUTL-60821366</v>
      </c>
      <c r="M467" s="34" t="s">
        <v>40</v>
      </c>
      <c r="N467" s="23" t="s">
        <v>43</v>
      </c>
      <c r="O467" s="23"/>
      <c r="P467" s="39" t="s">
        <v>90</v>
      </c>
      <c r="Q467" s="63" t="s">
        <v>146</v>
      </c>
      <c r="R467" s="15" t="s">
        <v>56</v>
      </c>
      <c r="S467" s="37" t="s">
        <v>57</v>
      </c>
      <c r="T467" s="108" t="s">
        <v>273</v>
      </c>
      <c r="U467" s="39" t="s">
        <v>4942</v>
      </c>
      <c r="V467" s="23"/>
      <c r="W467" s="23"/>
      <c r="X467" s="71"/>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row>
    <row r="468" spans="1:135" ht="30" customHeight="1" thickBot="1" x14ac:dyDescent="0.3">
      <c r="A468" s="578" t="s">
        <v>1730</v>
      </c>
      <c r="B468" s="8">
        <v>708</v>
      </c>
      <c r="C468" s="52" t="s">
        <v>1722</v>
      </c>
      <c r="D468" s="15" t="s">
        <v>24</v>
      </c>
      <c r="E468" s="11" t="s">
        <v>25</v>
      </c>
      <c r="F468" s="20" t="s">
        <v>1723</v>
      </c>
      <c r="G468" s="15" t="s">
        <v>1725</v>
      </c>
      <c r="H468" s="119" t="s">
        <v>312</v>
      </c>
      <c r="I468" s="18" t="s">
        <v>117</v>
      </c>
      <c r="J468" s="18" t="s">
        <v>412</v>
      </c>
      <c r="K468" s="23" t="s">
        <v>1732</v>
      </c>
      <c r="L468" s="25" t="str">
        <f>"RUTL-"&amp;RIGHT(K468,8)</f>
        <v>RUTL-60821348</v>
      </c>
      <c r="M468" s="34" t="s">
        <v>40</v>
      </c>
      <c r="N468" s="23" t="s">
        <v>43</v>
      </c>
      <c r="O468" s="23"/>
      <c r="P468" s="39" t="s">
        <v>90</v>
      </c>
      <c r="Q468" s="63" t="s">
        <v>1736</v>
      </c>
      <c r="R468" s="15" t="s">
        <v>56</v>
      </c>
      <c r="S468" s="37" t="s">
        <v>57</v>
      </c>
      <c r="T468" s="165" t="s">
        <v>1630</v>
      </c>
      <c r="U468" s="39" t="s">
        <v>1738</v>
      </c>
      <c r="V468" s="23"/>
      <c r="W468" s="23"/>
      <c r="X468" s="71"/>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row>
    <row r="469" spans="1:135" ht="30" customHeight="1" thickBot="1" x14ac:dyDescent="0.3">
      <c r="A469" s="578" t="s">
        <v>4109</v>
      </c>
      <c r="B469" s="8">
        <v>7314</v>
      </c>
      <c r="C469" s="72" t="s">
        <v>4107</v>
      </c>
      <c r="D469" s="10" t="s">
        <v>24</v>
      </c>
      <c r="E469" s="11" t="s">
        <v>25</v>
      </c>
      <c r="F469" s="20" t="s">
        <v>4108</v>
      </c>
      <c r="G469" s="15" t="s">
        <v>1622</v>
      </c>
      <c r="H469" s="119" t="s">
        <v>370</v>
      </c>
      <c r="I469" s="18" t="s">
        <v>135</v>
      </c>
      <c r="J469" s="18" t="s">
        <v>412</v>
      </c>
      <c r="K469" s="33" t="s">
        <v>4110</v>
      </c>
      <c r="L469" s="25" t="str">
        <f>"RUTL-"&amp;RIGHT(K469,8)</f>
        <v>RUTL-60820779</v>
      </c>
      <c r="M469" s="34" t="s">
        <v>40</v>
      </c>
      <c r="N469" s="23"/>
      <c r="O469" s="23"/>
      <c r="P469" s="23"/>
      <c r="Q469" s="113"/>
      <c r="R469" s="15" t="s">
        <v>56</v>
      </c>
      <c r="S469" s="37" t="s">
        <v>180</v>
      </c>
      <c r="T469" s="104" t="s">
        <v>273</v>
      </c>
      <c r="U469" s="39" t="s">
        <v>4111</v>
      </c>
      <c r="V469" s="23"/>
      <c r="W469" s="23"/>
      <c r="X469" s="71"/>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row>
    <row r="470" spans="1:135" ht="30" customHeight="1" thickBot="1" x14ac:dyDescent="0.3">
      <c r="A470" s="578" t="s">
        <v>4884</v>
      </c>
      <c r="B470" s="8">
        <v>10890</v>
      </c>
      <c r="C470" s="72" t="s">
        <v>4882</v>
      </c>
      <c r="D470" s="10" t="s">
        <v>24</v>
      </c>
      <c r="E470" s="10" t="s">
        <v>25</v>
      </c>
      <c r="F470" s="20" t="s">
        <v>4883</v>
      </c>
      <c r="G470" s="15" t="s">
        <v>3993</v>
      </c>
      <c r="H470" s="53" t="s">
        <v>1319</v>
      </c>
      <c r="I470" s="18" t="s">
        <v>135</v>
      </c>
      <c r="J470" s="18" t="s">
        <v>412</v>
      </c>
      <c r="K470" s="23" t="s">
        <v>4885</v>
      </c>
      <c r="L470" s="25" t="str">
        <f>"RUTL-"&amp;RIGHT(K470,8)</f>
        <v>RUTL-60821939</v>
      </c>
      <c r="M470" s="34" t="s">
        <v>40</v>
      </c>
      <c r="N470" s="23" t="s">
        <v>43</v>
      </c>
      <c r="O470" s="23"/>
      <c r="P470" s="39" t="s">
        <v>90</v>
      </c>
      <c r="Q470" s="63" t="s">
        <v>4886</v>
      </c>
      <c r="R470" s="15" t="s">
        <v>56</v>
      </c>
      <c r="S470" s="37" t="s">
        <v>57</v>
      </c>
      <c r="T470" s="105" t="s">
        <v>148</v>
      </c>
      <c r="U470" s="39" t="s">
        <v>4887</v>
      </c>
      <c r="V470" s="23"/>
      <c r="W470" s="23"/>
      <c r="X470" s="71"/>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row>
    <row r="471" spans="1:135" ht="30" customHeight="1" thickBot="1" x14ac:dyDescent="0.3">
      <c r="A471" s="578" t="s">
        <v>2608</v>
      </c>
      <c r="B471" s="120" t="s">
        <v>2596</v>
      </c>
      <c r="C471" s="72" t="s">
        <v>2598</v>
      </c>
      <c r="D471" s="10" t="s">
        <v>2599</v>
      </c>
      <c r="E471" s="122" t="s">
        <v>25</v>
      </c>
      <c r="F471" s="20" t="s">
        <v>2602</v>
      </c>
      <c r="G471" s="15" t="s">
        <v>2603</v>
      </c>
      <c r="H471" s="147" t="s">
        <v>2605</v>
      </c>
      <c r="I471" s="18" t="s">
        <v>2607</v>
      </c>
      <c r="J471" s="18" t="s">
        <v>412</v>
      </c>
      <c r="K471" s="124" t="s">
        <v>2612</v>
      </c>
      <c r="L471" s="127" t="str">
        <f>"RUTL-"&amp;RIGHT(K471,8)</f>
        <v>RUTL-60820006</v>
      </c>
      <c r="M471" s="129" t="s">
        <v>40</v>
      </c>
      <c r="N471" s="14" t="s">
        <v>43</v>
      </c>
      <c r="O471" s="14"/>
      <c r="P471" s="39" t="s">
        <v>90</v>
      </c>
      <c r="Q471" s="14" t="s">
        <v>2614</v>
      </c>
      <c r="R471" s="121" t="s">
        <v>56</v>
      </c>
      <c r="S471" s="151" t="s">
        <v>57</v>
      </c>
      <c r="T471" s="333" t="s">
        <v>2615</v>
      </c>
      <c r="U471" s="138" t="s">
        <v>2616</v>
      </c>
      <c r="V471" s="14"/>
      <c r="W471" s="14"/>
      <c r="X471" s="71"/>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row>
    <row r="472" spans="1:135" ht="30" customHeight="1" thickBot="1" x14ac:dyDescent="0.3">
      <c r="A472" s="578" t="s">
        <v>7129</v>
      </c>
      <c r="B472" s="16">
        <v>17628</v>
      </c>
      <c r="C472" s="72" t="s">
        <v>7126</v>
      </c>
      <c r="D472" s="10" t="s">
        <v>24</v>
      </c>
      <c r="E472" s="28" t="s">
        <v>25</v>
      </c>
      <c r="F472" s="12" t="s">
        <v>7127</v>
      </c>
      <c r="G472" s="15" t="s">
        <v>7128</v>
      </c>
      <c r="H472" s="119" t="s">
        <v>960</v>
      </c>
      <c r="I472" s="18" t="s">
        <v>135</v>
      </c>
      <c r="J472" s="18" t="s">
        <v>412</v>
      </c>
      <c r="K472" s="33" t="s">
        <v>7130</v>
      </c>
      <c r="L472" s="25" t="str">
        <f>"RUTL-"&amp;RIGHT(K472,8)</f>
        <v>RUTL-60821036</v>
      </c>
      <c r="M472" s="34" t="s">
        <v>40</v>
      </c>
      <c r="N472" s="23" t="s">
        <v>43</v>
      </c>
      <c r="O472" s="23"/>
      <c r="P472" s="39" t="s">
        <v>90</v>
      </c>
      <c r="Q472" s="63" t="s">
        <v>7131</v>
      </c>
      <c r="R472" s="15" t="s">
        <v>56</v>
      </c>
      <c r="S472" s="37" t="s">
        <v>57</v>
      </c>
      <c r="T472" s="68" t="s">
        <v>148</v>
      </c>
      <c r="U472" s="39" t="s">
        <v>7117</v>
      </c>
      <c r="V472" s="23"/>
      <c r="W472" s="23"/>
      <c r="X472" s="71"/>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row>
    <row r="473" spans="1:135" ht="30" customHeight="1" thickBot="1" x14ac:dyDescent="0.3">
      <c r="A473" s="578" t="s">
        <v>795</v>
      </c>
      <c r="B473" s="51">
        <v>319</v>
      </c>
      <c r="C473" s="72" t="s">
        <v>790</v>
      </c>
      <c r="D473" s="15" t="s">
        <v>24</v>
      </c>
      <c r="E473" s="11" t="s">
        <v>25</v>
      </c>
      <c r="F473" s="20" t="s">
        <v>792</v>
      </c>
      <c r="G473" s="15" t="s">
        <v>606</v>
      </c>
      <c r="H473" s="17" t="s">
        <v>682</v>
      </c>
      <c r="I473" s="18" t="s">
        <v>794</v>
      </c>
      <c r="J473" s="18" t="s">
        <v>412</v>
      </c>
      <c r="K473" s="23" t="s">
        <v>796</v>
      </c>
      <c r="L473" s="25" t="str">
        <f>"RUTL-"&amp;RIGHT(K473,8)</f>
        <v>RUTL-60821897</v>
      </c>
      <c r="M473" s="144" t="s">
        <v>40</v>
      </c>
      <c r="N473" s="39" t="s">
        <v>414</v>
      </c>
      <c r="O473" s="39" t="s">
        <v>798</v>
      </c>
      <c r="P473" s="39" t="s">
        <v>90</v>
      </c>
      <c r="Q473" s="113"/>
      <c r="R473" s="15" t="s">
        <v>56</v>
      </c>
      <c r="S473" s="37" t="s">
        <v>57</v>
      </c>
      <c r="T473" s="41" t="s">
        <v>65</v>
      </c>
      <c r="U473" s="39" t="s">
        <v>800</v>
      </c>
      <c r="V473" s="23"/>
      <c r="W473" s="23"/>
      <c r="X473" s="71"/>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row>
    <row r="474" spans="1:135" ht="30" customHeight="1" thickBot="1" x14ac:dyDescent="0.3">
      <c r="A474" s="578" t="s">
        <v>3588</v>
      </c>
      <c r="B474" s="8">
        <v>4535</v>
      </c>
      <c r="C474" s="72" t="s">
        <v>3585</v>
      </c>
      <c r="D474" s="15" t="s">
        <v>24</v>
      </c>
      <c r="E474" s="11" t="s">
        <v>25</v>
      </c>
      <c r="F474" s="29" t="s">
        <v>3586</v>
      </c>
      <c r="G474" s="15" t="s">
        <v>3587</v>
      </c>
      <c r="H474" s="18" t="s">
        <v>1398</v>
      </c>
      <c r="I474" s="18" t="s">
        <v>48</v>
      </c>
      <c r="J474" s="18" t="s">
        <v>3156</v>
      </c>
      <c r="K474" s="33" t="s">
        <v>3589</v>
      </c>
      <c r="L474" s="25" t="str">
        <f>"RUTL-"&amp;RIGHT(K474,8)</f>
        <v>RUTL-13D53000</v>
      </c>
      <c r="M474" s="34" t="s">
        <v>40</v>
      </c>
      <c r="N474" s="39" t="s">
        <v>87</v>
      </c>
      <c r="O474" s="39" t="s">
        <v>1504</v>
      </c>
      <c r="P474" s="39" t="s">
        <v>90</v>
      </c>
      <c r="Q474" s="113"/>
      <c r="R474" s="15" t="s">
        <v>56</v>
      </c>
      <c r="S474" s="21" t="s">
        <v>57</v>
      </c>
      <c r="T474" s="101" t="s">
        <v>96</v>
      </c>
      <c r="U474" s="23" t="s">
        <v>3590</v>
      </c>
      <c r="V474" s="23"/>
      <c r="W474" s="23"/>
      <c r="X474" s="71"/>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row>
    <row r="475" spans="1:135" ht="30" customHeight="1" thickBot="1" x14ac:dyDescent="0.3">
      <c r="A475" s="578" t="s">
        <v>5143</v>
      </c>
      <c r="B475" s="8">
        <v>12043</v>
      </c>
      <c r="C475" s="72" t="s">
        <v>5141</v>
      </c>
      <c r="D475" s="10" t="s">
        <v>24</v>
      </c>
      <c r="E475" s="11" t="s">
        <v>25</v>
      </c>
      <c r="F475" s="20" t="s">
        <v>5142</v>
      </c>
      <c r="G475" s="15" t="s">
        <v>1521</v>
      </c>
      <c r="H475" s="18" t="s">
        <v>1398</v>
      </c>
      <c r="I475" s="18" t="s">
        <v>48</v>
      </c>
      <c r="J475" s="18" t="s">
        <v>4120</v>
      </c>
      <c r="K475" s="23" t="s">
        <v>5144</v>
      </c>
      <c r="L475" s="25" t="str">
        <f>"RUTL-"&amp;RIGHT(K475,8)</f>
        <v>RUTL-13DE3000</v>
      </c>
      <c r="M475" s="34" t="s">
        <v>40</v>
      </c>
      <c r="N475" s="39" t="s">
        <v>87</v>
      </c>
      <c r="O475" s="39" t="s">
        <v>5145</v>
      </c>
      <c r="P475" s="39" t="s">
        <v>90</v>
      </c>
      <c r="Q475" s="113"/>
      <c r="R475" s="15" t="s">
        <v>56</v>
      </c>
      <c r="S475" s="21" t="s">
        <v>57</v>
      </c>
      <c r="T475" s="105" t="s">
        <v>148</v>
      </c>
      <c r="U475" s="23" t="s">
        <v>5146</v>
      </c>
      <c r="V475" s="23"/>
      <c r="W475" s="23"/>
      <c r="X475" s="71"/>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row>
    <row r="476" spans="1:135" ht="30" customHeight="1" thickBot="1" x14ac:dyDescent="0.3">
      <c r="A476" s="578" t="s">
        <v>4792</v>
      </c>
      <c r="B476" s="16">
        <v>10302</v>
      </c>
      <c r="C476" s="52" t="s">
        <v>4790</v>
      </c>
      <c r="D476" s="10" t="s">
        <v>24</v>
      </c>
      <c r="E476" s="10" t="s">
        <v>25</v>
      </c>
      <c r="F476" s="20" t="s">
        <v>4791</v>
      </c>
      <c r="G476" s="15" t="s">
        <v>1476</v>
      </c>
      <c r="H476" s="104" t="s">
        <v>349</v>
      </c>
      <c r="I476" s="18" t="s">
        <v>48</v>
      </c>
      <c r="J476" s="18" t="s">
        <v>1449</v>
      </c>
      <c r="K476" s="33" t="s">
        <v>4793</v>
      </c>
      <c r="L476" s="25" t="str">
        <f>"RUTL-"&amp;RIGHT(K476,8)</f>
        <v>RUTL-65R00099</v>
      </c>
      <c r="M476" s="34" t="s">
        <v>40</v>
      </c>
      <c r="N476" s="23" t="s">
        <v>43</v>
      </c>
      <c r="O476" s="23"/>
      <c r="P476" s="39" t="s">
        <v>90</v>
      </c>
      <c r="Q476" s="63" t="s">
        <v>4794</v>
      </c>
      <c r="R476" s="15" t="s">
        <v>56</v>
      </c>
      <c r="S476" s="37" t="s">
        <v>57</v>
      </c>
      <c r="T476" s="101" t="s">
        <v>96</v>
      </c>
      <c r="U476" s="39" t="s">
        <v>4036</v>
      </c>
      <c r="V476" s="23"/>
      <c r="W476" s="23"/>
      <c r="X476" s="71"/>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row>
    <row r="477" spans="1:135" ht="30" customHeight="1" thickBot="1" x14ac:dyDescent="0.3">
      <c r="A477" s="578" t="s">
        <v>4102</v>
      </c>
      <c r="B477" s="8">
        <v>7251</v>
      </c>
      <c r="C477" s="72" t="s">
        <v>4100</v>
      </c>
      <c r="D477" s="174" t="s">
        <v>1471</v>
      </c>
      <c r="E477" s="11" t="s">
        <v>25</v>
      </c>
      <c r="F477" s="20" t="s">
        <v>4101</v>
      </c>
      <c r="G477" s="15" t="s">
        <v>3731</v>
      </c>
      <c r="H477" s="18" t="s">
        <v>1398</v>
      </c>
      <c r="I477" s="18" t="s">
        <v>48</v>
      </c>
      <c r="J477" s="18" t="s">
        <v>1449</v>
      </c>
      <c r="K477" s="33" t="s">
        <v>4103</v>
      </c>
      <c r="L477" s="25" t="str">
        <f>"RUTL-"&amp;RIGHT(K477,8)</f>
        <v>RUTL-65R00108</v>
      </c>
      <c r="M477" s="34" t="s">
        <v>40</v>
      </c>
      <c r="N477" s="39" t="s">
        <v>87</v>
      </c>
      <c r="O477" s="39" t="s">
        <v>4104</v>
      </c>
      <c r="P477" s="39" t="s">
        <v>90</v>
      </c>
      <c r="Q477" s="63" t="s">
        <v>4105</v>
      </c>
      <c r="R477" s="15" t="s">
        <v>56</v>
      </c>
      <c r="S477" s="37" t="s">
        <v>180</v>
      </c>
      <c r="T477" s="104" t="s">
        <v>273</v>
      </c>
      <c r="U477" s="39" t="s">
        <v>4106</v>
      </c>
      <c r="V477" s="23"/>
      <c r="W477" s="23"/>
      <c r="X477" s="71"/>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row>
    <row r="478" spans="1:135" ht="30" customHeight="1" thickBot="1" x14ac:dyDescent="0.3">
      <c r="A478" s="578" t="s">
        <v>2556</v>
      </c>
      <c r="B478" s="8">
        <v>1396</v>
      </c>
      <c r="C478" s="9" t="s">
        <v>2552</v>
      </c>
      <c r="D478" s="15" t="s">
        <v>24</v>
      </c>
      <c r="E478" s="11" t="s">
        <v>25</v>
      </c>
      <c r="F478" s="20" t="s">
        <v>2553</v>
      </c>
      <c r="G478" s="15" t="s">
        <v>285</v>
      </c>
      <c r="H478" s="156" t="s">
        <v>1573</v>
      </c>
      <c r="I478" s="18" t="s">
        <v>2555</v>
      </c>
      <c r="J478" s="18" t="s">
        <v>121</v>
      </c>
      <c r="K478" s="23" t="s">
        <v>2557</v>
      </c>
      <c r="L478" s="25" t="str">
        <f>"RUTL-"&amp;RIGHT(K478,8)</f>
        <v>RUTL-02103071</v>
      </c>
      <c r="M478" s="34" t="s">
        <v>40</v>
      </c>
      <c r="N478" s="39" t="s">
        <v>87</v>
      </c>
      <c r="O478" s="23"/>
      <c r="P478" s="39" t="s">
        <v>90</v>
      </c>
      <c r="Q478" s="63" t="s">
        <v>2558</v>
      </c>
      <c r="R478" s="15" t="s">
        <v>56</v>
      </c>
      <c r="S478" s="37" t="s">
        <v>57</v>
      </c>
      <c r="T478" s="101" t="s">
        <v>96</v>
      </c>
      <c r="U478" s="39" t="s">
        <v>2559</v>
      </c>
      <c r="V478" s="23"/>
      <c r="W478" s="23"/>
      <c r="X478" s="71"/>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row>
    <row r="479" spans="1:135" ht="30" customHeight="1" thickBot="1" x14ac:dyDescent="0.3">
      <c r="A479" s="578" t="s">
        <v>3650</v>
      </c>
      <c r="B479" s="8">
        <v>4973</v>
      </c>
      <c r="C479" s="52" t="s">
        <v>3647</v>
      </c>
      <c r="D479" s="15" t="s">
        <v>24</v>
      </c>
      <c r="E479" s="11" t="s">
        <v>25</v>
      </c>
      <c r="F479" s="29" t="s">
        <v>3648</v>
      </c>
      <c r="G479" s="15" t="s">
        <v>3649</v>
      </c>
      <c r="H479" s="24" t="s">
        <v>2210</v>
      </c>
      <c r="I479" s="24" t="s">
        <v>117</v>
      </c>
      <c r="J479" s="24" t="s">
        <v>121</v>
      </c>
      <c r="K479" s="33" t="s">
        <v>3651</v>
      </c>
      <c r="L479" s="25" t="str">
        <f>"RUTL-"&amp;RIGHT(K479,8)</f>
        <v>RUTL-02103177</v>
      </c>
      <c r="M479" s="34" t="s">
        <v>40</v>
      </c>
      <c r="N479" s="32" t="s">
        <v>3652</v>
      </c>
      <c r="O479" s="32"/>
      <c r="P479" s="90" t="s">
        <v>90</v>
      </c>
      <c r="Q479" s="91" t="s">
        <v>3653</v>
      </c>
      <c r="R479" s="15" t="s">
        <v>56</v>
      </c>
      <c r="S479" s="40" t="s">
        <v>57</v>
      </c>
      <c r="T479" s="101" t="s">
        <v>96</v>
      </c>
      <c r="U479" s="39" t="s">
        <v>3654</v>
      </c>
      <c r="V479" s="44"/>
      <c r="W479" s="32"/>
      <c r="X479" s="71"/>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row>
    <row r="480" spans="1:135" ht="30" customHeight="1" thickBot="1" x14ac:dyDescent="0.3">
      <c r="A480" s="578" t="s">
        <v>3463</v>
      </c>
      <c r="B480" s="8">
        <v>3998</v>
      </c>
      <c r="C480" s="72" t="s">
        <v>3461</v>
      </c>
      <c r="D480" s="15" t="s">
        <v>24</v>
      </c>
      <c r="E480" s="11" t="s">
        <v>25</v>
      </c>
      <c r="F480" s="20" t="s">
        <v>3462</v>
      </c>
      <c r="G480" s="15" t="s">
        <v>958</v>
      </c>
      <c r="H480" s="119" t="s">
        <v>312</v>
      </c>
      <c r="I480" s="18" t="s">
        <v>135</v>
      </c>
      <c r="J480" s="18" t="s">
        <v>121</v>
      </c>
      <c r="K480" s="33" t="s">
        <v>3464</v>
      </c>
      <c r="L480" s="25" t="str">
        <f>"RUTL-"&amp;RIGHT(K480,8)</f>
        <v>RUTL-02103045</v>
      </c>
      <c r="M480" s="34" t="s">
        <v>40</v>
      </c>
      <c r="N480" s="15" t="s">
        <v>3465</v>
      </c>
      <c r="O480" s="23"/>
      <c r="P480" s="39" t="s">
        <v>90</v>
      </c>
      <c r="Q480" s="63" t="s">
        <v>3466</v>
      </c>
      <c r="R480" s="15" t="s">
        <v>56</v>
      </c>
      <c r="S480" s="37" t="s">
        <v>57</v>
      </c>
      <c r="T480" s="105" t="s">
        <v>148</v>
      </c>
      <c r="U480" s="23" t="s">
        <v>3467</v>
      </c>
      <c r="V480" s="23"/>
      <c r="W480" s="23"/>
      <c r="X480" s="71"/>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row>
    <row r="481" spans="1:135" ht="30" customHeight="1" thickBot="1" x14ac:dyDescent="0.3">
      <c r="A481" s="578" t="s">
        <v>488</v>
      </c>
      <c r="B481" s="51" t="s">
        <v>480</v>
      </c>
      <c r="C481" s="72" t="s">
        <v>481</v>
      </c>
      <c r="D481" s="15" t="s">
        <v>24</v>
      </c>
      <c r="E481" s="11" t="s">
        <v>25</v>
      </c>
      <c r="F481" s="20" t="s">
        <v>484</v>
      </c>
      <c r="G481" s="15" t="s">
        <v>485</v>
      </c>
      <c r="H481" s="104" t="s">
        <v>486</v>
      </c>
      <c r="I481" s="18" t="s">
        <v>38</v>
      </c>
      <c r="J481" s="18" t="s">
        <v>121</v>
      </c>
      <c r="K481" s="23" t="s">
        <v>491</v>
      </c>
      <c r="L481" s="127" t="str">
        <f>"RUTL-"&amp;RIGHT(K481,8)</f>
        <v>RUTL-02103197</v>
      </c>
      <c r="M481" s="144" t="s">
        <v>40</v>
      </c>
      <c r="N481" s="15" t="s">
        <v>473</v>
      </c>
      <c r="O481" s="23"/>
      <c r="P481" s="39" t="s">
        <v>90</v>
      </c>
      <c r="Q481" s="39" t="s">
        <v>494</v>
      </c>
      <c r="R481" s="121" t="s">
        <v>56</v>
      </c>
      <c r="S481" s="37" t="s">
        <v>57</v>
      </c>
      <c r="T481" s="107" t="s">
        <v>495</v>
      </c>
      <c r="U481" s="47" t="s">
        <v>496</v>
      </c>
      <c r="V481" s="23"/>
      <c r="W481" s="23"/>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row>
    <row r="482" spans="1:135" ht="30" customHeight="1" thickBot="1" x14ac:dyDescent="0.3">
      <c r="A482" s="578" t="s">
        <v>4538</v>
      </c>
      <c r="B482" s="16">
        <v>9056</v>
      </c>
      <c r="C482" s="167" t="s">
        <v>4536</v>
      </c>
      <c r="D482" s="10" t="s">
        <v>24</v>
      </c>
      <c r="E482" s="11" t="s">
        <v>25</v>
      </c>
      <c r="F482" s="20" t="s">
        <v>4537</v>
      </c>
      <c r="G482" s="15" t="s">
        <v>448</v>
      </c>
      <c r="H482" s="22" t="s">
        <v>197</v>
      </c>
      <c r="I482" s="18" t="s">
        <v>117</v>
      </c>
      <c r="J482" s="18" t="s">
        <v>121</v>
      </c>
      <c r="K482" s="33" t="s">
        <v>4539</v>
      </c>
      <c r="L482" s="25" t="str">
        <f>"RUTL-"&amp;RIGHT(K482,8)</f>
        <v>RUTL-02103093</v>
      </c>
      <c r="M482" s="34" t="s">
        <v>40</v>
      </c>
      <c r="N482" s="23" t="s">
        <v>43</v>
      </c>
      <c r="O482" s="23"/>
      <c r="P482" s="39" t="s">
        <v>90</v>
      </c>
      <c r="Q482" s="243" t="s">
        <v>4540</v>
      </c>
      <c r="R482" s="15" t="s">
        <v>56</v>
      </c>
      <c r="S482" s="37" t="s">
        <v>180</v>
      </c>
      <c r="T482" s="107" t="s">
        <v>148</v>
      </c>
      <c r="U482" s="39" t="s">
        <v>4541</v>
      </c>
      <c r="V482" s="23"/>
      <c r="W482" s="23"/>
      <c r="X482" s="71"/>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row>
    <row r="483" spans="1:135" ht="30" customHeight="1" thickBot="1" x14ac:dyDescent="0.3">
      <c r="A483" s="578" t="s">
        <v>413</v>
      </c>
      <c r="B483" s="16" t="s">
        <v>399</v>
      </c>
      <c r="C483" s="72" t="s">
        <v>401</v>
      </c>
      <c r="D483" s="10" t="s">
        <v>24</v>
      </c>
      <c r="E483" s="11" t="s">
        <v>25</v>
      </c>
      <c r="F483" s="20" t="s">
        <v>403</v>
      </c>
      <c r="G483" s="15" t="s">
        <v>405</v>
      </c>
      <c r="H483" s="104" t="s">
        <v>408</v>
      </c>
      <c r="I483" s="18" t="s">
        <v>117</v>
      </c>
      <c r="J483" s="18" t="s">
        <v>412</v>
      </c>
      <c r="K483" s="23" t="s">
        <v>417</v>
      </c>
      <c r="L483" s="21" t="str">
        <f>"RUTL-"&amp;RIGHT(K483,8)</f>
        <v>RUTL-60820497</v>
      </c>
      <c r="M483" s="34" t="s">
        <v>40</v>
      </c>
      <c r="N483" s="23" t="s">
        <v>43</v>
      </c>
      <c r="O483" s="23"/>
      <c r="P483" s="39" t="s">
        <v>90</v>
      </c>
      <c r="Q483" s="63" t="s">
        <v>418</v>
      </c>
      <c r="R483" s="15" t="s">
        <v>56</v>
      </c>
      <c r="S483" s="40" t="s">
        <v>180</v>
      </c>
      <c r="T483" s="105" t="s">
        <v>101</v>
      </c>
      <c r="U483" s="23" t="s">
        <v>420</v>
      </c>
      <c r="V483" s="23"/>
      <c r="W483" s="23"/>
      <c r="X483" s="71"/>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row>
    <row r="484" spans="1:135" ht="30" customHeight="1" thickBot="1" x14ac:dyDescent="0.3">
      <c r="A484" s="578" t="s">
        <v>5438</v>
      </c>
      <c r="B484" s="8">
        <v>12819</v>
      </c>
      <c r="C484" s="52" t="s">
        <v>5435</v>
      </c>
      <c r="D484" s="10" t="s">
        <v>24</v>
      </c>
      <c r="E484" s="11" t="s">
        <v>25</v>
      </c>
      <c r="F484" s="20" t="s">
        <v>5436</v>
      </c>
      <c r="G484" s="15" t="s">
        <v>5437</v>
      </c>
      <c r="H484" s="147" t="s">
        <v>1477</v>
      </c>
      <c r="I484" s="18" t="s">
        <v>135</v>
      </c>
      <c r="J484" s="18" t="s">
        <v>412</v>
      </c>
      <c r="K484" s="23" t="s">
        <v>5439</v>
      </c>
      <c r="L484" s="25" t="str">
        <f>"RUTL-"&amp;RIGHT(K484,8)</f>
        <v>RUTL-60821900</v>
      </c>
      <c r="M484" s="34" t="s">
        <v>40</v>
      </c>
      <c r="N484" s="23" t="s">
        <v>43</v>
      </c>
      <c r="O484" s="23"/>
      <c r="P484" s="39" t="s">
        <v>90</v>
      </c>
      <c r="Q484" s="63" t="s">
        <v>5440</v>
      </c>
      <c r="R484" s="15" t="s">
        <v>56</v>
      </c>
      <c r="S484" s="37" t="s">
        <v>57</v>
      </c>
      <c r="T484" s="108" t="s">
        <v>273</v>
      </c>
      <c r="U484" s="39" t="s">
        <v>819</v>
      </c>
      <c r="V484" s="23"/>
      <c r="W484" s="23"/>
      <c r="X484" s="71"/>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row>
    <row r="485" spans="1:135" ht="30" customHeight="1" thickBot="1" x14ac:dyDescent="0.3">
      <c r="A485" s="578" t="s">
        <v>2102</v>
      </c>
      <c r="B485" s="90" t="s">
        <v>1849</v>
      </c>
      <c r="C485" s="90" t="s">
        <v>1849</v>
      </c>
      <c r="D485" s="307" t="s">
        <v>2098</v>
      </c>
      <c r="E485" s="11" t="s">
        <v>25</v>
      </c>
      <c r="F485" s="15" t="s">
        <v>2099</v>
      </c>
      <c r="G485" s="15" t="s">
        <v>2100</v>
      </c>
      <c r="H485" s="267" t="s">
        <v>1646</v>
      </c>
      <c r="I485" s="18" t="s">
        <v>135</v>
      </c>
      <c r="J485" s="18" t="s">
        <v>813</v>
      </c>
      <c r="K485" s="33" t="s">
        <v>2103</v>
      </c>
      <c r="L485" s="25" t="str">
        <f>"RUTL-"&amp;RIGHT(K485,8)</f>
        <v>RUTL-70820048</v>
      </c>
      <c r="M485" s="144" t="s">
        <v>40</v>
      </c>
      <c r="N485" s="23" t="s">
        <v>2104</v>
      </c>
      <c r="O485" s="23"/>
      <c r="P485" s="39" t="s">
        <v>90</v>
      </c>
      <c r="Q485" s="39" t="s">
        <v>2107</v>
      </c>
      <c r="R485" s="15" t="s">
        <v>56</v>
      </c>
      <c r="S485" s="37" t="s">
        <v>57</v>
      </c>
      <c r="T485" s="101" t="s">
        <v>96</v>
      </c>
      <c r="U485" s="23" t="s">
        <v>2110</v>
      </c>
      <c r="V485" s="23"/>
      <c r="W485" s="23"/>
      <c r="X485" s="71"/>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row>
    <row r="486" spans="1:135" ht="30" customHeight="1" thickBot="1" x14ac:dyDescent="0.3">
      <c r="A486" s="578" t="s">
        <v>6165</v>
      </c>
      <c r="B486" s="399" t="s">
        <v>6156</v>
      </c>
      <c r="C486" s="157" t="s">
        <v>6159</v>
      </c>
      <c r="D486" s="400" t="s">
        <v>6160</v>
      </c>
      <c r="E486" s="122" t="s">
        <v>25</v>
      </c>
      <c r="F486" s="368" t="s">
        <v>6161</v>
      </c>
      <c r="G486" s="15" t="s">
        <v>6163</v>
      </c>
      <c r="H486" s="368" t="s">
        <v>6164</v>
      </c>
      <c r="I486" s="365" t="s">
        <v>38</v>
      </c>
      <c r="J486" s="368" t="s">
        <v>813</v>
      </c>
      <c r="K486" s="368" t="s">
        <v>6166</v>
      </c>
      <c r="L486" s="368" t="str">
        <f>"RUTL-"&amp;RIGHT(K486,8)</f>
        <v>RUTL-70821711</v>
      </c>
      <c r="M486" s="368" t="s">
        <v>40</v>
      </c>
      <c r="N486" s="368" t="s">
        <v>43</v>
      </c>
      <c r="O486" s="368"/>
      <c r="P486" s="368" t="s">
        <v>864</v>
      </c>
      <c r="Q486" s="368" t="s">
        <v>6167</v>
      </c>
      <c r="R486" s="400" t="s">
        <v>56</v>
      </c>
      <c r="S486" s="368" t="s">
        <v>57</v>
      </c>
      <c r="T486" s="368" t="s">
        <v>148</v>
      </c>
      <c r="U486" s="368" t="s">
        <v>1922</v>
      </c>
      <c r="V486" s="368"/>
      <c r="W486" s="368"/>
      <c r="X486" s="71"/>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row>
    <row r="487" spans="1:135" ht="30" customHeight="1" thickBot="1" x14ac:dyDescent="0.3">
      <c r="A487" s="578" t="s">
        <v>1437</v>
      </c>
      <c r="B487" s="216" t="s">
        <v>1432</v>
      </c>
      <c r="C487" s="69" t="s">
        <v>1434</v>
      </c>
      <c r="D487" s="15" t="s">
        <v>24</v>
      </c>
      <c r="E487" s="122" t="s">
        <v>25</v>
      </c>
      <c r="F487" s="20" t="s">
        <v>1435</v>
      </c>
      <c r="G487" s="15" t="s">
        <v>1436</v>
      </c>
      <c r="H487" s="17" t="s">
        <v>891</v>
      </c>
      <c r="I487" s="18" t="s">
        <v>38</v>
      </c>
      <c r="J487" s="18" t="s">
        <v>813</v>
      </c>
      <c r="K487" s="33" t="s">
        <v>1439</v>
      </c>
      <c r="L487" s="127" t="str">
        <f>"RUTL-"&amp;RIGHT(K487,8)</f>
        <v>RUTL-70820586</v>
      </c>
      <c r="M487" s="129" t="s">
        <v>40</v>
      </c>
      <c r="N487" s="14" t="s">
        <v>43</v>
      </c>
      <c r="O487" s="14"/>
      <c r="P487" s="185" t="s">
        <v>864</v>
      </c>
      <c r="Q487" s="14"/>
      <c r="R487" s="121" t="s">
        <v>56</v>
      </c>
      <c r="S487" s="151" t="s">
        <v>57</v>
      </c>
      <c r="T487" s="153" t="s">
        <v>148</v>
      </c>
      <c r="U487" s="138" t="s">
        <v>1441</v>
      </c>
      <c r="V487" s="14"/>
      <c r="W487" s="14"/>
      <c r="X487" s="71"/>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row>
    <row r="488" spans="1:135" ht="30" customHeight="1" thickBot="1" x14ac:dyDescent="0.3">
      <c r="A488" s="578" t="s">
        <v>2242</v>
      </c>
      <c r="B488" s="16" t="s">
        <v>2238</v>
      </c>
      <c r="C488" s="69" t="s">
        <v>2239</v>
      </c>
      <c r="D488" s="15" t="s">
        <v>24</v>
      </c>
      <c r="E488" s="11" t="s">
        <v>25</v>
      </c>
      <c r="F488" s="20" t="s">
        <v>2240</v>
      </c>
      <c r="G488" s="15" t="s">
        <v>2241</v>
      </c>
      <c r="H488" s="17" t="s">
        <v>470</v>
      </c>
      <c r="I488" s="18" t="s">
        <v>38</v>
      </c>
      <c r="J488" s="18" t="s">
        <v>813</v>
      </c>
      <c r="K488" s="33" t="s">
        <v>2244</v>
      </c>
      <c r="L488" s="25" t="str">
        <f>"RUTL-"&amp;RIGHT(K488,8)</f>
        <v>RUTL-70821434</v>
      </c>
      <c r="M488" s="34" t="s">
        <v>40</v>
      </c>
      <c r="N488" s="23" t="s">
        <v>43</v>
      </c>
      <c r="O488" s="23"/>
      <c r="P488" s="45" t="s">
        <v>1468</v>
      </c>
      <c r="Q488" s="35" t="s">
        <v>2248</v>
      </c>
      <c r="R488" s="15" t="s">
        <v>56</v>
      </c>
      <c r="S488" s="37" t="s">
        <v>57</v>
      </c>
      <c r="T488" s="107" t="s">
        <v>1390</v>
      </c>
      <c r="U488" s="47" t="s">
        <v>2250</v>
      </c>
      <c r="V488" s="23"/>
      <c r="W488" s="23"/>
      <c r="X488" s="71"/>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row>
    <row r="489" spans="1:135" ht="30" customHeight="1" thickBot="1" x14ac:dyDescent="0.3">
      <c r="A489" s="578" t="s">
        <v>815</v>
      </c>
      <c r="B489" s="8">
        <v>321</v>
      </c>
      <c r="C489" s="52" t="s">
        <v>810</v>
      </c>
      <c r="D489" s="15" t="s">
        <v>24</v>
      </c>
      <c r="E489" s="11" t="s">
        <v>25</v>
      </c>
      <c r="F489" s="20" t="s">
        <v>812</v>
      </c>
      <c r="G489" s="15" t="s">
        <v>253</v>
      </c>
      <c r="H489" s="17" t="s">
        <v>682</v>
      </c>
      <c r="I489" s="18" t="s">
        <v>135</v>
      </c>
      <c r="J489" s="18" t="s">
        <v>813</v>
      </c>
      <c r="K489" s="23" t="s">
        <v>816</v>
      </c>
      <c r="L489" s="25" t="str">
        <f>"RUTL-"&amp;RIGHT(K489,8)</f>
        <v>RUTL-70820203</v>
      </c>
      <c r="M489" s="34" t="s">
        <v>40</v>
      </c>
      <c r="N489" s="23" t="s">
        <v>43</v>
      </c>
      <c r="O489" s="23"/>
      <c r="P489" s="39" t="s">
        <v>90</v>
      </c>
      <c r="Q489" s="63" t="s">
        <v>818</v>
      </c>
      <c r="R489" s="15" t="s">
        <v>56</v>
      </c>
      <c r="S489" s="37" t="s">
        <v>57</v>
      </c>
      <c r="T489" s="107" t="s">
        <v>453</v>
      </c>
      <c r="U489" s="39" t="s">
        <v>819</v>
      </c>
      <c r="V489" s="23"/>
      <c r="W489" s="23"/>
      <c r="X489" s="71"/>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row>
    <row r="490" spans="1:135" ht="30" customHeight="1" thickBot="1" x14ac:dyDescent="0.3">
      <c r="A490" s="578" t="s">
        <v>3502</v>
      </c>
      <c r="B490" s="8">
        <v>4172</v>
      </c>
      <c r="C490" s="72" t="s">
        <v>3499</v>
      </c>
      <c r="D490" s="15" t="s">
        <v>24</v>
      </c>
      <c r="E490" s="11" t="s">
        <v>25</v>
      </c>
      <c r="F490" s="20" t="s">
        <v>3500</v>
      </c>
      <c r="G490" s="15" t="s">
        <v>3501</v>
      </c>
      <c r="H490" s="53" t="s">
        <v>3096</v>
      </c>
      <c r="I490" s="18" t="s">
        <v>135</v>
      </c>
      <c r="J490" s="18" t="s">
        <v>813</v>
      </c>
      <c r="K490" s="33" t="s">
        <v>3503</v>
      </c>
      <c r="L490" s="25" t="str">
        <f>"RUTL-"&amp;RIGHT(K490,8)</f>
        <v>RUTL-70822343</v>
      </c>
      <c r="M490" s="34" t="s">
        <v>40</v>
      </c>
      <c r="N490" s="23" t="s">
        <v>43</v>
      </c>
      <c r="O490" s="23"/>
      <c r="P490" s="39" t="s">
        <v>90</v>
      </c>
      <c r="Q490" s="63" t="s">
        <v>3504</v>
      </c>
      <c r="R490" s="15" t="s">
        <v>56</v>
      </c>
      <c r="S490" s="37" t="s">
        <v>57</v>
      </c>
      <c r="T490" s="101" t="s">
        <v>96</v>
      </c>
      <c r="U490" s="23" t="s">
        <v>1714</v>
      </c>
      <c r="V490" s="23"/>
      <c r="W490" s="23"/>
      <c r="X490" s="71"/>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row>
    <row r="491" spans="1:135" ht="30" customHeight="1" thickBot="1" x14ac:dyDescent="0.3">
      <c r="A491" s="578" t="s">
        <v>4951</v>
      </c>
      <c r="B491" s="8">
        <v>11151</v>
      </c>
      <c r="C491" s="72" t="s">
        <v>4949</v>
      </c>
      <c r="D491" s="10" t="s">
        <v>24</v>
      </c>
      <c r="E491" s="10" t="s">
        <v>25</v>
      </c>
      <c r="F491" s="20" t="s">
        <v>4950</v>
      </c>
      <c r="G491" s="15" t="s">
        <v>3295</v>
      </c>
      <c r="H491" s="119" t="s">
        <v>1071</v>
      </c>
      <c r="I491" s="18" t="s">
        <v>135</v>
      </c>
      <c r="J491" s="18" t="s">
        <v>813</v>
      </c>
      <c r="K491" s="23" t="s">
        <v>4952</v>
      </c>
      <c r="L491" s="25" t="str">
        <f>"RUTL-"&amp;RIGHT(K491,8)</f>
        <v>RUTL-70822051</v>
      </c>
      <c r="M491" s="34" t="s">
        <v>40</v>
      </c>
      <c r="N491" s="23" t="s">
        <v>43</v>
      </c>
      <c r="O491" s="23"/>
      <c r="P491" s="35" t="s">
        <v>46</v>
      </c>
      <c r="Q491" s="36" t="s">
        <v>4953</v>
      </c>
      <c r="R491" s="15" t="s">
        <v>56</v>
      </c>
      <c r="S491" s="37" t="s">
        <v>57</v>
      </c>
      <c r="T491" s="107" t="s">
        <v>453</v>
      </c>
      <c r="U491" s="39" t="s">
        <v>4954</v>
      </c>
      <c r="V491" s="23"/>
      <c r="W491" s="23"/>
      <c r="X491" s="71"/>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row>
    <row r="492" spans="1:135" ht="30" customHeight="1" thickBot="1" x14ac:dyDescent="0.3">
      <c r="A492" s="578" t="s">
        <v>5598</v>
      </c>
      <c r="B492" s="8">
        <v>13339</v>
      </c>
      <c r="C492" s="72" t="s">
        <v>5592</v>
      </c>
      <c r="D492" s="10" t="s">
        <v>5593</v>
      </c>
      <c r="E492" s="11" t="s">
        <v>25</v>
      </c>
      <c r="F492" s="20" t="s">
        <v>5594</v>
      </c>
      <c r="G492" s="15" t="s">
        <v>5595</v>
      </c>
      <c r="H492" s="313" t="s">
        <v>4070</v>
      </c>
      <c r="I492" s="18" t="s">
        <v>5596</v>
      </c>
      <c r="J492" s="18" t="s">
        <v>5597</v>
      </c>
      <c r="K492" s="23" t="s">
        <v>5599</v>
      </c>
      <c r="L492" s="25" t="str">
        <f>"RUTL-"&amp;RIGHT(K492,8)</f>
        <v>RUTL-70822349</v>
      </c>
      <c r="M492" s="34" t="s">
        <v>40</v>
      </c>
      <c r="N492" s="23" t="s">
        <v>43</v>
      </c>
      <c r="O492" s="23"/>
      <c r="P492" s="35" t="s">
        <v>46</v>
      </c>
      <c r="Q492" s="36" t="s">
        <v>5600</v>
      </c>
      <c r="R492" s="15" t="s">
        <v>56</v>
      </c>
      <c r="S492" s="37" t="s">
        <v>57</v>
      </c>
      <c r="T492" s="101" t="s">
        <v>96</v>
      </c>
      <c r="U492" s="39" t="s">
        <v>3084</v>
      </c>
      <c r="V492" s="23"/>
      <c r="W492" s="23"/>
      <c r="X492" s="71"/>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row>
    <row r="493" spans="1:135" ht="30" customHeight="1" thickBot="1" x14ac:dyDescent="0.3">
      <c r="A493" s="578" t="s">
        <v>5072</v>
      </c>
      <c r="B493" s="16">
        <v>11597</v>
      </c>
      <c r="C493" s="72" t="s">
        <v>5070</v>
      </c>
      <c r="D493" s="10" t="s">
        <v>24</v>
      </c>
      <c r="E493" s="11" t="s">
        <v>25</v>
      </c>
      <c r="F493" s="20" t="s">
        <v>5071</v>
      </c>
      <c r="G493" s="15" t="s">
        <v>958</v>
      </c>
      <c r="H493" s="119" t="s">
        <v>1071</v>
      </c>
      <c r="I493" s="18" t="s">
        <v>135</v>
      </c>
      <c r="J493" s="18" t="s">
        <v>813</v>
      </c>
      <c r="K493" s="23" t="s">
        <v>5073</v>
      </c>
      <c r="L493" s="25" t="str">
        <f>"RUTL-"&amp;RIGHT(K493,8)</f>
        <v>RUTL-70821850</v>
      </c>
      <c r="M493" s="34" t="s">
        <v>40</v>
      </c>
      <c r="N493" s="23" t="s">
        <v>43</v>
      </c>
      <c r="O493" s="23"/>
      <c r="P493" s="35" t="s">
        <v>46</v>
      </c>
      <c r="Q493" s="36" t="s">
        <v>5074</v>
      </c>
      <c r="R493" s="15" t="s">
        <v>56</v>
      </c>
      <c r="S493" s="37" t="s">
        <v>57</v>
      </c>
      <c r="T493" s="107" t="s">
        <v>453</v>
      </c>
      <c r="U493" s="39" t="s">
        <v>1938</v>
      </c>
      <c r="V493" s="23"/>
      <c r="W493" s="23"/>
      <c r="X493" s="71"/>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row>
    <row r="494" spans="1:135" ht="30" customHeight="1" thickBot="1" x14ac:dyDescent="0.3">
      <c r="A494" s="578" t="s">
        <v>5331</v>
      </c>
      <c r="B494" s="51">
        <v>12653</v>
      </c>
      <c r="C494" s="69" t="s">
        <v>5328</v>
      </c>
      <c r="D494" s="10" t="s">
        <v>5329</v>
      </c>
      <c r="E494" s="28" t="s">
        <v>25</v>
      </c>
      <c r="F494" s="12" t="s">
        <v>5330</v>
      </c>
      <c r="G494" s="15" t="s">
        <v>448</v>
      </c>
      <c r="H494" s="374" t="s">
        <v>4465</v>
      </c>
      <c r="I494" s="18" t="s">
        <v>135</v>
      </c>
      <c r="J494" s="18" t="s">
        <v>813</v>
      </c>
      <c r="K494" s="23" t="s">
        <v>5332</v>
      </c>
      <c r="L494" s="25" t="str">
        <f>"RUTL-"&amp;RIGHT(K494,8)</f>
        <v>RUTL-70820560</v>
      </c>
      <c r="M494" s="34" t="s">
        <v>40</v>
      </c>
      <c r="N494" s="32" t="s">
        <v>43</v>
      </c>
      <c r="O494" s="32"/>
      <c r="P494" s="90" t="s">
        <v>90</v>
      </c>
      <c r="Q494" s="91" t="s">
        <v>5333</v>
      </c>
      <c r="R494" s="15" t="s">
        <v>56</v>
      </c>
      <c r="S494" s="40" t="s">
        <v>180</v>
      </c>
      <c r="T494" s="105" t="s">
        <v>148</v>
      </c>
      <c r="U494" s="39" t="s">
        <v>4375</v>
      </c>
      <c r="V494" s="32"/>
      <c r="W494" s="32"/>
      <c r="X494" s="71"/>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row>
    <row r="495" spans="1:135" ht="30" customHeight="1" thickBot="1" x14ac:dyDescent="0.3">
      <c r="A495" s="578" t="s">
        <v>5931</v>
      </c>
      <c r="B495" s="451">
        <v>14707</v>
      </c>
      <c r="C495" s="455" t="s">
        <v>5929</v>
      </c>
      <c r="D495" s="10" t="s">
        <v>24</v>
      </c>
      <c r="E495" s="11" t="s">
        <v>25</v>
      </c>
      <c r="F495" s="473" t="s">
        <v>5930</v>
      </c>
      <c r="G495" s="461" t="s">
        <v>1043</v>
      </c>
      <c r="H495" s="484" t="s">
        <v>2438</v>
      </c>
      <c r="I495" s="488" t="s">
        <v>135</v>
      </c>
      <c r="J495" s="488" t="s">
        <v>813</v>
      </c>
      <c r="K495" s="493" t="s">
        <v>5932</v>
      </c>
      <c r="L495" s="25" t="str">
        <f>"RUTL-"&amp;RIGHT(K495,8)</f>
        <v>RUTL-70821832</v>
      </c>
      <c r="M495" s="511" t="s">
        <v>40</v>
      </c>
      <c r="N495" s="23" t="s">
        <v>43</v>
      </c>
      <c r="O495" s="23"/>
      <c r="P495" s="515" t="s">
        <v>90</v>
      </c>
      <c r="Q495" s="531" t="s">
        <v>5933</v>
      </c>
      <c r="R495" s="461" t="s">
        <v>56</v>
      </c>
      <c r="S495" s="545" t="s">
        <v>57</v>
      </c>
      <c r="T495" s="557" t="s">
        <v>453</v>
      </c>
      <c r="U495" s="23" t="s">
        <v>5934</v>
      </c>
      <c r="V495" s="493"/>
      <c r="W495" s="493"/>
    </row>
    <row r="496" spans="1:135" ht="30" customHeight="1" thickBot="1" x14ac:dyDescent="0.3">
      <c r="A496" s="578" t="s">
        <v>5083</v>
      </c>
      <c r="B496" s="16">
        <v>11737</v>
      </c>
      <c r="C496" s="72" t="s">
        <v>5080</v>
      </c>
      <c r="D496" s="10" t="s">
        <v>24</v>
      </c>
      <c r="E496" s="11" t="s">
        <v>25</v>
      </c>
      <c r="F496" s="20" t="s">
        <v>5081</v>
      </c>
      <c r="G496" s="15" t="s">
        <v>958</v>
      </c>
      <c r="H496" s="104" t="s">
        <v>5082</v>
      </c>
      <c r="I496" s="24" t="s">
        <v>135</v>
      </c>
      <c r="J496" s="24" t="s">
        <v>813</v>
      </c>
      <c r="K496" s="23" t="s">
        <v>5084</v>
      </c>
      <c r="L496" s="25" t="str">
        <f>"RUTL-"&amp;RIGHT(K496,8)</f>
        <v>RUTL-70821672</v>
      </c>
      <c r="M496" s="34" t="s">
        <v>40</v>
      </c>
      <c r="N496" s="23" t="s">
        <v>43</v>
      </c>
      <c r="O496" s="23"/>
      <c r="P496" s="35" t="s">
        <v>46</v>
      </c>
      <c r="Q496" s="36" t="s">
        <v>5085</v>
      </c>
      <c r="R496" s="15" t="s">
        <v>56</v>
      </c>
      <c r="S496" s="40" t="s">
        <v>57</v>
      </c>
      <c r="T496" s="105" t="s">
        <v>148</v>
      </c>
      <c r="U496" s="39" t="s">
        <v>2589</v>
      </c>
      <c r="V496" s="23"/>
      <c r="W496" s="23"/>
      <c r="X496" s="71"/>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row>
    <row r="497" spans="1:135" ht="30" customHeight="1" thickBot="1" x14ac:dyDescent="0.3">
      <c r="A497" s="578" t="s">
        <v>5456</v>
      </c>
      <c r="B497" s="51">
        <v>12850</v>
      </c>
      <c r="C497" s="72" t="s">
        <v>5454</v>
      </c>
      <c r="D497" s="10" t="s">
        <v>24</v>
      </c>
      <c r="E497" s="11" t="s">
        <v>25</v>
      </c>
      <c r="F497" s="29" t="s">
        <v>5455</v>
      </c>
      <c r="G497" s="15" t="s">
        <v>1622</v>
      </c>
      <c r="H497" s="97" t="s">
        <v>1071</v>
      </c>
      <c r="I497" s="18" t="s">
        <v>117</v>
      </c>
      <c r="J497" s="18" t="s">
        <v>813</v>
      </c>
      <c r="K497" s="23" t="s">
        <v>5457</v>
      </c>
      <c r="L497" s="25" t="str">
        <f>"RUTL-"&amp;RIGHT(K497,8)</f>
        <v>RUTL-70820182</v>
      </c>
      <c r="M497" s="34" t="s">
        <v>40</v>
      </c>
      <c r="N497" s="32" t="s">
        <v>1018</v>
      </c>
      <c r="O497" s="32"/>
      <c r="P497" s="35" t="s">
        <v>46</v>
      </c>
      <c r="Q497" s="36" t="s">
        <v>5458</v>
      </c>
      <c r="R497" s="15" t="s">
        <v>56</v>
      </c>
      <c r="S497" s="37" t="s">
        <v>57</v>
      </c>
      <c r="T497" s="105" t="s">
        <v>148</v>
      </c>
      <c r="U497" s="32" t="s">
        <v>5459</v>
      </c>
      <c r="V497" s="32"/>
      <c r="W497" s="32"/>
      <c r="X497" s="71"/>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row>
    <row r="498" spans="1:135" ht="30" customHeight="1" thickBot="1" x14ac:dyDescent="0.3">
      <c r="A498" s="578" t="s">
        <v>6508</v>
      </c>
      <c r="B498" s="51">
        <v>16013</v>
      </c>
      <c r="C498" s="72" t="s">
        <v>6506</v>
      </c>
      <c r="D498" s="10" t="s">
        <v>24</v>
      </c>
      <c r="E498" s="11" t="s">
        <v>25</v>
      </c>
      <c r="F498" s="20" t="s">
        <v>6507</v>
      </c>
      <c r="G498" s="15" t="s">
        <v>3709</v>
      </c>
      <c r="H498" s="17" t="s">
        <v>470</v>
      </c>
      <c r="I498" s="18" t="s">
        <v>135</v>
      </c>
      <c r="J498" s="18" t="s">
        <v>813</v>
      </c>
      <c r="K498" s="23" t="s">
        <v>6509</v>
      </c>
      <c r="L498" s="25" t="str">
        <f>"RUTL-"&amp;RIGHT(K498,8)</f>
        <v>RUTL-70820002</v>
      </c>
      <c r="M498" s="34" t="s">
        <v>40</v>
      </c>
      <c r="N498" s="23" t="s">
        <v>43</v>
      </c>
      <c r="O498" s="23"/>
      <c r="P498" s="39" t="s">
        <v>90</v>
      </c>
      <c r="Q498" s="63" t="s">
        <v>6510</v>
      </c>
      <c r="R498" s="15" t="s">
        <v>56</v>
      </c>
      <c r="S498" s="37" t="s">
        <v>57</v>
      </c>
      <c r="T498" s="101" t="s">
        <v>96</v>
      </c>
      <c r="U498" s="39" t="s">
        <v>6511</v>
      </c>
      <c r="V498" s="23"/>
      <c r="W498" s="23"/>
      <c r="X498" s="71"/>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row>
    <row r="499" spans="1:135" ht="30" customHeight="1" thickBot="1" x14ac:dyDescent="0.3">
      <c r="A499" s="578" t="s">
        <v>5002</v>
      </c>
      <c r="B499" s="16">
        <v>11268</v>
      </c>
      <c r="C499" s="72" t="s">
        <v>5000</v>
      </c>
      <c r="D499" s="10" t="s">
        <v>24</v>
      </c>
      <c r="E499" s="10" t="s">
        <v>25</v>
      </c>
      <c r="F499" s="20" t="s">
        <v>5001</v>
      </c>
      <c r="G499" s="15" t="s">
        <v>889</v>
      </c>
      <c r="H499" s="17" t="s">
        <v>891</v>
      </c>
      <c r="I499" s="18" t="s">
        <v>135</v>
      </c>
      <c r="J499" s="18" t="s">
        <v>813</v>
      </c>
      <c r="K499" s="23" t="s">
        <v>5003</v>
      </c>
      <c r="L499" s="25" t="str">
        <f>"RUTL-"&amp;RIGHT(K499,8)</f>
        <v>RUTL-70822052</v>
      </c>
      <c r="M499" s="34" t="s">
        <v>40</v>
      </c>
      <c r="N499" s="23" t="s">
        <v>43</v>
      </c>
      <c r="O499" s="23"/>
      <c r="P499" s="35" t="s">
        <v>46</v>
      </c>
      <c r="Q499" s="36" t="s">
        <v>5004</v>
      </c>
      <c r="R499" s="15" t="s">
        <v>56</v>
      </c>
      <c r="S499" s="37" t="s">
        <v>57</v>
      </c>
      <c r="T499" s="108" t="s">
        <v>273</v>
      </c>
      <c r="U499" s="39" t="s">
        <v>4954</v>
      </c>
      <c r="V499" s="23"/>
      <c r="W499" s="23"/>
      <c r="X499" s="71"/>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row>
    <row r="500" spans="1:135" ht="30" customHeight="1" thickBot="1" x14ac:dyDescent="0.3">
      <c r="A500" s="578" t="s">
        <v>7358</v>
      </c>
      <c r="B500" s="51">
        <v>18471</v>
      </c>
      <c r="C500" s="52" t="s">
        <v>7356</v>
      </c>
      <c r="D500" s="10" t="s">
        <v>24</v>
      </c>
      <c r="E500" s="11" t="s">
        <v>25</v>
      </c>
      <c r="F500" s="12" t="s">
        <v>7357</v>
      </c>
      <c r="G500" s="15" t="s">
        <v>889</v>
      </c>
      <c r="H500" s="31" t="s">
        <v>470</v>
      </c>
      <c r="I500" s="18" t="s">
        <v>135</v>
      </c>
      <c r="J500" s="18" t="s">
        <v>813</v>
      </c>
      <c r="K500" s="23" t="s">
        <v>7359</v>
      </c>
      <c r="L500" s="25" t="str">
        <f>"RUTL-"&amp;RIGHT(K500,8)</f>
        <v>RUTL-70822047</v>
      </c>
      <c r="M500" s="34" t="s">
        <v>40</v>
      </c>
      <c r="N500" s="23" t="s">
        <v>43</v>
      </c>
      <c r="O500" s="23"/>
      <c r="P500" s="39" t="s">
        <v>90</v>
      </c>
      <c r="Q500" s="63" t="s">
        <v>7360</v>
      </c>
      <c r="R500" s="15" t="s">
        <v>56</v>
      </c>
      <c r="S500" s="40" t="s">
        <v>57</v>
      </c>
      <c r="T500" s="107" t="s">
        <v>453</v>
      </c>
      <c r="U500" s="39" t="s">
        <v>7361</v>
      </c>
      <c r="V500" s="23"/>
      <c r="W500" s="23"/>
      <c r="X500" s="71"/>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row>
    <row r="501" spans="1:135" ht="30" customHeight="1" thickBot="1" x14ac:dyDescent="0.3">
      <c r="A501" s="578" t="s">
        <v>5007</v>
      </c>
      <c r="B501" s="8">
        <v>11289</v>
      </c>
      <c r="C501" s="72" t="s">
        <v>5005</v>
      </c>
      <c r="D501" s="10" t="s">
        <v>24</v>
      </c>
      <c r="E501" s="10" t="s">
        <v>25</v>
      </c>
      <c r="F501" s="20" t="s">
        <v>5006</v>
      </c>
      <c r="G501" s="15" t="s">
        <v>469</v>
      </c>
      <c r="H501" s="22" t="s">
        <v>2646</v>
      </c>
      <c r="I501" s="18" t="s">
        <v>135</v>
      </c>
      <c r="J501" s="18" t="s">
        <v>813</v>
      </c>
      <c r="K501" s="23" t="s">
        <v>5008</v>
      </c>
      <c r="L501" s="25" t="str">
        <f>"RUTL-"&amp;RIGHT(K501,8)</f>
        <v>RUTL-70820339</v>
      </c>
      <c r="M501" s="34" t="s">
        <v>40</v>
      </c>
      <c r="N501" s="23" t="s">
        <v>43</v>
      </c>
      <c r="O501" s="23"/>
      <c r="P501" s="39" t="s">
        <v>90</v>
      </c>
      <c r="Q501" s="63" t="s">
        <v>5009</v>
      </c>
      <c r="R501" s="15" t="s">
        <v>56</v>
      </c>
      <c r="S501" s="37" t="s">
        <v>57</v>
      </c>
      <c r="T501" s="105" t="s">
        <v>148</v>
      </c>
      <c r="U501" s="39" t="s">
        <v>5010</v>
      </c>
      <c r="V501" s="23"/>
      <c r="W501" s="23"/>
      <c r="X501" s="71"/>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row>
    <row r="502" spans="1:135" ht="30" customHeight="1" thickBot="1" x14ac:dyDescent="0.3">
      <c r="A502" s="578" t="s">
        <v>5161</v>
      </c>
      <c r="B502" s="8">
        <v>12108</v>
      </c>
      <c r="C502" s="72" t="s">
        <v>5159</v>
      </c>
      <c r="D502" s="10" t="s">
        <v>24</v>
      </c>
      <c r="E502" s="11" t="s">
        <v>25</v>
      </c>
      <c r="F502" s="20" t="s">
        <v>5160</v>
      </c>
      <c r="G502" s="15" t="s">
        <v>958</v>
      </c>
      <c r="H502" s="119" t="s">
        <v>312</v>
      </c>
      <c r="I502" s="18" t="s">
        <v>135</v>
      </c>
      <c r="J502" s="18" t="s">
        <v>813</v>
      </c>
      <c r="K502" s="23" t="s">
        <v>5162</v>
      </c>
      <c r="L502" s="25" t="str">
        <f>"RUTL-"&amp;RIGHT(K502,8)</f>
        <v>RUTL-70820450</v>
      </c>
      <c r="M502" s="34" t="s">
        <v>40</v>
      </c>
      <c r="N502" s="23" t="s">
        <v>5163</v>
      </c>
      <c r="O502" s="23"/>
      <c r="P502" s="39" t="s">
        <v>90</v>
      </c>
      <c r="Q502" s="63" t="s">
        <v>5164</v>
      </c>
      <c r="R502" s="15" t="s">
        <v>56</v>
      </c>
      <c r="S502" s="37" t="s">
        <v>57</v>
      </c>
      <c r="T502" s="105" t="s">
        <v>148</v>
      </c>
      <c r="U502" s="39" t="s">
        <v>5165</v>
      </c>
      <c r="V502" s="23"/>
      <c r="W502" s="23"/>
      <c r="X502" s="71"/>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row>
    <row r="503" spans="1:135" ht="30" customHeight="1" thickBot="1" x14ac:dyDescent="0.3">
      <c r="A503" s="578" t="s">
        <v>5365</v>
      </c>
      <c r="B503" s="8">
        <v>12679</v>
      </c>
      <c r="C503" s="72" t="s">
        <v>5362</v>
      </c>
      <c r="D503" s="10" t="s">
        <v>24</v>
      </c>
      <c r="E503" s="11" t="s">
        <v>25</v>
      </c>
      <c r="F503" s="20" t="s">
        <v>5363</v>
      </c>
      <c r="G503" s="15" t="s">
        <v>5364</v>
      </c>
      <c r="H503" s="119" t="s">
        <v>1071</v>
      </c>
      <c r="I503" s="18" t="s">
        <v>135</v>
      </c>
      <c r="J503" s="18" t="s">
        <v>412</v>
      </c>
      <c r="K503" s="23" t="s">
        <v>5366</v>
      </c>
      <c r="L503" s="25" t="str">
        <f>"RUTL-"&amp;RIGHT(K503,8)</f>
        <v>RUTL-60821112</v>
      </c>
      <c r="M503" s="34" t="s">
        <v>40</v>
      </c>
      <c r="N503" s="39" t="s">
        <v>87</v>
      </c>
      <c r="O503" s="39" t="s">
        <v>5367</v>
      </c>
      <c r="P503" s="39" t="s">
        <v>90</v>
      </c>
      <c r="Q503" s="63" t="s">
        <v>5368</v>
      </c>
      <c r="R503" s="15" t="s">
        <v>56</v>
      </c>
      <c r="S503" s="37" t="s">
        <v>57</v>
      </c>
      <c r="T503" s="107" t="s">
        <v>148</v>
      </c>
      <c r="U503" s="39" t="s">
        <v>5195</v>
      </c>
      <c r="V503" s="23"/>
      <c r="W503" s="23" t="s">
        <v>441</v>
      </c>
      <c r="X503" s="71"/>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row>
    <row r="504" spans="1:135" ht="30" customHeight="1" thickBot="1" x14ac:dyDescent="0.35">
      <c r="A504" s="578" t="s">
        <v>1917</v>
      </c>
      <c r="B504" s="90" t="s">
        <v>1849</v>
      </c>
      <c r="C504" s="90" t="s">
        <v>1849</v>
      </c>
      <c r="D504" s="27" t="s">
        <v>1910</v>
      </c>
      <c r="E504" s="266" t="s">
        <v>25</v>
      </c>
      <c r="F504" s="15" t="s">
        <v>1911</v>
      </c>
      <c r="G504" s="15" t="s">
        <v>78</v>
      </c>
      <c r="H504" s="267" t="s">
        <v>1646</v>
      </c>
      <c r="I504" s="24" t="s">
        <v>48</v>
      </c>
      <c r="J504" s="24" t="s">
        <v>1449</v>
      </c>
      <c r="K504" s="106" t="s">
        <v>1918</v>
      </c>
      <c r="L504" s="106" t="s">
        <v>1919</v>
      </c>
      <c r="M504" s="109"/>
      <c r="N504" s="23" t="s">
        <v>43</v>
      </c>
      <c r="O504" s="23"/>
      <c r="P504" s="110" t="s">
        <v>90</v>
      </c>
      <c r="Q504" s="39" t="s">
        <v>1921</v>
      </c>
      <c r="R504" s="15" t="s">
        <v>56</v>
      </c>
      <c r="S504" s="37"/>
      <c r="T504" s="64" t="s">
        <v>453</v>
      </c>
      <c r="U504" s="23" t="s">
        <v>1922</v>
      </c>
      <c r="V504" s="48"/>
      <c r="W504" s="23"/>
      <c r="X504" s="71"/>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row>
    <row r="505" spans="1:135" ht="30" customHeight="1" thickBot="1" x14ac:dyDescent="0.3">
      <c r="A505" s="578" t="s">
        <v>2079</v>
      </c>
      <c r="B505" s="90" t="s">
        <v>1849</v>
      </c>
      <c r="C505" s="90" t="s">
        <v>1849</v>
      </c>
      <c r="D505" s="307" t="s">
        <v>2071</v>
      </c>
      <c r="E505" s="11" t="s">
        <v>25</v>
      </c>
      <c r="F505" s="15" t="s">
        <v>2076</v>
      </c>
      <c r="G505" s="15" t="s">
        <v>2077</v>
      </c>
      <c r="H505" s="267" t="s">
        <v>1646</v>
      </c>
      <c r="I505" s="18" t="s">
        <v>48</v>
      </c>
      <c r="J505" s="18" t="s">
        <v>1449</v>
      </c>
      <c r="K505" s="33" t="s">
        <v>2080</v>
      </c>
      <c r="L505" s="25" t="str">
        <f>"RUTL-"&amp;RIGHT(K505,8)</f>
        <v>RUTL-65R00464</v>
      </c>
      <c r="M505" s="144" t="s">
        <v>40</v>
      </c>
      <c r="N505" s="39" t="s">
        <v>87</v>
      </c>
      <c r="O505" s="39" t="s">
        <v>2087</v>
      </c>
      <c r="P505" s="39" t="s">
        <v>90</v>
      </c>
      <c r="Q505" s="39" t="s">
        <v>2091</v>
      </c>
      <c r="R505" s="15" t="s">
        <v>56</v>
      </c>
      <c r="S505" s="37" t="s">
        <v>57</v>
      </c>
      <c r="T505" s="101" t="s">
        <v>96</v>
      </c>
      <c r="U505" s="23" t="s">
        <v>2093</v>
      </c>
      <c r="V505" s="23"/>
      <c r="W505" s="23"/>
      <c r="X505" s="71"/>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row>
    <row r="506" spans="1:135" ht="30" customHeight="1" thickBot="1" x14ac:dyDescent="0.3">
      <c r="A506" s="578" t="s">
        <v>1611</v>
      </c>
      <c r="B506" s="159"/>
      <c r="C506" s="99" t="s">
        <v>1605</v>
      </c>
      <c r="D506" s="10" t="s">
        <v>24</v>
      </c>
      <c r="E506" s="28" t="s">
        <v>25</v>
      </c>
      <c r="F506" s="29"/>
      <c r="G506" s="12" t="s">
        <v>1607</v>
      </c>
      <c r="H506" s="31" t="s">
        <v>1608</v>
      </c>
      <c r="I506" s="24" t="s">
        <v>1609</v>
      </c>
      <c r="J506" s="24" t="s">
        <v>1610</v>
      </c>
      <c r="K506" s="23" t="s">
        <v>1615</v>
      </c>
      <c r="L506" s="21" t="s">
        <v>1617</v>
      </c>
      <c r="M506" s="34" t="s">
        <v>40</v>
      </c>
      <c r="N506" s="32" t="s">
        <v>43</v>
      </c>
      <c r="O506" s="32"/>
      <c r="P506" s="39" t="s">
        <v>90</v>
      </c>
      <c r="Q506" s="39" t="s">
        <v>1619</v>
      </c>
      <c r="R506" s="15" t="s">
        <v>56</v>
      </c>
      <c r="S506" s="37" t="s">
        <v>57</v>
      </c>
      <c r="T506" s="68" t="s">
        <v>453</v>
      </c>
      <c r="U506" s="47" t="s">
        <v>1623</v>
      </c>
      <c r="V506" s="32"/>
      <c r="W506" s="32"/>
      <c r="X506" s="71"/>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row>
    <row r="507" spans="1:135" ht="30" customHeight="1" thickBot="1" x14ac:dyDescent="0.3">
      <c r="A507" s="578" t="s">
        <v>7432</v>
      </c>
      <c r="B507" s="51">
        <v>18637</v>
      </c>
      <c r="C507" s="9" t="s">
        <v>7430</v>
      </c>
      <c r="D507" s="10" t="s">
        <v>24</v>
      </c>
      <c r="E507" s="28" t="s">
        <v>25</v>
      </c>
      <c r="F507" s="20" t="s">
        <v>7431</v>
      </c>
      <c r="G507" s="15" t="s">
        <v>1622</v>
      </c>
      <c r="H507" s="119" t="s">
        <v>1071</v>
      </c>
      <c r="I507" s="18" t="s">
        <v>4490</v>
      </c>
      <c r="J507" s="18" t="s">
        <v>121</v>
      </c>
      <c r="K507" s="33" t="s">
        <v>7433</v>
      </c>
      <c r="L507" s="25" t="str">
        <f>"RUTL-"&amp;RIGHT(K507,8)</f>
        <v>RUTL-02103151</v>
      </c>
      <c r="M507" s="144" t="s">
        <v>40</v>
      </c>
      <c r="N507" s="23" t="s">
        <v>54</v>
      </c>
      <c r="O507" s="23"/>
      <c r="P507" s="39" t="s">
        <v>90</v>
      </c>
      <c r="Q507" s="39" t="s">
        <v>7434</v>
      </c>
      <c r="R507" s="15" t="s">
        <v>56</v>
      </c>
      <c r="S507" s="37" t="s">
        <v>57</v>
      </c>
      <c r="T507" s="41" t="s">
        <v>65</v>
      </c>
      <c r="U507" s="39" t="s">
        <v>7041</v>
      </c>
      <c r="V507" s="23"/>
      <c r="W507" s="23"/>
      <c r="X507" s="71"/>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row>
    <row r="508" spans="1:135" ht="30" customHeight="1" thickBot="1" x14ac:dyDescent="0.3">
      <c r="A508" s="578" t="s">
        <v>5687</v>
      </c>
      <c r="B508" s="8">
        <v>13557</v>
      </c>
      <c r="C508" s="52" t="s">
        <v>5685</v>
      </c>
      <c r="D508" s="10" t="s">
        <v>24</v>
      </c>
      <c r="E508" s="11" t="s">
        <v>25</v>
      </c>
      <c r="F508" s="20" t="s">
        <v>5686</v>
      </c>
      <c r="G508" s="15" t="s">
        <v>3948</v>
      </c>
      <c r="H508" s="147" t="s">
        <v>434</v>
      </c>
      <c r="I508" s="18" t="s">
        <v>135</v>
      </c>
      <c r="J508" s="18" t="s">
        <v>412</v>
      </c>
      <c r="K508" s="23" t="s">
        <v>5688</v>
      </c>
      <c r="L508" s="25" t="str">
        <f>"RUTL-"&amp;RIGHT(K508,8)</f>
        <v>RUTL-60820798</v>
      </c>
      <c r="M508" s="34" t="s">
        <v>40</v>
      </c>
      <c r="N508" s="23" t="s">
        <v>43</v>
      </c>
      <c r="O508" s="23"/>
      <c r="P508" s="39" t="s">
        <v>90</v>
      </c>
      <c r="Q508" s="243" t="s">
        <v>5689</v>
      </c>
      <c r="R508" s="15" t="s">
        <v>56</v>
      </c>
      <c r="S508" s="37" t="s">
        <v>57</v>
      </c>
      <c r="T508" s="104" t="s">
        <v>273</v>
      </c>
      <c r="U508" s="39" t="s">
        <v>3460</v>
      </c>
      <c r="V508" s="23"/>
      <c r="W508" s="23"/>
      <c r="X508" s="71"/>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row>
    <row r="509" spans="1:135" ht="30" customHeight="1" thickBot="1" x14ac:dyDescent="0.3">
      <c r="A509" s="578" t="s">
        <v>2309</v>
      </c>
      <c r="B509" s="8">
        <v>994</v>
      </c>
      <c r="C509" s="52" t="s">
        <v>2307</v>
      </c>
      <c r="D509" s="15" t="s">
        <v>24</v>
      </c>
      <c r="E509" s="11" t="s">
        <v>25</v>
      </c>
      <c r="F509" s="20" t="s">
        <v>2308</v>
      </c>
      <c r="G509" s="15" t="s">
        <v>1926</v>
      </c>
      <c r="H509" s="291" t="s">
        <v>1928</v>
      </c>
      <c r="I509" s="18" t="s">
        <v>48</v>
      </c>
      <c r="J509" s="18" t="s">
        <v>1449</v>
      </c>
      <c r="K509" s="23" t="s">
        <v>2310</v>
      </c>
      <c r="L509" s="25" t="str">
        <f>"RUTL-"&amp;RIGHT(K509,8)</f>
        <v>RUTL-65R00474</v>
      </c>
      <c r="M509" s="34" t="s">
        <v>40</v>
      </c>
      <c r="N509" s="15" t="s">
        <v>319</v>
      </c>
      <c r="O509" s="23"/>
      <c r="P509" s="39" t="s">
        <v>90</v>
      </c>
      <c r="Q509" s="63" t="s">
        <v>2311</v>
      </c>
      <c r="R509" s="15" t="s">
        <v>56</v>
      </c>
      <c r="S509" s="37" t="s">
        <v>57</v>
      </c>
      <c r="T509" s="87" t="s">
        <v>273</v>
      </c>
      <c r="U509" s="39" t="s">
        <v>1922</v>
      </c>
      <c r="V509" s="23"/>
      <c r="W509" s="23"/>
      <c r="X509" s="71"/>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row>
    <row r="510" spans="1:135" ht="30" customHeight="1" thickBot="1" x14ac:dyDescent="0.3">
      <c r="A510" s="578" t="s">
        <v>5174</v>
      </c>
      <c r="B510" s="8">
        <v>12214</v>
      </c>
      <c r="C510" s="72" t="s">
        <v>5172</v>
      </c>
      <c r="D510" s="10" t="s">
        <v>24</v>
      </c>
      <c r="E510" s="11" t="s">
        <v>25</v>
      </c>
      <c r="F510" s="20" t="s">
        <v>5173</v>
      </c>
      <c r="G510" s="15" t="s">
        <v>448</v>
      </c>
      <c r="H510" s="143" t="s">
        <v>398</v>
      </c>
      <c r="I510" s="18" t="s">
        <v>48</v>
      </c>
      <c r="J510" s="18" t="s">
        <v>1449</v>
      </c>
      <c r="K510" s="23" t="s">
        <v>5175</v>
      </c>
      <c r="L510" s="25" t="str">
        <f>"RUTL-"&amp;RIGHT(K510,8)</f>
        <v>RUTL-65R00115</v>
      </c>
      <c r="M510" s="34" t="s">
        <v>40</v>
      </c>
      <c r="N510" s="39" t="s">
        <v>414</v>
      </c>
      <c r="O510" s="39" t="s">
        <v>5176</v>
      </c>
      <c r="P510" s="39" t="s">
        <v>90</v>
      </c>
      <c r="Q510" s="113"/>
      <c r="R510" s="15" t="s">
        <v>56</v>
      </c>
      <c r="S510" s="37" t="s">
        <v>57</v>
      </c>
      <c r="T510" s="107" t="s">
        <v>453</v>
      </c>
      <c r="U510" s="39" t="s">
        <v>4220</v>
      </c>
      <c r="V510" s="23"/>
      <c r="W510" s="23"/>
      <c r="X510" s="71"/>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row>
    <row r="511" spans="1:135" ht="30" customHeight="1" thickBot="1" x14ac:dyDescent="0.3">
      <c r="A511" s="578" t="s">
        <v>2472</v>
      </c>
      <c r="B511" s="75">
        <v>11045</v>
      </c>
      <c r="C511" s="72" t="s">
        <v>2466</v>
      </c>
      <c r="D511" s="10" t="s">
        <v>24</v>
      </c>
      <c r="E511" s="11" t="s">
        <v>25</v>
      </c>
      <c r="F511" s="12" t="s">
        <v>2469</v>
      </c>
      <c r="G511" s="15" t="s">
        <v>2470</v>
      </c>
      <c r="H511" s="53" t="s">
        <v>1319</v>
      </c>
      <c r="I511" s="18" t="s">
        <v>48</v>
      </c>
      <c r="J511" s="18" t="s">
        <v>1449</v>
      </c>
      <c r="K511" s="33" t="s">
        <v>2474</v>
      </c>
      <c r="L511" s="21" t="str">
        <f>"RUTL-"&amp;RIGHT(K511,8)</f>
        <v>RUTL-65R00107</v>
      </c>
      <c r="M511" s="34" t="s">
        <v>40</v>
      </c>
      <c r="N511" s="39" t="s">
        <v>414</v>
      </c>
      <c r="O511" s="175"/>
      <c r="P511" s="39" t="s">
        <v>90</v>
      </c>
      <c r="Q511" s="63" t="s">
        <v>2475</v>
      </c>
      <c r="R511" s="15" t="s">
        <v>56</v>
      </c>
      <c r="S511" s="40" t="s">
        <v>57</v>
      </c>
      <c r="T511" s="107" t="s">
        <v>901</v>
      </c>
      <c r="U511" s="39" t="s">
        <v>2476</v>
      </c>
      <c r="V511" s="23"/>
      <c r="W511" s="23"/>
      <c r="X511" s="71"/>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row>
    <row r="512" spans="1:135" ht="30" customHeight="1" thickBot="1" x14ac:dyDescent="0.3">
      <c r="A512" s="578" t="s">
        <v>5409</v>
      </c>
      <c r="B512" s="8">
        <v>12789</v>
      </c>
      <c r="C512" s="72" t="s">
        <v>5406</v>
      </c>
      <c r="D512" s="10" t="s">
        <v>24</v>
      </c>
      <c r="E512" s="11" t="s">
        <v>25</v>
      </c>
      <c r="F512" s="20" t="s">
        <v>5407</v>
      </c>
      <c r="G512" s="15" t="s">
        <v>5408</v>
      </c>
      <c r="H512" s="18" t="s">
        <v>1398</v>
      </c>
      <c r="I512" s="18" t="s">
        <v>48</v>
      </c>
      <c r="J512" s="18" t="s">
        <v>1449</v>
      </c>
      <c r="K512" s="23" t="s">
        <v>5410</v>
      </c>
      <c r="L512" s="25" t="str">
        <f>"RUTL-"&amp;RIGHT(K512,8)</f>
        <v>RUTL-65R00116</v>
      </c>
      <c r="M512" s="34" t="s">
        <v>40</v>
      </c>
      <c r="N512" s="39" t="s">
        <v>87</v>
      </c>
      <c r="O512" s="39" t="s">
        <v>5411</v>
      </c>
      <c r="P512" s="39" t="s">
        <v>90</v>
      </c>
      <c r="Q512" s="63" t="s">
        <v>5412</v>
      </c>
      <c r="R512" s="15" t="s">
        <v>56</v>
      </c>
      <c r="S512" s="37" t="s">
        <v>57</v>
      </c>
      <c r="T512" s="101" t="s">
        <v>96</v>
      </c>
      <c r="U512" s="39" t="s">
        <v>1533</v>
      </c>
      <c r="V512" s="23"/>
      <c r="W512" s="23"/>
      <c r="X512" s="71"/>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row>
    <row r="513" spans="1:135" ht="30" customHeight="1" thickBot="1" x14ac:dyDescent="0.3">
      <c r="A513" s="578" t="s">
        <v>3976</v>
      </c>
      <c r="B513" s="8">
        <v>6675</v>
      </c>
      <c r="C513" s="72" t="s">
        <v>3973</v>
      </c>
      <c r="D513" s="10" t="s">
        <v>24</v>
      </c>
      <c r="E513" s="11" t="s">
        <v>25</v>
      </c>
      <c r="F513" s="20" t="s">
        <v>3974</v>
      </c>
      <c r="G513" s="15" t="s">
        <v>3975</v>
      </c>
      <c r="H513" s="148" t="s">
        <v>436</v>
      </c>
      <c r="I513" s="18" t="s">
        <v>48</v>
      </c>
      <c r="J513" s="18" t="s">
        <v>1449</v>
      </c>
      <c r="K513" s="33" t="s">
        <v>3977</v>
      </c>
      <c r="L513" s="25" t="str">
        <f>"RUTL-"&amp;RIGHT(K513,8)</f>
        <v>RUTL-65R00489</v>
      </c>
      <c r="M513" s="34" t="s">
        <v>40</v>
      </c>
      <c r="N513" s="39" t="s">
        <v>414</v>
      </c>
      <c r="O513" s="23"/>
      <c r="P513" s="39" t="s">
        <v>90</v>
      </c>
      <c r="Q513" s="63" t="s">
        <v>3978</v>
      </c>
      <c r="R513" s="15" t="s">
        <v>56</v>
      </c>
      <c r="S513" s="37" t="s">
        <v>57</v>
      </c>
      <c r="T513" s="105" t="s">
        <v>148</v>
      </c>
      <c r="U513" s="39" t="s">
        <v>466</v>
      </c>
      <c r="V513" s="23"/>
      <c r="W513" s="23"/>
      <c r="X513" s="71"/>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row>
    <row r="514" spans="1:135" ht="30" customHeight="1" thickBot="1" x14ac:dyDescent="0.3">
      <c r="A514" s="578" t="s">
        <v>7232</v>
      </c>
      <c r="B514" s="435">
        <v>18030</v>
      </c>
      <c r="C514" s="52" t="s">
        <v>7229</v>
      </c>
      <c r="D514" s="10" t="s">
        <v>24</v>
      </c>
      <c r="E514" s="28" t="s">
        <v>25</v>
      </c>
      <c r="F514" s="20" t="s">
        <v>7230</v>
      </c>
      <c r="G514" s="15" t="s">
        <v>3212</v>
      </c>
      <c r="H514" s="476" t="s">
        <v>7231</v>
      </c>
      <c r="I514" s="18" t="s">
        <v>48</v>
      </c>
      <c r="J514" s="18" t="s">
        <v>1449</v>
      </c>
      <c r="K514" s="23" t="s">
        <v>7233</v>
      </c>
      <c r="L514" s="25" t="str">
        <f>"RUTL-"&amp;RIGHT(K514,8)</f>
        <v>RUTL-65R00100</v>
      </c>
      <c r="M514" s="34" t="s">
        <v>40</v>
      </c>
      <c r="N514" s="23" t="s">
        <v>54</v>
      </c>
      <c r="O514" s="23"/>
      <c r="P514" s="39" t="s">
        <v>90</v>
      </c>
      <c r="Q514" s="63" t="s">
        <v>7234</v>
      </c>
      <c r="R514" s="15" t="s">
        <v>56</v>
      </c>
      <c r="S514" s="37" t="s">
        <v>57</v>
      </c>
      <c r="T514" s="41" t="s">
        <v>65</v>
      </c>
      <c r="U514" s="39" t="s">
        <v>5446</v>
      </c>
      <c r="V514" s="23"/>
      <c r="W514" s="23"/>
      <c r="X514" s="71"/>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row>
    <row r="515" spans="1:135" ht="30" customHeight="1" thickBot="1" x14ac:dyDescent="0.3">
      <c r="A515" s="578" t="s">
        <v>4044</v>
      </c>
      <c r="B515" s="8">
        <v>6949</v>
      </c>
      <c r="C515" s="72" t="s">
        <v>4042</v>
      </c>
      <c r="D515" s="15" t="s">
        <v>24</v>
      </c>
      <c r="E515" s="11" t="s">
        <v>25</v>
      </c>
      <c r="F515" s="20" t="s">
        <v>4043</v>
      </c>
      <c r="G515" s="15" t="s">
        <v>3528</v>
      </c>
      <c r="H515" s="291" t="s">
        <v>1928</v>
      </c>
      <c r="I515" s="18" t="s">
        <v>48</v>
      </c>
      <c r="J515" s="18" t="s">
        <v>1449</v>
      </c>
      <c r="K515" s="33" t="s">
        <v>4045</v>
      </c>
      <c r="L515" s="25" t="str">
        <f>"RUTL-"&amp;RIGHT(K515,8)</f>
        <v>RUTL-65R00478</v>
      </c>
      <c r="M515" s="34" t="s">
        <v>40</v>
      </c>
      <c r="N515" s="23" t="s">
        <v>4046</v>
      </c>
      <c r="O515" s="23"/>
      <c r="P515" s="21"/>
      <c r="Q515" s="63" t="s">
        <v>4047</v>
      </c>
      <c r="R515" s="15" t="s">
        <v>235</v>
      </c>
      <c r="S515" s="37" t="s">
        <v>57</v>
      </c>
      <c r="T515" s="107" t="s">
        <v>453</v>
      </c>
      <c r="U515" s="39" t="s">
        <v>4048</v>
      </c>
      <c r="V515" s="23"/>
      <c r="W515" s="23"/>
      <c r="X515" s="71"/>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row>
    <row r="516" spans="1:135" ht="30" customHeight="1" thickBot="1" x14ac:dyDescent="0.3">
      <c r="A516" s="578" t="s">
        <v>4696</v>
      </c>
      <c r="B516" s="8">
        <v>9698</v>
      </c>
      <c r="C516" s="72" t="s">
        <v>4694</v>
      </c>
      <c r="D516" s="10" t="s">
        <v>24</v>
      </c>
      <c r="E516" s="11" t="s">
        <v>25</v>
      </c>
      <c r="F516" s="20" t="s">
        <v>4695</v>
      </c>
      <c r="G516" s="15" t="s">
        <v>1521</v>
      </c>
      <c r="H516" s="18" t="s">
        <v>1398</v>
      </c>
      <c r="I516" s="142" t="s">
        <v>48</v>
      </c>
      <c r="J516" s="18" t="s">
        <v>1449</v>
      </c>
      <c r="K516" s="416" t="s">
        <v>4697</v>
      </c>
      <c r="L516" s="25" t="str">
        <f>"RUTL-"&amp;RIGHT(K516,8)</f>
        <v>RUTL-65R00121</v>
      </c>
      <c r="M516" s="34" t="s">
        <v>40</v>
      </c>
      <c r="N516" s="39" t="s">
        <v>87</v>
      </c>
      <c r="O516" s="39" t="s">
        <v>4698</v>
      </c>
      <c r="P516" s="39" t="s">
        <v>90</v>
      </c>
      <c r="Q516" s="63" t="s">
        <v>4699</v>
      </c>
      <c r="R516" s="15" t="s">
        <v>56</v>
      </c>
      <c r="S516" s="40" t="s">
        <v>57</v>
      </c>
      <c r="T516" s="107" t="s">
        <v>453</v>
      </c>
      <c r="U516" s="39" t="s">
        <v>2925</v>
      </c>
      <c r="V516" s="242"/>
      <c r="W516" s="23"/>
      <c r="X516" s="71"/>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row>
    <row r="517" spans="1:135" ht="30" customHeight="1" thickBot="1" x14ac:dyDescent="0.3">
      <c r="A517" s="578" t="s">
        <v>2717</v>
      </c>
      <c r="B517" s="8">
        <v>1675</v>
      </c>
      <c r="C517" s="72" t="s">
        <v>2715</v>
      </c>
      <c r="D517" s="15" t="s">
        <v>24</v>
      </c>
      <c r="E517" s="11" t="s">
        <v>25</v>
      </c>
      <c r="F517" s="12" t="s">
        <v>2716</v>
      </c>
      <c r="G517" s="15" t="s">
        <v>78</v>
      </c>
      <c r="H517" s="173" t="s">
        <v>81</v>
      </c>
      <c r="I517" s="18" t="s">
        <v>48</v>
      </c>
      <c r="J517" s="18" t="s">
        <v>1449</v>
      </c>
      <c r="K517" s="33" t="s">
        <v>2718</v>
      </c>
      <c r="L517" s="25" t="str">
        <f>"RUTL-"&amp;RIGHT(K517,8)</f>
        <v>RUTL-65R00125</v>
      </c>
      <c r="M517" s="34" t="s">
        <v>40</v>
      </c>
      <c r="N517" s="23" t="s">
        <v>2721</v>
      </c>
      <c r="O517" s="175"/>
      <c r="P517" s="39" t="s">
        <v>90</v>
      </c>
      <c r="Q517" s="63" t="s">
        <v>2722</v>
      </c>
      <c r="R517" s="15" t="s">
        <v>235</v>
      </c>
      <c r="S517" s="37" t="s">
        <v>57</v>
      </c>
      <c r="T517" s="107" t="s">
        <v>453</v>
      </c>
      <c r="U517" s="39" t="s">
        <v>1156</v>
      </c>
      <c r="V517" s="23"/>
      <c r="W517" s="23"/>
      <c r="X517" s="71"/>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row>
    <row r="518" spans="1:135" ht="30" customHeight="1" thickBot="1" x14ac:dyDescent="0.3">
      <c r="A518" s="578" t="s">
        <v>5213</v>
      </c>
      <c r="B518" s="8">
        <v>12285</v>
      </c>
      <c r="C518" s="72" t="s">
        <v>5211</v>
      </c>
      <c r="D518" s="10" t="s">
        <v>24</v>
      </c>
      <c r="E518" s="11" t="s">
        <v>25</v>
      </c>
      <c r="F518" s="20" t="s">
        <v>5212</v>
      </c>
      <c r="G518" s="15" t="s">
        <v>109</v>
      </c>
      <c r="H518" s="291" t="s">
        <v>111</v>
      </c>
      <c r="I518" s="18" t="s">
        <v>117</v>
      </c>
      <c r="J518" s="18" t="s">
        <v>121</v>
      </c>
      <c r="K518" s="23" t="s">
        <v>5214</v>
      </c>
      <c r="L518" s="25" t="str">
        <f>"RUTL-"&amp;RIGHT(K518,8)</f>
        <v>RUTL-02103143</v>
      </c>
      <c r="M518" s="34" t="s">
        <v>40</v>
      </c>
      <c r="N518" s="227" t="s">
        <v>473</v>
      </c>
      <c r="O518" s="23"/>
      <c r="P518" s="39" t="s">
        <v>90</v>
      </c>
      <c r="Q518" s="63" t="s">
        <v>5215</v>
      </c>
      <c r="R518" s="15" t="s">
        <v>56</v>
      </c>
      <c r="S518" s="37" t="s">
        <v>57</v>
      </c>
      <c r="T518" s="107" t="s">
        <v>148</v>
      </c>
      <c r="U518" s="39" t="s">
        <v>3012</v>
      </c>
      <c r="V518" s="23"/>
      <c r="W518" s="23"/>
      <c r="X518" s="71"/>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row>
    <row r="519" spans="1:135" ht="30" customHeight="1" thickBot="1" x14ac:dyDescent="0.3">
      <c r="A519" s="578" t="s">
        <v>3008</v>
      </c>
      <c r="B519" s="8">
        <v>2362</v>
      </c>
      <c r="C519" s="52" t="s">
        <v>3003</v>
      </c>
      <c r="D519" s="140" t="s">
        <v>3004</v>
      </c>
      <c r="E519" s="11" t="s">
        <v>25</v>
      </c>
      <c r="F519" s="20" t="s">
        <v>3005</v>
      </c>
      <c r="G519" s="15" t="s">
        <v>448</v>
      </c>
      <c r="H519" s="102" t="s">
        <v>287</v>
      </c>
      <c r="I519" s="18" t="s">
        <v>3006</v>
      </c>
      <c r="J519" s="18" t="s">
        <v>3007</v>
      </c>
      <c r="K519" s="33" t="s">
        <v>3009</v>
      </c>
      <c r="L519" s="25" t="str">
        <f>"RUTL-"&amp;RIGHT(K519,8)</f>
        <v>RUTL-N0009256</v>
      </c>
      <c r="M519" s="34" t="s">
        <v>40</v>
      </c>
      <c r="N519" s="23" t="s">
        <v>3010</v>
      </c>
      <c r="O519" s="23"/>
      <c r="P519" s="39" t="s">
        <v>90</v>
      </c>
      <c r="Q519" s="63" t="s">
        <v>3011</v>
      </c>
      <c r="R519" s="15" t="s">
        <v>56</v>
      </c>
      <c r="S519" s="41" t="s">
        <v>296</v>
      </c>
      <c r="T519" s="23" t="s">
        <v>1630</v>
      </c>
      <c r="U519" s="39" t="s">
        <v>3012</v>
      </c>
      <c r="V519" s="23"/>
      <c r="W519" s="23"/>
      <c r="X519" s="71"/>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row>
    <row r="520" spans="1:135" ht="30" customHeight="1" thickBot="1" x14ac:dyDescent="0.3">
      <c r="A520" s="578" t="s">
        <v>3550</v>
      </c>
      <c r="B520" s="8">
        <v>4306</v>
      </c>
      <c r="C520" s="72" t="s">
        <v>3548</v>
      </c>
      <c r="D520" s="59" t="s">
        <v>24</v>
      </c>
      <c r="E520" s="11" t="s">
        <v>25</v>
      </c>
      <c r="F520" s="20" t="s">
        <v>3549</v>
      </c>
      <c r="G520" s="15" t="s">
        <v>448</v>
      </c>
      <c r="H520" s="53" t="s">
        <v>3096</v>
      </c>
      <c r="I520" s="18" t="s">
        <v>135</v>
      </c>
      <c r="J520" s="18" t="s">
        <v>3007</v>
      </c>
      <c r="K520" s="33" t="s">
        <v>3551</v>
      </c>
      <c r="L520" s="25" t="str">
        <f>"RUTL-"&amp;RIGHT(K520,8)</f>
        <v>RUTL-N0009103</v>
      </c>
      <c r="M520" s="34" t="s">
        <v>40</v>
      </c>
      <c r="N520" s="15" t="s">
        <v>319</v>
      </c>
      <c r="O520" s="23"/>
      <c r="P520" s="23"/>
      <c r="Q520" s="63" t="s">
        <v>3552</v>
      </c>
      <c r="R520" s="15" t="s">
        <v>56</v>
      </c>
      <c r="S520" s="37" t="s">
        <v>57</v>
      </c>
      <c r="T520" s="108" t="s">
        <v>273</v>
      </c>
      <c r="U520" s="39" t="s">
        <v>3553</v>
      </c>
      <c r="V520" s="23"/>
      <c r="W520" s="23"/>
      <c r="X520" s="71"/>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row>
    <row r="521" spans="1:135" ht="30" customHeight="1" thickBot="1" x14ac:dyDescent="0.3">
      <c r="A521" s="578" t="s">
        <v>1488</v>
      </c>
      <c r="B521" s="8">
        <v>12654</v>
      </c>
      <c r="C521" s="72" t="s">
        <v>1482</v>
      </c>
      <c r="D521" s="140" t="s">
        <v>24</v>
      </c>
      <c r="E521" s="11" t="s">
        <v>25</v>
      </c>
      <c r="F521" s="20" t="s">
        <v>1484</v>
      </c>
      <c r="G521" s="15" t="s">
        <v>1486</v>
      </c>
      <c r="H521" s="102" t="s">
        <v>97</v>
      </c>
      <c r="I521" s="18" t="s">
        <v>48</v>
      </c>
      <c r="J521" s="18" t="s">
        <v>1449</v>
      </c>
      <c r="K521" s="23" t="s">
        <v>1489</v>
      </c>
      <c r="L521" s="25" t="str">
        <f>"RUTL-"&amp;RIGHT(K521,8)</f>
        <v>RUTL-65R00113</v>
      </c>
      <c r="M521" s="34" t="s">
        <v>40</v>
      </c>
      <c r="N521" s="23" t="s">
        <v>43</v>
      </c>
      <c r="O521" s="23"/>
      <c r="P521" s="39" t="s">
        <v>90</v>
      </c>
      <c r="Q521" s="63" t="s">
        <v>1493</v>
      </c>
      <c r="R521" s="15" t="s">
        <v>56</v>
      </c>
      <c r="S521" s="37" t="s">
        <v>180</v>
      </c>
      <c r="T521" s="105" t="s">
        <v>148</v>
      </c>
      <c r="U521" s="39" t="s">
        <v>1497</v>
      </c>
      <c r="V521" s="23"/>
      <c r="W521" s="23" t="s">
        <v>1498</v>
      </c>
      <c r="X521" s="71"/>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row>
    <row r="522" spans="1:135" ht="30" customHeight="1" thickBot="1" x14ac:dyDescent="0.3">
      <c r="A522" s="578" t="s">
        <v>4969</v>
      </c>
      <c r="B522" s="8">
        <v>11218</v>
      </c>
      <c r="C522" s="72" t="s">
        <v>4966</v>
      </c>
      <c r="D522" s="140" t="s">
        <v>24</v>
      </c>
      <c r="E522" s="10" t="s">
        <v>25</v>
      </c>
      <c r="F522" s="20" t="s">
        <v>4967</v>
      </c>
      <c r="G522" s="15" t="s">
        <v>4968</v>
      </c>
      <c r="H522" s="291" t="s">
        <v>1928</v>
      </c>
      <c r="I522" s="18" t="s">
        <v>48</v>
      </c>
      <c r="J522" s="18" t="s">
        <v>1449</v>
      </c>
      <c r="K522" s="23" t="s">
        <v>4970</v>
      </c>
      <c r="L522" s="25" t="str">
        <f>"RUTL-"&amp;RIGHT(K522,8)</f>
        <v>RUTL-65R00123</v>
      </c>
      <c r="M522" s="34" t="s">
        <v>40</v>
      </c>
      <c r="N522" s="39" t="s">
        <v>87</v>
      </c>
      <c r="O522" s="39"/>
      <c r="P522" s="39" t="s">
        <v>90</v>
      </c>
      <c r="Q522" s="63" t="s">
        <v>4971</v>
      </c>
      <c r="R522" s="15" t="s">
        <v>56</v>
      </c>
      <c r="S522" s="37" t="s">
        <v>57</v>
      </c>
      <c r="T522" s="101" t="s">
        <v>96</v>
      </c>
      <c r="U522" s="39" t="s">
        <v>3460</v>
      </c>
      <c r="V522" s="23"/>
      <c r="W522" s="23"/>
      <c r="X522" s="71"/>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row>
    <row r="523" spans="1:135" ht="30" customHeight="1" thickBot="1" x14ac:dyDescent="0.3">
      <c r="A523" s="578" t="s">
        <v>5427</v>
      </c>
      <c r="B523" s="8">
        <v>12809</v>
      </c>
      <c r="C523" s="72" t="s">
        <v>5425</v>
      </c>
      <c r="D523" s="140" t="s">
        <v>24</v>
      </c>
      <c r="E523" s="11" t="s">
        <v>25</v>
      </c>
      <c r="F523" s="20" t="s">
        <v>5426</v>
      </c>
      <c r="G523" s="15" t="s">
        <v>3528</v>
      </c>
      <c r="H523" s="76" t="s">
        <v>1928</v>
      </c>
      <c r="I523" s="24" t="s">
        <v>48</v>
      </c>
      <c r="J523" s="24" t="s">
        <v>1449</v>
      </c>
      <c r="K523" s="23" t="s">
        <v>5428</v>
      </c>
      <c r="L523" s="25" t="str">
        <f>"RUTL-"&amp;RIGHT(K523,8)</f>
        <v>RUTL-65R00480</v>
      </c>
      <c r="M523" s="34" t="s">
        <v>40</v>
      </c>
      <c r="N523" s="32" t="s">
        <v>43</v>
      </c>
      <c r="O523" s="32"/>
      <c r="P523" s="39" t="s">
        <v>90</v>
      </c>
      <c r="Q523" s="63" t="s">
        <v>5429</v>
      </c>
      <c r="R523" s="15" t="s">
        <v>56</v>
      </c>
      <c r="S523" s="37" t="s">
        <v>57</v>
      </c>
      <c r="T523" s="108" t="s">
        <v>273</v>
      </c>
      <c r="U523" s="39" t="s">
        <v>4055</v>
      </c>
      <c r="V523" s="32"/>
      <c r="W523" s="23"/>
      <c r="X523" s="71"/>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row>
    <row r="524" spans="1:135" ht="30" customHeight="1" thickBot="1" x14ac:dyDescent="0.3">
      <c r="A524" s="578" t="s">
        <v>5948</v>
      </c>
      <c r="B524" s="437">
        <v>14720</v>
      </c>
      <c r="C524" s="52" t="s">
        <v>5945</v>
      </c>
      <c r="D524" s="140" t="s">
        <v>24</v>
      </c>
      <c r="E524" s="11" t="s">
        <v>25</v>
      </c>
      <c r="F524" s="12" t="s">
        <v>5946</v>
      </c>
      <c r="G524" s="15" t="s">
        <v>5947</v>
      </c>
      <c r="H524" s="17" t="s">
        <v>1846</v>
      </c>
      <c r="I524" s="18" t="s">
        <v>135</v>
      </c>
      <c r="J524" s="18" t="s">
        <v>121</v>
      </c>
      <c r="K524" s="23" t="s">
        <v>5949</v>
      </c>
      <c r="L524" s="25" t="str">
        <f>"RUTL-"&amp;RIGHT(K524,8)</f>
        <v>RUTL-02103060</v>
      </c>
      <c r="M524" s="34" t="s">
        <v>40</v>
      </c>
      <c r="N524" s="23" t="s">
        <v>43</v>
      </c>
      <c r="O524" s="23" t="s">
        <v>5950</v>
      </c>
      <c r="P524" s="39" t="s">
        <v>90</v>
      </c>
      <c r="Q524" s="63" t="s">
        <v>5951</v>
      </c>
      <c r="R524" s="15" t="s">
        <v>56</v>
      </c>
      <c r="S524" s="37" t="s">
        <v>57</v>
      </c>
      <c r="T524" s="107" t="s">
        <v>453</v>
      </c>
      <c r="U524" s="23" t="s">
        <v>3856</v>
      </c>
      <c r="V524" s="23"/>
      <c r="W524" s="23"/>
      <c r="X524" s="71"/>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row>
    <row r="525" spans="1:135" ht="30" customHeight="1" thickBot="1" x14ac:dyDescent="0.3">
      <c r="A525" s="578" t="s">
        <v>6249</v>
      </c>
      <c r="B525" s="8">
        <v>15497</v>
      </c>
      <c r="C525" s="69" t="s">
        <v>6247</v>
      </c>
      <c r="D525" s="140" t="s">
        <v>24</v>
      </c>
      <c r="E525" s="11" t="s">
        <v>25</v>
      </c>
      <c r="F525" s="29" t="s">
        <v>6248</v>
      </c>
      <c r="G525" s="15" t="s">
        <v>4574</v>
      </c>
      <c r="H525" s="76" t="s">
        <v>2731</v>
      </c>
      <c r="I525" s="24" t="s">
        <v>48</v>
      </c>
      <c r="J525" s="24" t="s">
        <v>1449</v>
      </c>
      <c r="K525" s="23" t="s">
        <v>6250</v>
      </c>
      <c r="L525" s="25" t="str">
        <f>"RUTL-"&amp;RIGHT(K525,8)</f>
        <v>RUTL-65R00485</v>
      </c>
      <c r="M525" s="34" t="s">
        <v>40</v>
      </c>
      <c r="N525" s="90" t="s">
        <v>87</v>
      </c>
      <c r="O525" s="32"/>
      <c r="P525" s="90" t="s">
        <v>90</v>
      </c>
      <c r="Q525" s="100"/>
      <c r="R525" s="15" t="s">
        <v>56</v>
      </c>
      <c r="S525" s="40" t="s">
        <v>57</v>
      </c>
      <c r="T525" s="350" t="s">
        <v>96</v>
      </c>
      <c r="U525" s="39" t="s">
        <v>297</v>
      </c>
      <c r="V525" s="32"/>
      <c r="W525" s="32"/>
      <c r="X525" s="71"/>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row>
    <row r="526" spans="1:135" ht="30" customHeight="1" thickBot="1" x14ac:dyDescent="0.3">
      <c r="A526" s="578" t="s">
        <v>5849</v>
      </c>
      <c r="B526" s="8">
        <v>14524</v>
      </c>
      <c r="C526" s="72" t="s">
        <v>5847</v>
      </c>
      <c r="D526" s="140" t="s">
        <v>24</v>
      </c>
      <c r="E526" s="11" t="s">
        <v>25</v>
      </c>
      <c r="F526" s="20" t="s">
        <v>5848</v>
      </c>
      <c r="G526" s="15" t="s">
        <v>4968</v>
      </c>
      <c r="H526" s="291" t="s">
        <v>1928</v>
      </c>
      <c r="I526" s="18" t="s">
        <v>48</v>
      </c>
      <c r="J526" s="18" t="s">
        <v>1449</v>
      </c>
      <c r="K526" s="23" t="s">
        <v>5850</v>
      </c>
      <c r="L526" s="25" t="str">
        <f>"RUTL-"&amp;RIGHT(K526,8)</f>
        <v>RUTL-65R00117</v>
      </c>
      <c r="M526" s="34" t="s">
        <v>40</v>
      </c>
      <c r="N526" s="39" t="s">
        <v>5851</v>
      </c>
      <c r="O526" s="23"/>
      <c r="P526" s="39" t="s">
        <v>90</v>
      </c>
      <c r="Q526" s="63" t="s">
        <v>5852</v>
      </c>
      <c r="R526" s="15" t="s">
        <v>56</v>
      </c>
      <c r="S526" s="37" t="s">
        <v>180</v>
      </c>
      <c r="T526" s="101" t="s">
        <v>96</v>
      </c>
      <c r="U526" s="23" t="s">
        <v>1406</v>
      </c>
      <c r="V526" s="386"/>
      <c r="W526" s="23"/>
      <c r="X526" s="71"/>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row>
    <row r="527" spans="1:135" ht="30" customHeight="1" thickBot="1" x14ac:dyDescent="0.3">
      <c r="A527" s="578" t="s">
        <v>5886</v>
      </c>
      <c r="B527" s="8">
        <v>14677</v>
      </c>
      <c r="C527" s="72" t="s">
        <v>5883</v>
      </c>
      <c r="D527" s="140" t="s">
        <v>24</v>
      </c>
      <c r="E527" s="11" t="s">
        <v>25</v>
      </c>
      <c r="F527" s="20" t="s">
        <v>5884</v>
      </c>
      <c r="G527" s="15" t="s">
        <v>5885</v>
      </c>
      <c r="H527" s="108" t="s">
        <v>225</v>
      </c>
      <c r="I527" s="18" t="s">
        <v>117</v>
      </c>
      <c r="J527" s="18" t="s">
        <v>121</v>
      </c>
      <c r="K527" s="23" t="s">
        <v>5887</v>
      </c>
      <c r="L527" s="25" t="str">
        <f>"RUTL-"&amp;RIGHT(K527,8)</f>
        <v>RUTL-02103198</v>
      </c>
      <c r="M527" s="34" t="s">
        <v>40</v>
      </c>
      <c r="N527" s="23" t="s">
        <v>43</v>
      </c>
      <c r="O527" s="175"/>
      <c r="P527" s="39" t="s">
        <v>90</v>
      </c>
      <c r="Q527" s="63" t="s">
        <v>5888</v>
      </c>
      <c r="R527" s="15" t="s">
        <v>56</v>
      </c>
      <c r="S527" s="37" t="s">
        <v>57</v>
      </c>
      <c r="T527" s="107" t="s">
        <v>148</v>
      </c>
      <c r="U527" s="39" t="s">
        <v>1201</v>
      </c>
      <c r="V527" s="23"/>
      <c r="W527" s="23"/>
      <c r="X527" s="71"/>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row>
    <row r="528" spans="1:135" ht="30" customHeight="1" thickBot="1" x14ac:dyDescent="0.3">
      <c r="A528" s="578" t="s">
        <v>5337</v>
      </c>
      <c r="B528" s="51">
        <v>12656</v>
      </c>
      <c r="C528" s="52" t="s">
        <v>5334</v>
      </c>
      <c r="D528" s="140" t="s">
        <v>5335</v>
      </c>
      <c r="E528" s="28" t="s">
        <v>25</v>
      </c>
      <c r="F528" s="20" t="s">
        <v>5336</v>
      </c>
      <c r="G528" s="15" t="s">
        <v>285</v>
      </c>
      <c r="H528" s="55" t="s">
        <v>81</v>
      </c>
      <c r="I528" s="18" t="s">
        <v>48</v>
      </c>
      <c r="J528" s="18" t="s">
        <v>1449</v>
      </c>
      <c r="K528" s="33" t="s">
        <v>5338</v>
      </c>
      <c r="L528" s="25" t="str">
        <f>"RUTL-"&amp;RIGHT(K528,8)</f>
        <v>RUTL-65R00124</v>
      </c>
      <c r="M528" s="34" t="s">
        <v>40</v>
      </c>
      <c r="N528" s="90" t="s">
        <v>43</v>
      </c>
      <c r="O528" s="88"/>
      <c r="P528" s="35" t="s">
        <v>46</v>
      </c>
      <c r="Q528" s="36" t="s">
        <v>5339</v>
      </c>
      <c r="R528" s="15" t="s">
        <v>56</v>
      </c>
      <c r="S528" s="40" t="s">
        <v>180</v>
      </c>
      <c r="T528" s="105" t="s">
        <v>148</v>
      </c>
      <c r="U528" s="39" t="s">
        <v>5340</v>
      </c>
      <c r="V528" s="32"/>
      <c r="W528" s="32"/>
      <c r="X528" s="71"/>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row>
    <row r="529" spans="1:135" ht="30" customHeight="1" thickBot="1" x14ac:dyDescent="0.3">
      <c r="A529" s="578" t="s">
        <v>3016</v>
      </c>
      <c r="B529" s="8">
        <v>2435</v>
      </c>
      <c r="C529" s="72" t="s">
        <v>3013</v>
      </c>
      <c r="D529" s="140" t="s">
        <v>24</v>
      </c>
      <c r="E529" s="11" t="s">
        <v>25</v>
      </c>
      <c r="F529" s="12" t="s">
        <v>3014</v>
      </c>
      <c r="G529" s="15" t="s">
        <v>1401</v>
      </c>
      <c r="H529" s="291" t="s">
        <v>3015</v>
      </c>
      <c r="I529" s="18" t="s">
        <v>48</v>
      </c>
      <c r="J529" s="18" t="s">
        <v>1449</v>
      </c>
      <c r="K529" s="33" t="s">
        <v>3017</v>
      </c>
      <c r="L529" s="25" t="str">
        <f>"RUTL-"&amp;RIGHT(K529,8)</f>
        <v>RUTL-65R00481</v>
      </c>
      <c r="M529" s="34" t="s">
        <v>40</v>
      </c>
      <c r="N529" s="15" t="s">
        <v>319</v>
      </c>
      <c r="O529" s="23"/>
      <c r="P529" s="39"/>
      <c r="Q529" s="113"/>
      <c r="R529" s="15" t="s">
        <v>235</v>
      </c>
      <c r="S529" s="37" t="s">
        <v>57</v>
      </c>
      <c r="T529" s="101" t="s">
        <v>96</v>
      </c>
      <c r="U529" s="39" t="s">
        <v>1377</v>
      </c>
      <c r="V529" s="23"/>
      <c r="W529" s="23" t="s">
        <v>3018</v>
      </c>
      <c r="X529" s="71"/>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row>
    <row r="530" spans="1:135" ht="30" customHeight="1" thickBot="1" x14ac:dyDescent="0.3">
      <c r="A530" s="578" t="s">
        <v>1450</v>
      </c>
      <c r="B530" s="8">
        <v>12581</v>
      </c>
      <c r="C530" s="72" t="s">
        <v>1443</v>
      </c>
      <c r="D530" s="140" t="s">
        <v>24</v>
      </c>
      <c r="E530" s="11" t="s">
        <v>25</v>
      </c>
      <c r="F530" s="20" t="s">
        <v>1445</v>
      </c>
      <c r="G530" s="15" t="s">
        <v>1447</v>
      </c>
      <c r="H530" s="102" t="s">
        <v>97</v>
      </c>
      <c r="I530" s="18" t="s">
        <v>48</v>
      </c>
      <c r="J530" s="18" t="s">
        <v>1449</v>
      </c>
      <c r="K530" s="23" t="s">
        <v>1456</v>
      </c>
      <c r="L530" s="25" t="str">
        <f>"RUTL-"&amp;RIGHT(K530,8)</f>
        <v>RUTL-65R00486</v>
      </c>
      <c r="M530" s="34" t="s">
        <v>40</v>
      </c>
      <c r="N530" s="23"/>
      <c r="O530" s="23"/>
      <c r="P530" s="21"/>
      <c r="Q530" s="113"/>
      <c r="R530" s="15" t="s">
        <v>56</v>
      </c>
      <c r="S530" s="37" t="s">
        <v>57</v>
      </c>
      <c r="T530" s="104" t="s">
        <v>453</v>
      </c>
      <c r="U530" s="39" t="s">
        <v>1465</v>
      </c>
      <c r="V530" s="23"/>
      <c r="W530" s="23"/>
      <c r="X530" s="71"/>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row>
    <row r="531" spans="1:135" ht="30" customHeight="1" thickBot="1" x14ac:dyDescent="0.3">
      <c r="A531" s="578" t="s">
        <v>5520</v>
      </c>
      <c r="B531" s="8">
        <v>13086</v>
      </c>
      <c r="C531" s="52" t="s">
        <v>5517</v>
      </c>
      <c r="D531" s="140" t="s">
        <v>24</v>
      </c>
      <c r="E531" s="11" t="s">
        <v>25</v>
      </c>
      <c r="F531" s="20" t="s">
        <v>5518</v>
      </c>
      <c r="G531" s="15" t="s">
        <v>5519</v>
      </c>
      <c r="H531" s="313" t="s">
        <v>4070</v>
      </c>
      <c r="I531" s="18" t="s">
        <v>48</v>
      </c>
      <c r="J531" s="18" t="s">
        <v>1449</v>
      </c>
      <c r="K531" s="23" t="s">
        <v>5521</v>
      </c>
      <c r="L531" s="25" t="str">
        <f>"RUTL-"&amp;RIGHT(K531,8)</f>
        <v>RUTL-65R00101</v>
      </c>
      <c r="M531" s="34" t="s">
        <v>40</v>
      </c>
      <c r="N531" s="23" t="s">
        <v>43</v>
      </c>
      <c r="O531" s="23"/>
      <c r="P531" s="39" t="s">
        <v>90</v>
      </c>
      <c r="Q531" s="113"/>
      <c r="R531" s="15" t="s">
        <v>56</v>
      </c>
      <c r="S531" s="37" t="s">
        <v>57</v>
      </c>
      <c r="T531" s="105" t="s">
        <v>148</v>
      </c>
      <c r="U531" s="39" t="s">
        <v>3408</v>
      </c>
      <c r="V531" s="23"/>
      <c r="W531" s="23"/>
      <c r="X531" s="71"/>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row>
    <row r="532" spans="1:135" ht="30" customHeight="1" thickBot="1" x14ac:dyDescent="0.3">
      <c r="A532" s="578" t="s">
        <v>1257</v>
      </c>
      <c r="B532" s="8">
        <v>511</v>
      </c>
      <c r="C532" s="72" t="s">
        <v>1253</v>
      </c>
      <c r="D532" s="59" t="s">
        <v>24</v>
      </c>
      <c r="E532" s="11" t="s">
        <v>25</v>
      </c>
      <c r="F532" s="12" t="s">
        <v>88</v>
      </c>
      <c r="G532" s="15" t="s">
        <v>448</v>
      </c>
      <c r="H532" s="31" t="s">
        <v>92</v>
      </c>
      <c r="I532" s="18" t="s">
        <v>117</v>
      </c>
      <c r="J532" s="18" t="s">
        <v>514</v>
      </c>
      <c r="K532" s="23" t="s">
        <v>1258</v>
      </c>
      <c r="L532" s="25" t="str">
        <f>"RUTL-"&amp;RIGHT(K532,8)</f>
        <v>RUTL-0F113400</v>
      </c>
      <c r="M532" s="34" t="s">
        <v>40</v>
      </c>
      <c r="N532" s="23" t="s">
        <v>43</v>
      </c>
      <c r="O532" s="23"/>
      <c r="P532" s="35" t="s">
        <v>46</v>
      </c>
      <c r="Q532" s="36" t="s">
        <v>1260</v>
      </c>
      <c r="R532" s="15" t="s">
        <v>56</v>
      </c>
      <c r="S532" s="37" t="s">
        <v>180</v>
      </c>
      <c r="T532" s="101" t="s">
        <v>96</v>
      </c>
      <c r="U532" s="39" t="s">
        <v>1261</v>
      </c>
      <c r="V532" s="111">
        <v>45880</v>
      </c>
      <c r="W532" s="23" t="s">
        <v>529</v>
      </c>
      <c r="X532" s="71"/>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row>
    <row r="533" spans="1:135" ht="30" customHeight="1" thickBot="1" x14ac:dyDescent="0.3">
      <c r="A533" s="578" t="s">
        <v>5020</v>
      </c>
      <c r="B533" s="16">
        <v>11347</v>
      </c>
      <c r="C533" s="72" t="s">
        <v>5017</v>
      </c>
      <c r="D533" s="140" t="s">
        <v>24</v>
      </c>
      <c r="E533" s="11" t="s">
        <v>25</v>
      </c>
      <c r="F533" s="20" t="s">
        <v>5018</v>
      </c>
      <c r="G533" s="15" t="s">
        <v>5019</v>
      </c>
      <c r="H533" s="147" t="s">
        <v>1882</v>
      </c>
      <c r="I533" s="18" t="s">
        <v>117</v>
      </c>
      <c r="J533" s="18" t="s">
        <v>514</v>
      </c>
      <c r="K533" s="23" t="s">
        <v>5021</v>
      </c>
      <c r="L533" s="25" t="str">
        <f>"RUTL-"&amp;RIGHT(K533,8)</f>
        <v>RUTL-10293400</v>
      </c>
      <c r="M533" s="34" t="s">
        <v>40</v>
      </c>
      <c r="N533" s="23" t="s">
        <v>43</v>
      </c>
      <c r="O533" s="23"/>
      <c r="P533" s="35" t="s">
        <v>46</v>
      </c>
      <c r="Q533" s="36" t="s">
        <v>5022</v>
      </c>
      <c r="R533" s="15" t="s">
        <v>56</v>
      </c>
      <c r="S533" s="37" t="s">
        <v>57</v>
      </c>
      <c r="T533" s="87" t="s">
        <v>273</v>
      </c>
      <c r="U533" s="39" t="s">
        <v>911</v>
      </c>
      <c r="V533" s="48">
        <v>45880</v>
      </c>
      <c r="W533" s="23" t="s">
        <v>529</v>
      </c>
      <c r="X533" s="71"/>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row>
    <row r="534" spans="1:135" ht="30" customHeight="1" thickBot="1" x14ac:dyDescent="0.3">
      <c r="A534" s="578" t="s">
        <v>5535</v>
      </c>
      <c r="B534" s="8">
        <v>13210</v>
      </c>
      <c r="C534" s="72" t="s">
        <v>5533</v>
      </c>
      <c r="D534" s="140" t="s">
        <v>24</v>
      </c>
      <c r="E534" s="11" t="s">
        <v>25</v>
      </c>
      <c r="F534" s="20" t="s">
        <v>5534</v>
      </c>
      <c r="G534" s="15" t="s">
        <v>1241</v>
      </c>
      <c r="H534" s="17" t="s">
        <v>470</v>
      </c>
      <c r="I534" s="18" t="s">
        <v>117</v>
      </c>
      <c r="J534" s="18" t="s">
        <v>514</v>
      </c>
      <c r="K534" s="23" t="s">
        <v>5536</v>
      </c>
      <c r="L534" s="25" t="str">
        <f>"RUTL-"&amp;RIGHT(K534,8)</f>
        <v>RUTL-0F153400</v>
      </c>
      <c r="M534" s="34" t="s">
        <v>40</v>
      </c>
      <c r="N534" s="23" t="s">
        <v>43</v>
      </c>
      <c r="O534" s="23"/>
      <c r="P534" s="35" t="s">
        <v>46</v>
      </c>
      <c r="Q534" s="36" t="s">
        <v>5537</v>
      </c>
      <c r="R534" s="15" t="s">
        <v>56</v>
      </c>
      <c r="S534" s="37" t="s">
        <v>57</v>
      </c>
      <c r="T534" s="107" t="s">
        <v>148</v>
      </c>
      <c r="U534" s="23" t="s">
        <v>1887</v>
      </c>
      <c r="V534" s="111">
        <v>45880</v>
      </c>
      <c r="W534" s="23" t="s">
        <v>529</v>
      </c>
      <c r="X534" s="71"/>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row>
    <row r="535" spans="1:135" ht="30" customHeight="1" thickBot="1" x14ac:dyDescent="0.3">
      <c r="A535" s="578" t="s">
        <v>3296</v>
      </c>
      <c r="B535" s="8">
        <v>3317</v>
      </c>
      <c r="C535" s="72" t="s">
        <v>3293</v>
      </c>
      <c r="D535" s="59" t="s">
        <v>24</v>
      </c>
      <c r="E535" s="11" t="s">
        <v>25</v>
      </c>
      <c r="F535" s="20" t="s">
        <v>3294</v>
      </c>
      <c r="G535" s="15" t="s">
        <v>3295</v>
      </c>
      <c r="H535" s="119" t="s">
        <v>312</v>
      </c>
      <c r="I535" s="18" t="s">
        <v>135</v>
      </c>
      <c r="J535" s="18" t="s">
        <v>514</v>
      </c>
      <c r="K535" s="33" t="s">
        <v>3297</v>
      </c>
      <c r="L535" s="25" t="str">
        <f>"RUTL-"&amp;RIGHT(K535,8)</f>
        <v>RUTL-10113400</v>
      </c>
      <c r="M535" s="34" t="s">
        <v>40</v>
      </c>
      <c r="N535" s="23"/>
      <c r="O535" s="23"/>
      <c r="P535" s="35" t="s">
        <v>46</v>
      </c>
      <c r="Q535" s="36" t="s">
        <v>146</v>
      </c>
      <c r="R535" s="15" t="s">
        <v>56</v>
      </c>
      <c r="S535" s="37" t="s">
        <v>57</v>
      </c>
      <c r="T535" s="105" t="s">
        <v>148</v>
      </c>
      <c r="U535" s="39" t="s">
        <v>3298</v>
      </c>
      <c r="V535" s="111">
        <v>45880</v>
      </c>
      <c r="W535" s="23" t="s">
        <v>529</v>
      </c>
      <c r="X535" s="71"/>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row>
    <row r="536" spans="1:135" ht="30" customHeight="1" thickBot="1" x14ac:dyDescent="0.3">
      <c r="A536" s="578" t="s">
        <v>3619</v>
      </c>
      <c r="B536" s="8">
        <v>4809</v>
      </c>
      <c r="C536" s="72" t="s">
        <v>3616</v>
      </c>
      <c r="D536" s="15" t="s">
        <v>24</v>
      </c>
      <c r="E536" s="11" t="s">
        <v>25</v>
      </c>
      <c r="F536" s="29" t="s">
        <v>3617</v>
      </c>
      <c r="G536" s="15" t="s">
        <v>3618</v>
      </c>
      <c r="H536" s="17" t="s">
        <v>682</v>
      </c>
      <c r="I536" s="18" t="s">
        <v>135</v>
      </c>
      <c r="J536" s="18" t="s">
        <v>514</v>
      </c>
      <c r="K536" s="33" t="s">
        <v>3620</v>
      </c>
      <c r="L536" s="25" t="str">
        <f>"RUTL-"&amp;RIGHT(K536,8)</f>
        <v>RUTL-0F093400</v>
      </c>
      <c r="M536" s="34" t="s">
        <v>40</v>
      </c>
      <c r="N536" s="23" t="s">
        <v>43</v>
      </c>
      <c r="O536" s="23"/>
      <c r="P536" s="35" t="s">
        <v>46</v>
      </c>
      <c r="Q536" s="36" t="s">
        <v>3621</v>
      </c>
      <c r="R536" s="15" t="s">
        <v>56</v>
      </c>
      <c r="S536" s="21" t="s">
        <v>57</v>
      </c>
      <c r="T536" s="101" t="s">
        <v>96</v>
      </c>
      <c r="U536" s="39" t="s">
        <v>1261</v>
      </c>
      <c r="V536" s="111">
        <v>45880</v>
      </c>
      <c r="W536" s="23" t="s">
        <v>529</v>
      </c>
      <c r="X536" s="71"/>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row>
    <row r="537" spans="1:135" ht="30" customHeight="1" thickBot="1" x14ac:dyDescent="0.3">
      <c r="A537" s="578" t="s">
        <v>3704</v>
      </c>
      <c r="B537" s="8">
        <v>5310</v>
      </c>
      <c r="C537" s="72" t="s">
        <v>3702</v>
      </c>
      <c r="D537" s="15" t="s">
        <v>24</v>
      </c>
      <c r="E537" s="11" t="s">
        <v>25</v>
      </c>
      <c r="F537" s="12" t="s">
        <v>3703</v>
      </c>
      <c r="G537" s="15" t="s">
        <v>3628</v>
      </c>
      <c r="H537" s="291" t="s">
        <v>3268</v>
      </c>
      <c r="I537" s="18" t="s">
        <v>135</v>
      </c>
      <c r="J537" s="18" t="s">
        <v>514</v>
      </c>
      <c r="K537" s="33" t="s">
        <v>3705</v>
      </c>
      <c r="L537" s="25" t="str">
        <f>"RUTL-"&amp;RIGHT(K537,8)</f>
        <v>RUTL-0FCC3400</v>
      </c>
      <c r="M537" s="34" t="s">
        <v>40</v>
      </c>
      <c r="N537" s="23" t="s">
        <v>87</v>
      </c>
      <c r="O537" s="23"/>
      <c r="P537" s="35" t="s">
        <v>46</v>
      </c>
      <c r="Q537" s="36" t="s">
        <v>3706</v>
      </c>
      <c r="R537" s="15" t="s">
        <v>56</v>
      </c>
      <c r="S537" s="37" t="s">
        <v>57</v>
      </c>
      <c r="T537" s="101" t="s">
        <v>96</v>
      </c>
      <c r="U537" s="39" t="s">
        <v>3298</v>
      </c>
      <c r="V537" s="111">
        <v>45880</v>
      </c>
      <c r="W537" s="23" t="s">
        <v>529</v>
      </c>
      <c r="X537" s="71"/>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row>
    <row r="538" spans="1:135" ht="30" customHeight="1" thickBot="1" x14ac:dyDescent="0.3">
      <c r="A538" s="578" t="s">
        <v>515</v>
      </c>
      <c r="B538" s="120" t="s">
        <v>508</v>
      </c>
      <c r="C538" s="72" t="s">
        <v>509</v>
      </c>
      <c r="D538" s="121" t="s">
        <v>24</v>
      </c>
      <c r="E538" s="122" t="s">
        <v>25</v>
      </c>
      <c r="F538" s="157" t="s">
        <v>512</v>
      </c>
      <c r="G538" s="15" t="s">
        <v>513</v>
      </c>
      <c r="H538" s="104" t="s">
        <v>349</v>
      </c>
      <c r="I538" s="18" t="s">
        <v>38</v>
      </c>
      <c r="J538" s="18" t="s">
        <v>514</v>
      </c>
      <c r="K538" s="23" t="s">
        <v>516</v>
      </c>
      <c r="L538" s="127" t="str">
        <f>"RUTL-"&amp;RIGHT(K538,8)</f>
        <v>RUTL-10543400</v>
      </c>
      <c r="M538" s="150" t="s">
        <v>40</v>
      </c>
      <c r="N538" s="14" t="s">
        <v>43</v>
      </c>
      <c r="O538" s="127"/>
      <c r="P538" s="45" t="s">
        <v>46</v>
      </c>
      <c r="Q538" s="35" t="s">
        <v>517</v>
      </c>
      <c r="R538" s="121" t="s">
        <v>56</v>
      </c>
      <c r="S538" s="151" t="s">
        <v>57</v>
      </c>
      <c r="T538" s="158" t="s">
        <v>518</v>
      </c>
      <c r="U538" s="138" t="s">
        <v>520</v>
      </c>
      <c r="V538" s="160">
        <v>45880</v>
      </c>
      <c r="W538" s="14" t="s">
        <v>529</v>
      </c>
      <c r="X538" s="71"/>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row>
    <row r="539" spans="1:135" ht="30" customHeight="1" thickBot="1" x14ac:dyDescent="0.3">
      <c r="A539" s="578" t="s">
        <v>5031</v>
      </c>
      <c r="B539" s="16">
        <v>11419</v>
      </c>
      <c r="C539" s="72" t="s">
        <v>5028</v>
      </c>
      <c r="D539" s="10" t="s">
        <v>24</v>
      </c>
      <c r="E539" s="11" t="s">
        <v>25</v>
      </c>
      <c r="F539" s="20" t="s">
        <v>5029</v>
      </c>
      <c r="G539" s="15" t="s">
        <v>5030</v>
      </c>
      <c r="H539" s="147" t="s">
        <v>1882</v>
      </c>
      <c r="I539" s="18" t="s">
        <v>135</v>
      </c>
      <c r="J539" s="18" t="s">
        <v>514</v>
      </c>
      <c r="K539" s="23" t="s">
        <v>5032</v>
      </c>
      <c r="L539" s="25" t="str">
        <f>"RUTL-"&amp;RIGHT(K539,8)</f>
        <v>RUTL-109D3400</v>
      </c>
      <c r="M539" s="34" t="s">
        <v>40</v>
      </c>
      <c r="N539" s="23" t="s">
        <v>43</v>
      </c>
      <c r="O539" s="23"/>
      <c r="P539" s="35" t="s">
        <v>46</v>
      </c>
      <c r="Q539" s="36" t="s">
        <v>5033</v>
      </c>
      <c r="R539" s="15" t="s">
        <v>56</v>
      </c>
      <c r="S539" s="37" t="s">
        <v>57</v>
      </c>
      <c r="T539" s="107" t="s">
        <v>453</v>
      </c>
      <c r="U539" s="39" t="s">
        <v>3298</v>
      </c>
      <c r="V539" s="349">
        <v>45880</v>
      </c>
      <c r="W539" s="23" t="s">
        <v>529</v>
      </c>
      <c r="X539" s="71"/>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row>
    <row r="540" spans="1:135" ht="30" customHeight="1" thickBot="1" x14ac:dyDescent="0.3">
      <c r="A540" s="578" t="s">
        <v>4773</v>
      </c>
      <c r="B540" s="51">
        <v>10050</v>
      </c>
      <c r="C540" s="72" t="s">
        <v>4771</v>
      </c>
      <c r="D540" s="10" t="s">
        <v>24</v>
      </c>
      <c r="E540" s="28" t="s">
        <v>25</v>
      </c>
      <c r="F540" s="12" t="s">
        <v>4772</v>
      </c>
      <c r="G540" s="15" t="s">
        <v>904</v>
      </c>
      <c r="H540" s="147" t="s">
        <v>1477</v>
      </c>
      <c r="I540" s="18" t="s">
        <v>135</v>
      </c>
      <c r="J540" s="18" t="s">
        <v>514</v>
      </c>
      <c r="K540" s="33" t="s">
        <v>4774</v>
      </c>
      <c r="L540" s="25" t="str">
        <f>"RUTL-"&amp;RIGHT(K540,8)</f>
        <v>RUTL-0DDD3400</v>
      </c>
      <c r="M540" s="144" t="s">
        <v>40</v>
      </c>
      <c r="N540" s="23" t="s">
        <v>54</v>
      </c>
      <c r="O540" s="23"/>
      <c r="P540" s="35" t="s">
        <v>46</v>
      </c>
      <c r="Q540" s="35" t="s">
        <v>4775</v>
      </c>
      <c r="R540" s="15" t="s">
        <v>56</v>
      </c>
      <c r="S540" s="37" t="s">
        <v>57</v>
      </c>
      <c r="T540" s="41" t="s">
        <v>65</v>
      </c>
      <c r="U540" s="39" t="s">
        <v>800</v>
      </c>
      <c r="V540" s="349">
        <v>45880</v>
      </c>
      <c r="W540" s="23" t="s">
        <v>529</v>
      </c>
      <c r="X540" s="71"/>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row>
    <row r="541" spans="1:135" ht="30" customHeight="1" thickBot="1" x14ac:dyDescent="0.3">
      <c r="A541" s="578" t="s">
        <v>5203</v>
      </c>
      <c r="B541" s="8">
        <v>12253</v>
      </c>
      <c r="C541" s="72" t="s">
        <v>5201</v>
      </c>
      <c r="D541" s="10" t="s">
        <v>24</v>
      </c>
      <c r="E541" s="11" t="s">
        <v>25</v>
      </c>
      <c r="F541" s="20" t="s">
        <v>5202</v>
      </c>
      <c r="G541" s="15" t="s">
        <v>3536</v>
      </c>
      <c r="H541" s="104" t="s">
        <v>349</v>
      </c>
      <c r="I541" s="18" t="s">
        <v>135</v>
      </c>
      <c r="J541" s="18" t="s">
        <v>514</v>
      </c>
      <c r="K541" s="23" t="s">
        <v>5204</v>
      </c>
      <c r="L541" s="25" t="str">
        <f>"RUTL-"&amp;RIGHT(K541,8)</f>
        <v>RUTL-107F3400</v>
      </c>
      <c r="M541" s="34" t="s">
        <v>40</v>
      </c>
      <c r="N541" s="23" t="s">
        <v>43</v>
      </c>
      <c r="O541" s="23"/>
      <c r="P541" s="35" t="s">
        <v>46</v>
      </c>
      <c r="Q541" s="36" t="s">
        <v>5205</v>
      </c>
      <c r="R541" s="15" t="s">
        <v>56</v>
      </c>
      <c r="S541" s="37" t="s">
        <v>57</v>
      </c>
      <c r="T541" s="87" t="s">
        <v>273</v>
      </c>
      <c r="U541" s="39" t="s">
        <v>1261</v>
      </c>
      <c r="V541" s="111">
        <v>45880</v>
      </c>
      <c r="W541" s="23" t="s">
        <v>529</v>
      </c>
      <c r="X541" s="71"/>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row>
    <row r="542" spans="1:135" ht="30" customHeight="1" thickBot="1" x14ac:dyDescent="0.3">
      <c r="A542" s="578" t="s">
        <v>5208</v>
      </c>
      <c r="B542" s="8">
        <v>12258</v>
      </c>
      <c r="C542" s="72" t="s">
        <v>5206</v>
      </c>
      <c r="D542" s="10" t="s">
        <v>24</v>
      </c>
      <c r="E542" s="11" t="s">
        <v>25</v>
      </c>
      <c r="F542" s="20" t="s">
        <v>5207</v>
      </c>
      <c r="G542" s="15" t="s">
        <v>3948</v>
      </c>
      <c r="H542" s="147" t="s">
        <v>1882</v>
      </c>
      <c r="I542" s="18" t="s">
        <v>135</v>
      </c>
      <c r="J542" s="18" t="s">
        <v>514</v>
      </c>
      <c r="K542" s="23" t="s">
        <v>5209</v>
      </c>
      <c r="L542" s="25" t="str">
        <f>"RUTL-"&amp;RIGHT(K542,8)</f>
        <v>RUTL-0F533400</v>
      </c>
      <c r="M542" s="34" t="s">
        <v>40</v>
      </c>
      <c r="N542" s="23" t="s">
        <v>43</v>
      </c>
      <c r="O542" s="23"/>
      <c r="P542" s="35" t="s">
        <v>46</v>
      </c>
      <c r="Q542" s="36" t="s">
        <v>5210</v>
      </c>
      <c r="R542" s="15" t="s">
        <v>56</v>
      </c>
      <c r="S542" s="37" t="s">
        <v>57</v>
      </c>
      <c r="T542" s="107" t="s">
        <v>453</v>
      </c>
      <c r="U542" s="39" t="s">
        <v>466</v>
      </c>
      <c r="V542" s="23"/>
      <c r="W542" s="23"/>
      <c r="X542" s="71"/>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row>
    <row r="543" spans="1:135" ht="30" customHeight="1" thickBot="1" x14ac:dyDescent="0.3">
      <c r="A543" s="578" t="s">
        <v>5231</v>
      </c>
      <c r="B543" s="8">
        <v>12342</v>
      </c>
      <c r="C543" s="72" t="s">
        <v>5228</v>
      </c>
      <c r="D543" s="15" t="s">
        <v>24</v>
      </c>
      <c r="E543" s="11" t="s">
        <v>25</v>
      </c>
      <c r="F543" s="12" t="s">
        <v>5229</v>
      </c>
      <c r="G543" s="15" t="s">
        <v>5230</v>
      </c>
      <c r="H543" s="104" t="s">
        <v>486</v>
      </c>
      <c r="I543" s="18" t="s">
        <v>135</v>
      </c>
      <c r="J543" s="18" t="s">
        <v>514</v>
      </c>
      <c r="K543" s="23" t="s">
        <v>5232</v>
      </c>
      <c r="L543" s="25" t="str">
        <f>"RUTL-"&amp;RIGHT(K543,8)</f>
        <v>RUTL-0E5A3400</v>
      </c>
      <c r="M543" s="34" t="s">
        <v>40</v>
      </c>
      <c r="N543" s="23" t="s">
        <v>43</v>
      </c>
      <c r="O543" s="21"/>
      <c r="P543" s="35" t="s">
        <v>46</v>
      </c>
      <c r="Q543" s="36" t="s">
        <v>5233</v>
      </c>
      <c r="R543" s="15" t="s">
        <v>56</v>
      </c>
      <c r="S543" s="37" t="s">
        <v>57</v>
      </c>
      <c r="T543" s="108" t="s">
        <v>273</v>
      </c>
      <c r="U543" s="39" t="s">
        <v>466</v>
      </c>
      <c r="V543" s="349">
        <v>45880</v>
      </c>
      <c r="W543" s="23" t="s">
        <v>529</v>
      </c>
      <c r="X543" s="71"/>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row>
    <row r="544" spans="1:135" ht="30" customHeight="1" thickBot="1" x14ac:dyDescent="0.3">
      <c r="A544" s="578" t="s">
        <v>4721</v>
      </c>
      <c r="B544" s="16">
        <v>9769</v>
      </c>
      <c r="C544" s="52" t="s">
        <v>4718</v>
      </c>
      <c r="D544" s="10" t="s">
        <v>24</v>
      </c>
      <c r="E544" s="11" t="s">
        <v>25</v>
      </c>
      <c r="F544" s="12" t="s">
        <v>4719</v>
      </c>
      <c r="G544" s="15" t="s">
        <v>4720</v>
      </c>
      <c r="H544" s="147" t="s">
        <v>1477</v>
      </c>
      <c r="I544" s="18" t="s">
        <v>135</v>
      </c>
      <c r="J544" s="18" t="s">
        <v>514</v>
      </c>
      <c r="K544" s="33" t="s">
        <v>4722</v>
      </c>
      <c r="L544" s="25" t="str">
        <f>"RUTL-"&amp;RIGHT(K544,8)</f>
        <v>RUTL-0DBF3400</v>
      </c>
      <c r="M544" s="34" t="s">
        <v>40</v>
      </c>
      <c r="N544" s="23" t="s">
        <v>43</v>
      </c>
      <c r="O544" s="23"/>
      <c r="P544" s="35" t="s">
        <v>46</v>
      </c>
      <c r="Q544" s="36" t="s">
        <v>4723</v>
      </c>
      <c r="R544" s="15" t="s">
        <v>56</v>
      </c>
      <c r="S544" s="37" t="s">
        <v>57</v>
      </c>
      <c r="T544" s="108" t="s">
        <v>273</v>
      </c>
      <c r="U544" s="23" t="s">
        <v>455</v>
      </c>
      <c r="V544" s="349">
        <v>45880</v>
      </c>
      <c r="W544" s="23" t="s">
        <v>529</v>
      </c>
      <c r="X544" s="71"/>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row>
    <row r="545" spans="1:135" ht="30" customHeight="1" thickBot="1" x14ac:dyDescent="0.3">
      <c r="A545" s="578" t="s">
        <v>5247</v>
      </c>
      <c r="B545" s="8">
        <v>12413</v>
      </c>
      <c r="C545" s="72" t="s">
        <v>5245</v>
      </c>
      <c r="D545" s="15" t="s">
        <v>915</v>
      </c>
      <c r="E545" s="11" t="s">
        <v>25</v>
      </c>
      <c r="F545" s="20" t="s">
        <v>5246</v>
      </c>
      <c r="G545" s="15" t="s">
        <v>348</v>
      </c>
      <c r="H545" s="104" t="s">
        <v>349</v>
      </c>
      <c r="I545" s="18" t="s">
        <v>135</v>
      </c>
      <c r="J545" s="18" t="s">
        <v>514</v>
      </c>
      <c r="K545" s="23" t="s">
        <v>5248</v>
      </c>
      <c r="L545" s="25" t="str">
        <f>"RUTL-"&amp;RIGHT(K545,8)</f>
        <v>RUTL-0F793400</v>
      </c>
      <c r="M545" s="34" t="s">
        <v>40</v>
      </c>
      <c r="N545" s="23" t="s">
        <v>4869</v>
      </c>
      <c r="O545" s="23"/>
      <c r="P545" s="35" t="s">
        <v>46</v>
      </c>
      <c r="Q545" s="36" t="s">
        <v>5249</v>
      </c>
      <c r="R545" s="15" t="s">
        <v>56</v>
      </c>
      <c r="S545" s="37" t="s">
        <v>57</v>
      </c>
      <c r="T545" s="108" t="s">
        <v>273</v>
      </c>
      <c r="U545" s="39" t="s">
        <v>466</v>
      </c>
      <c r="V545" s="23">
        <v>45880</v>
      </c>
      <c r="W545" s="23" t="s">
        <v>529</v>
      </c>
      <c r="X545" s="71"/>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row>
    <row r="546" spans="1:135" ht="30" customHeight="1" thickBot="1" x14ac:dyDescent="0.3">
      <c r="A546" s="578" t="s">
        <v>3350</v>
      </c>
      <c r="B546" s="8">
        <v>3624</v>
      </c>
      <c r="C546" s="72" t="s">
        <v>3347</v>
      </c>
      <c r="D546" s="10" t="s">
        <v>24</v>
      </c>
      <c r="E546" s="11" t="s">
        <v>25</v>
      </c>
      <c r="F546" s="20" t="s">
        <v>3348</v>
      </c>
      <c r="G546" s="15" t="s">
        <v>3349</v>
      </c>
      <c r="H546" s="147" t="s">
        <v>1477</v>
      </c>
      <c r="I546" s="18" t="s">
        <v>135</v>
      </c>
      <c r="J546" s="18" t="s">
        <v>514</v>
      </c>
      <c r="K546" s="33" t="s">
        <v>3351</v>
      </c>
      <c r="L546" s="25" t="str">
        <f>"RUTL-"&amp;RIGHT(K546,8)</f>
        <v>RUTL-10333400</v>
      </c>
      <c r="M546" s="34" t="s">
        <v>40</v>
      </c>
      <c r="N546" s="23" t="s">
        <v>54</v>
      </c>
      <c r="O546" s="23"/>
      <c r="P546" s="35" t="s">
        <v>46</v>
      </c>
      <c r="Q546" s="36" t="s">
        <v>3352</v>
      </c>
      <c r="R546" s="15" t="s">
        <v>56</v>
      </c>
      <c r="S546" s="37" t="s">
        <v>57</v>
      </c>
      <c r="T546" s="101" t="s">
        <v>96</v>
      </c>
      <c r="U546" s="39" t="s">
        <v>3353</v>
      </c>
      <c r="V546" s="349">
        <v>45880</v>
      </c>
      <c r="W546" s="23" t="s">
        <v>529</v>
      </c>
      <c r="X546" s="71"/>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row>
    <row r="547" spans="1:135" ht="30" customHeight="1" thickBot="1" x14ac:dyDescent="0.3">
      <c r="A547" s="578" t="s">
        <v>487</v>
      </c>
      <c r="B547" s="51">
        <v>211</v>
      </c>
      <c r="C547" s="52" t="s">
        <v>479</v>
      </c>
      <c r="D547" s="10" t="s">
        <v>24</v>
      </c>
      <c r="E547" s="28" t="s">
        <v>25</v>
      </c>
      <c r="F547" s="12" t="s">
        <v>482</v>
      </c>
      <c r="G547" s="15" t="s">
        <v>224</v>
      </c>
      <c r="H547" s="55" t="s">
        <v>483</v>
      </c>
      <c r="I547" s="18" t="s">
        <v>117</v>
      </c>
      <c r="J547" s="18" t="s">
        <v>121</v>
      </c>
      <c r="K547" s="33" t="s">
        <v>490</v>
      </c>
      <c r="L547" s="25" t="str">
        <f>"RUTL-"&amp;RIGHT(K547,8)</f>
        <v>RUTL-02103152</v>
      </c>
      <c r="M547" s="34" t="s">
        <v>40</v>
      </c>
      <c r="N547" s="32" t="s">
        <v>43</v>
      </c>
      <c r="O547" s="32"/>
      <c r="P547" s="90" t="s">
        <v>90</v>
      </c>
      <c r="Q547" s="100"/>
      <c r="R547" s="15" t="s">
        <v>56</v>
      </c>
      <c r="S547" s="40" t="s">
        <v>57</v>
      </c>
      <c r="T547" s="105" t="s">
        <v>148</v>
      </c>
      <c r="U547" s="39" t="s">
        <v>497</v>
      </c>
      <c r="V547" s="32"/>
      <c r="W547" s="32" t="s">
        <v>441</v>
      </c>
      <c r="X547" s="71"/>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row>
    <row r="548" spans="1:135" ht="30" customHeight="1" thickBot="1" x14ac:dyDescent="0.3">
      <c r="A548" s="578" t="s">
        <v>4663</v>
      </c>
      <c r="B548" s="16">
        <v>9615</v>
      </c>
      <c r="C548" s="72" t="s">
        <v>4661</v>
      </c>
      <c r="D548" s="10" t="s">
        <v>24</v>
      </c>
      <c r="E548" s="11" t="s">
        <v>25</v>
      </c>
      <c r="F548" s="20" t="s">
        <v>4662</v>
      </c>
      <c r="G548" s="15" t="s">
        <v>651</v>
      </c>
      <c r="H548" s="119" t="s">
        <v>1071</v>
      </c>
      <c r="I548" s="18" t="s">
        <v>135</v>
      </c>
      <c r="J548" s="18" t="s">
        <v>121</v>
      </c>
      <c r="K548" s="33" t="s">
        <v>4664</v>
      </c>
      <c r="L548" s="25" t="str">
        <f>"RUTL-"&amp;RIGHT(K548,8)</f>
        <v>RUTL-02103006</v>
      </c>
      <c r="M548" s="34" t="s">
        <v>40</v>
      </c>
      <c r="N548" s="23" t="s">
        <v>43</v>
      </c>
      <c r="O548" s="23"/>
      <c r="P548" s="39" t="s">
        <v>90</v>
      </c>
      <c r="Q548" s="113"/>
      <c r="R548" s="15" t="s">
        <v>56</v>
      </c>
      <c r="S548" s="37" t="s">
        <v>180</v>
      </c>
      <c r="T548" s="107" t="s">
        <v>1630</v>
      </c>
      <c r="U548" s="39" t="s">
        <v>3736</v>
      </c>
      <c r="V548" s="23"/>
      <c r="W548" s="23"/>
      <c r="X548" s="71"/>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row>
    <row r="549" spans="1:135" ht="30" customHeight="1" thickBot="1" x14ac:dyDescent="0.3">
      <c r="A549" s="578" t="s">
        <v>5515</v>
      </c>
      <c r="B549" s="8">
        <v>13071</v>
      </c>
      <c r="C549" s="72" t="s">
        <v>5511</v>
      </c>
      <c r="D549" s="10" t="s">
        <v>24</v>
      </c>
      <c r="E549" s="11" t="s">
        <v>25</v>
      </c>
      <c r="F549" s="20" t="s">
        <v>5512</v>
      </c>
      <c r="G549" s="15" t="s">
        <v>5513</v>
      </c>
      <c r="H549" s="102" t="s">
        <v>4601</v>
      </c>
      <c r="I549" s="18" t="s">
        <v>5514</v>
      </c>
      <c r="J549" s="18" t="s">
        <v>121</v>
      </c>
      <c r="K549" s="23" t="s">
        <v>5516</v>
      </c>
      <c r="L549" s="25" t="str">
        <f>"RUTL-"&amp;RIGHT(K549,8)</f>
        <v>RUTL-02103159</v>
      </c>
      <c r="M549" s="34" t="s">
        <v>40</v>
      </c>
      <c r="N549" s="23"/>
      <c r="O549" s="23"/>
      <c r="P549" s="21"/>
      <c r="Q549" s="113"/>
      <c r="R549" s="15" t="s">
        <v>56</v>
      </c>
      <c r="S549" s="37" t="s">
        <v>57</v>
      </c>
      <c r="T549" s="23" t="s">
        <v>4605</v>
      </c>
      <c r="U549" s="39" t="s">
        <v>3736</v>
      </c>
      <c r="V549" s="23"/>
      <c r="W549" s="23" t="s">
        <v>441</v>
      </c>
      <c r="X549" s="71"/>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row>
    <row r="550" spans="1:135" ht="30" customHeight="1" thickBot="1" x14ac:dyDescent="0.3">
      <c r="A550" s="578" t="s">
        <v>616</v>
      </c>
      <c r="B550" s="8">
        <v>270</v>
      </c>
      <c r="C550" s="72" t="s">
        <v>614</v>
      </c>
      <c r="D550" s="15" t="s">
        <v>24</v>
      </c>
      <c r="E550" s="11" t="s">
        <v>25</v>
      </c>
      <c r="F550" s="20" t="s">
        <v>615</v>
      </c>
      <c r="G550" s="15" t="s">
        <v>369</v>
      </c>
      <c r="H550" s="119" t="s">
        <v>312</v>
      </c>
      <c r="I550" s="24" t="s">
        <v>117</v>
      </c>
      <c r="J550" s="24" t="s">
        <v>121</v>
      </c>
      <c r="K550" s="23" t="s">
        <v>617</v>
      </c>
      <c r="L550" s="25" t="str">
        <f>"RUTL-"&amp;RIGHT(K550,8)</f>
        <v>RUTL-02103116</v>
      </c>
      <c r="M550" s="34" t="s">
        <v>40</v>
      </c>
      <c r="N550" s="39" t="s">
        <v>87</v>
      </c>
      <c r="O550" s="178" t="s">
        <v>620</v>
      </c>
      <c r="P550" s="39" t="s">
        <v>90</v>
      </c>
      <c r="Q550" s="63" t="s">
        <v>630</v>
      </c>
      <c r="R550" s="15" t="s">
        <v>56</v>
      </c>
      <c r="S550" s="41" t="s">
        <v>296</v>
      </c>
      <c r="T550" s="105" t="s">
        <v>148</v>
      </c>
      <c r="U550" s="39" t="s">
        <v>636</v>
      </c>
      <c r="V550" s="32"/>
      <c r="W550" s="32" t="s">
        <v>441</v>
      </c>
      <c r="X550" s="71"/>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row>
    <row r="551" spans="1:135" ht="30" customHeight="1" thickBot="1" x14ac:dyDescent="0.3">
      <c r="A551" s="578" t="s">
        <v>437</v>
      </c>
      <c r="B551" s="8">
        <v>152</v>
      </c>
      <c r="C551" s="72" t="s">
        <v>432</v>
      </c>
      <c r="D551" s="10" t="s">
        <v>24</v>
      </c>
      <c r="E551" s="11" t="s">
        <v>25</v>
      </c>
      <c r="F551" s="20" t="s">
        <v>433</v>
      </c>
      <c r="G551" s="15" t="s">
        <v>285</v>
      </c>
      <c r="H551" s="147" t="s">
        <v>434</v>
      </c>
      <c r="I551" s="18" t="s">
        <v>117</v>
      </c>
      <c r="J551" s="18" t="s">
        <v>121</v>
      </c>
      <c r="K551" s="23" t="s">
        <v>438</v>
      </c>
      <c r="L551" s="25" t="str">
        <f>"RUTL-"&amp;RIGHT(K551,8)</f>
        <v>RUTL-02103188</v>
      </c>
      <c r="M551" s="34" t="s">
        <v>40</v>
      </c>
      <c r="N551" s="23" t="s">
        <v>43</v>
      </c>
      <c r="O551" s="23"/>
      <c r="P551" s="39" t="s">
        <v>90</v>
      </c>
      <c r="Q551" s="113"/>
      <c r="R551" s="15" t="s">
        <v>56</v>
      </c>
      <c r="S551" s="37" t="s">
        <v>57</v>
      </c>
      <c r="T551" s="39" t="s">
        <v>148</v>
      </c>
      <c r="U551" s="39" t="s">
        <v>440</v>
      </c>
      <c r="V551" s="23">
        <v>2024</v>
      </c>
      <c r="W551" s="23" t="s">
        <v>441</v>
      </c>
      <c r="X551" s="71"/>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row>
    <row r="552" spans="1:135" ht="30" customHeight="1" thickBot="1" x14ac:dyDescent="0.3">
      <c r="A552" s="578" t="s">
        <v>5432</v>
      </c>
      <c r="B552" s="8">
        <v>12817</v>
      </c>
      <c r="C552" s="72" t="s">
        <v>5430</v>
      </c>
      <c r="D552" s="10" t="s">
        <v>24</v>
      </c>
      <c r="E552" s="11" t="s">
        <v>25</v>
      </c>
      <c r="F552" s="20" t="s">
        <v>5431</v>
      </c>
      <c r="G552" s="15" t="s">
        <v>1183</v>
      </c>
      <c r="H552" s="119" t="s">
        <v>960</v>
      </c>
      <c r="I552" s="18" t="s">
        <v>135</v>
      </c>
      <c r="J552" s="18" t="s">
        <v>121</v>
      </c>
      <c r="K552" s="23" t="s">
        <v>5433</v>
      </c>
      <c r="L552" s="25" t="str">
        <f>"RUTL-"&amp;RIGHT(K552,8)</f>
        <v>RUTL-02103195</v>
      </c>
      <c r="M552" s="34" t="s">
        <v>40</v>
      </c>
      <c r="N552" s="23" t="s">
        <v>43</v>
      </c>
      <c r="O552" s="23"/>
      <c r="P552" s="39" t="s">
        <v>90</v>
      </c>
      <c r="Q552" s="63" t="s">
        <v>5434</v>
      </c>
      <c r="R552" s="15" t="s">
        <v>56</v>
      </c>
      <c r="S552" s="37" t="s">
        <v>57</v>
      </c>
      <c r="T552" s="105" t="s">
        <v>148</v>
      </c>
      <c r="U552" s="39" t="s">
        <v>4669</v>
      </c>
      <c r="V552" s="23"/>
      <c r="W552" s="23"/>
      <c r="X552" s="71"/>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row>
    <row r="553" spans="1:135" ht="30" customHeight="1" thickBot="1" x14ac:dyDescent="0.3">
      <c r="A553" s="578" t="s">
        <v>1702</v>
      </c>
      <c r="B553" s="120" t="s">
        <v>1694</v>
      </c>
      <c r="C553" s="72" t="s">
        <v>1696</v>
      </c>
      <c r="D553" s="15" t="s">
        <v>24</v>
      </c>
      <c r="E553" s="122" t="s">
        <v>25</v>
      </c>
      <c r="F553" s="20" t="s">
        <v>1697</v>
      </c>
      <c r="G553" s="15" t="s">
        <v>1699</v>
      </c>
      <c r="H553" s="17" t="s">
        <v>682</v>
      </c>
      <c r="I553" s="18" t="s">
        <v>38</v>
      </c>
      <c r="J553" s="18" t="s">
        <v>1700</v>
      </c>
      <c r="K553" s="124" t="s">
        <v>1707</v>
      </c>
      <c r="L553" s="127" t="str">
        <f>"RUTL-"&amp;RIGHT(K553,8)</f>
        <v>RUTL-22993400</v>
      </c>
      <c r="M553" s="129" t="s">
        <v>40</v>
      </c>
      <c r="N553" s="272" t="s">
        <v>43</v>
      </c>
      <c r="O553" s="14"/>
      <c r="P553" s="185" t="s">
        <v>1468</v>
      </c>
      <c r="Q553" s="273"/>
      <c r="R553" s="121" t="s">
        <v>56</v>
      </c>
      <c r="S553" s="151" t="s">
        <v>57</v>
      </c>
      <c r="T553" s="211" t="s">
        <v>1718</v>
      </c>
      <c r="U553" s="138" t="s">
        <v>1720</v>
      </c>
      <c r="V553" s="14"/>
      <c r="W553" s="14" t="s">
        <v>1721</v>
      </c>
      <c r="X553" s="71"/>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row>
    <row r="554" spans="1:135" ht="30" customHeight="1" thickBot="1" x14ac:dyDescent="0.3">
      <c r="A554" s="578" t="s">
        <v>4687</v>
      </c>
      <c r="B554" s="16">
        <v>9659</v>
      </c>
      <c r="C554" s="72" t="s">
        <v>4683</v>
      </c>
      <c r="D554" s="10" t="s">
        <v>4684</v>
      </c>
      <c r="E554" s="11" t="s">
        <v>25</v>
      </c>
      <c r="F554" s="20" t="s">
        <v>4685</v>
      </c>
      <c r="G554" s="15" t="s">
        <v>4686</v>
      </c>
      <c r="H554" s="143" t="s">
        <v>398</v>
      </c>
      <c r="I554" s="18" t="s">
        <v>135</v>
      </c>
      <c r="J554" s="18" t="s">
        <v>1700</v>
      </c>
      <c r="K554" s="33" t="s">
        <v>4688</v>
      </c>
      <c r="L554" s="25" t="str">
        <f>"RUTL-"&amp;RIGHT(K554,8)</f>
        <v>RUTL-04EC3400</v>
      </c>
      <c r="M554" s="34" t="s">
        <v>40</v>
      </c>
      <c r="N554" s="23" t="s">
        <v>43</v>
      </c>
      <c r="O554" s="23"/>
      <c r="P554" s="35" t="s">
        <v>46</v>
      </c>
      <c r="Q554" s="113"/>
      <c r="R554" s="15" t="s">
        <v>235</v>
      </c>
      <c r="S554" s="37" t="s">
        <v>57</v>
      </c>
      <c r="T554" s="107" t="s">
        <v>453</v>
      </c>
      <c r="U554" s="23" t="s">
        <v>4689</v>
      </c>
      <c r="V554" s="111">
        <v>45947</v>
      </c>
      <c r="W554" s="23" t="s">
        <v>1721</v>
      </c>
      <c r="X554" s="71"/>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row>
    <row r="555" spans="1:135" ht="30" customHeight="1" thickBot="1" x14ac:dyDescent="0.3">
      <c r="A555" s="578" t="s">
        <v>5270</v>
      </c>
      <c r="B555" s="8">
        <v>12487</v>
      </c>
      <c r="C555" s="52" t="s">
        <v>5268</v>
      </c>
      <c r="D555" s="140" t="s">
        <v>24</v>
      </c>
      <c r="E555" s="11" t="s">
        <v>25</v>
      </c>
      <c r="F555" s="12" t="s">
        <v>5269</v>
      </c>
      <c r="G555" s="15" t="s">
        <v>348</v>
      </c>
      <c r="H555" s="104" t="s">
        <v>349</v>
      </c>
      <c r="I555" s="18" t="s">
        <v>135</v>
      </c>
      <c r="J555" s="18" t="s">
        <v>1700</v>
      </c>
      <c r="K555" s="23" t="s">
        <v>5271</v>
      </c>
      <c r="L555" s="25" t="str">
        <f>"RUTL-"&amp;RIGHT(K555,8)</f>
        <v>RUTL-29E13400</v>
      </c>
      <c r="M555" s="34" t="s">
        <v>40</v>
      </c>
      <c r="N555" s="23" t="s">
        <v>43</v>
      </c>
      <c r="O555" s="23"/>
      <c r="P555" s="35" t="s">
        <v>46</v>
      </c>
      <c r="Q555" s="36" t="s">
        <v>5272</v>
      </c>
      <c r="R555" s="15" t="s">
        <v>56</v>
      </c>
      <c r="S555" s="37" t="s">
        <v>57</v>
      </c>
      <c r="T555" s="108" t="s">
        <v>273</v>
      </c>
      <c r="U555" s="39" t="s">
        <v>2966</v>
      </c>
      <c r="V555" s="111">
        <v>45947</v>
      </c>
      <c r="W555" s="23" t="s">
        <v>1721</v>
      </c>
      <c r="X555" s="71"/>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c r="DJ555" s="5"/>
      <c r="DK555" s="5"/>
      <c r="DL555" s="5"/>
      <c r="DM555" s="5"/>
      <c r="DN555" s="5"/>
      <c r="DO555" s="5"/>
      <c r="DP555" s="5"/>
      <c r="DQ555" s="5"/>
      <c r="DR555" s="5"/>
      <c r="DS555" s="5"/>
      <c r="DT555" s="5"/>
      <c r="DU555" s="5"/>
      <c r="DV555" s="5"/>
      <c r="DW555" s="5"/>
      <c r="DX555" s="5"/>
      <c r="DY555" s="5"/>
      <c r="DZ555" s="5"/>
      <c r="EA555" s="5"/>
      <c r="EB555" s="5"/>
      <c r="EC555" s="5"/>
      <c r="ED555" s="5"/>
      <c r="EE555" s="5"/>
    </row>
    <row r="556" spans="1:135" ht="30" customHeight="1" thickBot="1" x14ac:dyDescent="0.3">
      <c r="A556" s="578" t="s">
        <v>5467</v>
      </c>
      <c r="B556" s="8">
        <v>12853</v>
      </c>
      <c r="C556" s="52" t="s">
        <v>5465</v>
      </c>
      <c r="D556" s="10" t="s">
        <v>24</v>
      </c>
      <c r="E556" s="11" t="s">
        <v>25</v>
      </c>
      <c r="F556" s="12" t="s">
        <v>5466</v>
      </c>
      <c r="G556" s="15" t="s">
        <v>904</v>
      </c>
      <c r="H556" s="119" t="s">
        <v>852</v>
      </c>
      <c r="I556" s="18" t="s">
        <v>135</v>
      </c>
      <c r="J556" s="18" t="s">
        <v>1700</v>
      </c>
      <c r="K556" s="23" t="s">
        <v>5468</v>
      </c>
      <c r="L556" s="25" t="str">
        <f>"RUTL-"&amp;RIGHT(K556,8)</f>
        <v>RUTL-29543400</v>
      </c>
      <c r="M556" s="34" t="s">
        <v>40</v>
      </c>
      <c r="N556" s="39" t="s">
        <v>414</v>
      </c>
      <c r="O556" s="39" t="s">
        <v>5469</v>
      </c>
      <c r="P556" s="35" t="s">
        <v>46</v>
      </c>
      <c r="Q556" s="36" t="s">
        <v>5470</v>
      </c>
      <c r="R556" s="15" t="s">
        <v>56</v>
      </c>
      <c r="S556" s="37" t="s">
        <v>57</v>
      </c>
      <c r="T556" s="105" t="s">
        <v>148</v>
      </c>
      <c r="U556" s="39" t="s">
        <v>4099</v>
      </c>
      <c r="V556" s="111">
        <v>45947</v>
      </c>
      <c r="W556" s="23" t="s">
        <v>1721</v>
      </c>
      <c r="X556" s="71"/>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c r="DJ556" s="5"/>
      <c r="DK556" s="5"/>
      <c r="DL556" s="5"/>
      <c r="DM556" s="5"/>
      <c r="DN556" s="5"/>
      <c r="DO556" s="5"/>
      <c r="DP556" s="5"/>
      <c r="DQ556" s="5"/>
      <c r="DR556" s="5"/>
      <c r="DS556" s="5"/>
      <c r="DT556" s="5"/>
      <c r="DU556" s="5"/>
      <c r="DV556" s="5"/>
      <c r="DW556" s="5"/>
      <c r="DX556" s="5"/>
      <c r="DY556" s="5"/>
      <c r="DZ556" s="5"/>
      <c r="EA556" s="5"/>
      <c r="EB556" s="5"/>
      <c r="EC556" s="5"/>
      <c r="ED556" s="5"/>
      <c r="EE556" s="5"/>
    </row>
    <row r="557" spans="1:135" ht="30" customHeight="1" thickBot="1" x14ac:dyDescent="0.3">
      <c r="A557" s="578" t="s">
        <v>5403</v>
      </c>
      <c r="B557" s="8">
        <v>12760</v>
      </c>
      <c r="C557" s="72" t="s">
        <v>5401</v>
      </c>
      <c r="D557" s="10" t="s">
        <v>24</v>
      </c>
      <c r="E557" s="11" t="s">
        <v>25</v>
      </c>
      <c r="F557" s="20" t="s">
        <v>5402</v>
      </c>
      <c r="G557" s="15" t="s">
        <v>348</v>
      </c>
      <c r="H557" s="104" t="s">
        <v>349</v>
      </c>
      <c r="I557" s="18" t="s">
        <v>135</v>
      </c>
      <c r="J557" s="18" t="s">
        <v>1700</v>
      </c>
      <c r="K557" s="23" t="s">
        <v>5404</v>
      </c>
      <c r="L557" s="25" t="str">
        <f>"RUTL-"&amp;RIGHT(K557,8)</f>
        <v>RUTL-26B73400</v>
      </c>
      <c r="M557" s="34" t="s">
        <v>40</v>
      </c>
      <c r="N557" s="23" t="s">
        <v>43</v>
      </c>
      <c r="O557" s="23"/>
      <c r="P557" s="39" t="s">
        <v>90</v>
      </c>
      <c r="Q557" s="63" t="s">
        <v>5405</v>
      </c>
      <c r="R557" s="15" t="s">
        <v>56</v>
      </c>
      <c r="S557" s="37" t="s">
        <v>57</v>
      </c>
      <c r="T557" s="107" t="s">
        <v>148</v>
      </c>
      <c r="U557" s="39" t="s">
        <v>4099</v>
      </c>
      <c r="V557" s="111">
        <v>45947</v>
      </c>
      <c r="W557" s="23" t="s">
        <v>1721</v>
      </c>
      <c r="X557" s="71"/>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row>
    <row r="558" spans="1:135" ht="30" customHeight="1" thickBot="1" x14ac:dyDescent="0.3">
      <c r="A558" s="578" t="s">
        <v>4096</v>
      </c>
      <c r="B558" s="8">
        <v>7204</v>
      </c>
      <c r="C558" s="69" t="s">
        <v>4093</v>
      </c>
      <c r="D558" s="15" t="s">
        <v>24</v>
      </c>
      <c r="E558" s="11" t="s">
        <v>25</v>
      </c>
      <c r="F558" s="12" t="s">
        <v>4094</v>
      </c>
      <c r="G558" s="15" t="s">
        <v>4095</v>
      </c>
      <c r="H558" s="119" t="s">
        <v>312</v>
      </c>
      <c r="I558" s="18" t="s">
        <v>135</v>
      </c>
      <c r="J558" s="18" t="s">
        <v>1700</v>
      </c>
      <c r="K558" s="33" t="s">
        <v>4097</v>
      </c>
      <c r="L558" s="25" t="str">
        <f>"RUTL-"&amp;RIGHT(K558,8)</f>
        <v>RUTL-29283400</v>
      </c>
      <c r="M558" s="34" t="s">
        <v>40</v>
      </c>
      <c r="N558" s="32" t="s">
        <v>54</v>
      </c>
      <c r="O558" s="23"/>
      <c r="P558" s="35" t="s">
        <v>46</v>
      </c>
      <c r="Q558" s="36" t="s">
        <v>4098</v>
      </c>
      <c r="R558" s="15" t="s">
        <v>56</v>
      </c>
      <c r="S558" s="37" t="s">
        <v>57</v>
      </c>
      <c r="T558" s="105" t="s">
        <v>148</v>
      </c>
      <c r="U558" s="39" t="s">
        <v>4099</v>
      </c>
      <c r="V558" s="111">
        <v>45947</v>
      </c>
      <c r="W558" s="23" t="s">
        <v>1721</v>
      </c>
      <c r="X558" s="71"/>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c r="DJ558" s="5"/>
      <c r="DK558" s="5"/>
      <c r="DL558" s="5"/>
      <c r="DM558" s="5"/>
      <c r="DN558" s="5"/>
      <c r="DO558" s="5"/>
      <c r="DP558" s="5"/>
      <c r="DQ558" s="5"/>
      <c r="DR558" s="5"/>
      <c r="DS558" s="5"/>
      <c r="DT558" s="5"/>
      <c r="DU558" s="5"/>
      <c r="DV558" s="5"/>
      <c r="DW558" s="5"/>
      <c r="DX558" s="5"/>
      <c r="DY558" s="5"/>
      <c r="DZ558" s="5"/>
      <c r="EA558" s="5"/>
      <c r="EB558" s="5"/>
      <c r="EC558" s="5"/>
      <c r="ED558" s="5"/>
      <c r="EE558" s="5"/>
    </row>
    <row r="559" spans="1:135" ht="30" customHeight="1" thickBot="1" x14ac:dyDescent="0.3">
      <c r="A559" s="578" t="s">
        <v>6894</v>
      </c>
      <c r="B559" s="435">
        <v>16967</v>
      </c>
      <c r="C559" s="52" t="s">
        <v>6892</v>
      </c>
      <c r="D559" s="10" t="s">
        <v>24</v>
      </c>
      <c r="E559" s="11" t="s">
        <v>25</v>
      </c>
      <c r="F559" s="12" t="s">
        <v>6893</v>
      </c>
      <c r="G559" s="15" t="s">
        <v>3948</v>
      </c>
      <c r="H559" s="147" t="s">
        <v>5048</v>
      </c>
      <c r="I559" s="18" t="s">
        <v>4490</v>
      </c>
      <c r="J559" s="18" t="s">
        <v>1700</v>
      </c>
      <c r="K559" s="23" t="s">
        <v>6895</v>
      </c>
      <c r="L559" s="25" t="str">
        <f>"RUTL-"&amp;RIGHT(K559,8)</f>
        <v>RUTL-2A4F3400</v>
      </c>
      <c r="M559" s="34" t="s">
        <v>40</v>
      </c>
      <c r="N559" s="23" t="s">
        <v>43</v>
      </c>
      <c r="O559" s="23"/>
      <c r="P559" s="35" t="s">
        <v>46</v>
      </c>
      <c r="Q559" s="35" t="s">
        <v>6896</v>
      </c>
      <c r="R559" s="15" t="s">
        <v>56</v>
      </c>
      <c r="S559" s="37" t="s">
        <v>57</v>
      </c>
      <c r="T559" s="105" t="s">
        <v>148</v>
      </c>
      <c r="U559" s="39" t="s">
        <v>3050</v>
      </c>
      <c r="V559" s="111">
        <v>45947</v>
      </c>
      <c r="W559" s="23" t="s">
        <v>1721</v>
      </c>
      <c r="X559" s="71"/>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c r="DJ559" s="5"/>
      <c r="DK559" s="5"/>
      <c r="DL559" s="5"/>
      <c r="DM559" s="5"/>
      <c r="DN559" s="5"/>
      <c r="DO559" s="5"/>
      <c r="DP559" s="5"/>
      <c r="DQ559" s="5"/>
      <c r="DR559" s="5"/>
      <c r="DS559" s="5"/>
      <c r="DT559" s="5"/>
      <c r="DU559" s="5"/>
      <c r="DV559" s="5"/>
      <c r="DW559" s="5"/>
      <c r="DX559" s="5"/>
      <c r="DY559" s="5"/>
      <c r="DZ559" s="5"/>
      <c r="EA559" s="5"/>
      <c r="EB559" s="5"/>
      <c r="EC559" s="5"/>
      <c r="ED559" s="5"/>
      <c r="EE559" s="5"/>
    </row>
    <row r="560" spans="1:135" ht="30" customHeight="1" thickBot="1" x14ac:dyDescent="0.3">
      <c r="A560" s="578" t="s">
        <v>5280</v>
      </c>
      <c r="B560" s="8">
        <v>12504</v>
      </c>
      <c r="C560" s="69" t="s">
        <v>5278</v>
      </c>
      <c r="D560" s="10" t="s">
        <v>24</v>
      </c>
      <c r="E560" s="11" t="s">
        <v>25</v>
      </c>
      <c r="F560" s="12" t="s">
        <v>5279</v>
      </c>
      <c r="G560" s="15" t="s">
        <v>3536</v>
      </c>
      <c r="H560" s="104" t="s">
        <v>349</v>
      </c>
      <c r="I560" s="18" t="s">
        <v>135</v>
      </c>
      <c r="J560" s="18" t="s">
        <v>1700</v>
      </c>
      <c r="K560" s="23" t="s">
        <v>5281</v>
      </c>
      <c r="L560" s="25" t="str">
        <f>"RUTL-"&amp;RIGHT(K560,8)</f>
        <v>RUTL-19143400</v>
      </c>
      <c r="M560" s="34" t="s">
        <v>40</v>
      </c>
      <c r="N560" s="23" t="s">
        <v>43</v>
      </c>
      <c r="O560" s="23"/>
      <c r="P560" s="35" t="s">
        <v>46</v>
      </c>
      <c r="Q560" s="36" t="s">
        <v>5282</v>
      </c>
      <c r="R560" s="15" t="s">
        <v>56</v>
      </c>
      <c r="S560" s="37" t="s">
        <v>57</v>
      </c>
      <c r="T560" s="105" t="s">
        <v>148</v>
      </c>
      <c r="U560" s="39" t="s">
        <v>3314</v>
      </c>
      <c r="V560" s="111">
        <v>45947</v>
      </c>
      <c r="W560" s="23" t="s">
        <v>1721</v>
      </c>
      <c r="X560" s="71"/>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row>
    <row r="561" spans="1:135" ht="30" customHeight="1" thickBot="1" x14ac:dyDescent="0.3">
      <c r="A561" s="578" t="s">
        <v>4757</v>
      </c>
      <c r="B561" s="16">
        <v>9889</v>
      </c>
      <c r="C561" s="69" t="s">
        <v>4755</v>
      </c>
      <c r="D561" s="15" t="s">
        <v>24</v>
      </c>
      <c r="E561" s="11" t="s">
        <v>25</v>
      </c>
      <c r="F561" s="20" t="s">
        <v>4756</v>
      </c>
      <c r="G561" s="15" t="s">
        <v>2764</v>
      </c>
      <c r="H561" s="17" t="s">
        <v>470</v>
      </c>
      <c r="I561" s="18" t="s">
        <v>135</v>
      </c>
      <c r="J561" s="18" t="s">
        <v>1700</v>
      </c>
      <c r="K561" s="33" t="s">
        <v>4758</v>
      </c>
      <c r="L561" s="21" t="str">
        <f>"RUTL-"&amp;RIGHT(K561,8)</f>
        <v>RUTL-18C43400</v>
      </c>
      <c r="M561" s="34" t="s">
        <v>40</v>
      </c>
      <c r="N561" s="32" t="s">
        <v>54</v>
      </c>
      <c r="O561" s="23"/>
      <c r="P561" s="35" t="s">
        <v>46</v>
      </c>
      <c r="Q561" s="36" t="s">
        <v>4759</v>
      </c>
      <c r="R561" s="15" t="s">
        <v>56</v>
      </c>
      <c r="S561" s="37" t="s">
        <v>57</v>
      </c>
      <c r="T561" s="35" t="s">
        <v>65</v>
      </c>
      <c r="U561" s="39" t="s">
        <v>4760</v>
      </c>
      <c r="V561" s="111">
        <v>45947</v>
      </c>
      <c r="W561" s="23" t="s">
        <v>1721</v>
      </c>
      <c r="X561" s="71"/>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row>
    <row r="562" spans="1:135" ht="30" customHeight="1" thickBot="1" x14ac:dyDescent="0.3">
      <c r="A562" s="578" t="s">
        <v>4350</v>
      </c>
      <c r="B562" s="8">
        <v>8155</v>
      </c>
      <c r="C562" s="72" t="s">
        <v>4347</v>
      </c>
      <c r="D562" s="10" t="s">
        <v>24</v>
      </c>
      <c r="E562" s="11" t="s">
        <v>25</v>
      </c>
      <c r="F562" s="12" t="s">
        <v>4348</v>
      </c>
      <c r="G562" s="15" t="s">
        <v>4153</v>
      </c>
      <c r="H562" s="22" t="s">
        <v>4349</v>
      </c>
      <c r="I562" s="18" t="s">
        <v>135</v>
      </c>
      <c r="J562" s="18" t="s">
        <v>1700</v>
      </c>
      <c r="K562" s="33" t="s">
        <v>4351</v>
      </c>
      <c r="L562" s="25" t="str">
        <f>"RUTL-"&amp;RIGHT(K562,8)</f>
        <v>RUTL-2A3A3400</v>
      </c>
      <c r="M562" s="34" t="s">
        <v>40</v>
      </c>
      <c r="N562" s="32" t="s">
        <v>54</v>
      </c>
      <c r="O562" s="23"/>
      <c r="P562" s="35" t="s">
        <v>46</v>
      </c>
      <c r="Q562" s="36" t="s">
        <v>4352</v>
      </c>
      <c r="R562" s="15" t="s">
        <v>56</v>
      </c>
      <c r="S562" s="37" t="s">
        <v>57</v>
      </c>
      <c r="T562" s="107" t="s">
        <v>453</v>
      </c>
      <c r="U562" s="39" t="s">
        <v>300</v>
      </c>
      <c r="V562" s="111">
        <v>45947</v>
      </c>
      <c r="W562" s="23" t="s">
        <v>1721</v>
      </c>
      <c r="X562" s="71"/>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row>
    <row r="563" spans="1:135" ht="30" customHeight="1" thickBot="1" x14ac:dyDescent="0.3">
      <c r="A563" s="578" t="s">
        <v>5225</v>
      </c>
      <c r="B563" s="8">
        <v>12331</v>
      </c>
      <c r="C563" s="69" t="s">
        <v>5223</v>
      </c>
      <c r="D563" s="10" t="s">
        <v>24</v>
      </c>
      <c r="E563" s="11" t="s">
        <v>25</v>
      </c>
      <c r="F563" s="20" t="s">
        <v>5224</v>
      </c>
      <c r="G563" s="15" t="s">
        <v>4153</v>
      </c>
      <c r="H563" s="17" t="s">
        <v>470</v>
      </c>
      <c r="I563" s="18" t="s">
        <v>135</v>
      </c>
      <c r="J563" s="18" t="s">
        <v>1700</v>
      </c>
      <c r="K563" s="23" t="s">
        <v>5226</v>
      </c>
      <c r="L563" s="25" t="str">
        <f>"RUTL-"&amp;RIGHT(K563,8)</f>
        <v>RUTL-29833400</v>
      </c>
      <c r="M563" s="34" t="s">
        <v>40</v>
      </c>
      <c r="N563" s="23" t="s">
        <v>43</v>
      </c>
      <c r="O563" s="23"/>
      <c r="P563" s="35" t="s">
        <v>46</v>
      </c>
      <c r="Q563" s="36" t="s">
        <v>5227</v>
      </c>
      <c r="R563" s="15" t="s">
        <v>56</v>
      </c>
      <c r="S563" s="37" t="s">
        <v>57</v>
      </c>
      <c r="T563" s="107" t="s">
        <v>148</v>
      </c>
      <c r="U563" s="39" t="s">
        <v>4099</v>
      </c>
      <c r="V563" s="111">
        <v>45947</v>
      </c>
      <c r="W563" s="23" t="s">
        <v>1721</v>
      </c>
      <c r="X563" s="71"/>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row>
    <row r="564" spans="1:135" ht="30" customHeight="1" thickBot="1" x14ac:dyDescent="0.3">
      <c r="A564" s="578" t="s">
        <v>3311</v>
      </c>
      <c r="B564" s="8">
        <v>3317</v>
      </c>
      <c r="C564" s="69" t="s">
        <v>3309</v>
      </c>
      <c r="D564" s="15" t="s">
        <v>24</v>
      </c>
      <c r="E564" s="11" t="s">
        <v>25</v>
      </c>
      <c r="F564" s="345" t="s">
        <v>3310</v>
      </c>
      <c r="G564" s="15" t="s">
        <v>1546</v>
      </c>
      <c r="H564" s="17" t="s">
        <v>470</v>
      </c>
      <c r="I564" s="24" t="s">
        <v>135</v>
      </c>
      <c r="J564" s="24" t="s">
        <v>1700</v>
      </c>
      <c r="K564" s="33" t="s">
        <v>3312</v>
      </c>
      <c r="L564" s="25" t="str">
        <f>"RUTL-"&amp;RIGHT(K564,8)</f>
        <v>RUTL-29923400</v>
      </c>
      <c r="M564" s="34" t="s">
        <v>40</v>
      </c>
      <c r="N564" s="32" t="s">
        <v>43</v>
      </c>
      <c r="O564" s="23"/>
      <c r="P564" s="35" t="s">
        <v>46</v>
      </c>
      <c r="Q564" s="36" t="s">
        <v>3313</v>
      </c>
      <c r="R564" s="15" t="s">
        <v>56</v>
      </c>
      <c r="S564" s="40" t="s">
        <v>57</v>
      </c>
      <c r="T564" s="105" t="s">
        <v>148</v>
      </c>
      <c r="U564" s="39" t="s">
        <v>3314</v>
      </c>
      <c r="V564" s="44">
        <v>45947</v>
      </c>
      <c r="W564" s="23" t="s">
        <v>1721</v>
      </c>
      <c r="X564" s="71"/>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c r="DJ564" s="5"/>
      <c r="DK564" s="5"/>
      <c r="DL564" s="5"/>
      <c r="DM564" s="5"/>
      <c r="DN564" s="5"/>
      <c r="DO564" s="5"/>
      <c r="DP564" s="5"/>
      <c r="DQ564" s="5"/>
      <c r="DR564" s="5"/>
      <c r="DS564" s="5"/>
      <c r="DT564" s="5"/>
      <c r="DU564" s="5"/>
      <c r="DV564" s="5"/>
      <c r="DW564" s="5"/>
      <c r="DX564" s="5"/>
      <c r="DY564" s="5"/>
      <c r="DZ564" s="5"/>
      <c r="EA564" s="5"/>
      <c r="EB564" s="5"/>
      <c r="EC564" s="5"/>
      <c r="ED564" s="5"/>
      <c r="EE564" s="5"/>
    </row>
    <row r="565" spans="1:135" ht="30" customHeight="1" thickBot="1" x14ac:dyDescent="0.3">
      <c r="A565" s="578" t="s">
        <v>1769</v>
      </c>
      <c r="B565" s="8">
        <v>714</v>
      </c>
      <c r="C565" s="72" t="s">
        <v>1765</v>
      </c>
      <c r="D565" s="15" t="s">
        <v>24</v>
      </c>
      <c r="E565" s="11" t="s">
        <v>25</v>
      </c>
      <c r="F565" s="20" t="s">
        <v>1767</v>
      </c>
      <c r="G565" s="15" t="s">
        <v>606</v>
      </c>
      <c r="H565" s="17" t="s">
        <v>682</v>
      </c>
      <c r="I565" s="18" t="s">
        <v>135</v>
      </c>
      <c r="J565" s="18" t="s">
        <v>1700</v>
      </c>
      <c r="K565" s="23" t="s">
        <v>1770</v>
      </c>
      <c r="L565" s="25" t="str">
        <f>"RUTL-"&amp;RIGHT(K565,8)</f>
        <v>RUTL-069B3400</v>
      </c>
      <c r="M565" s="34" t="s">
        <v>40</v>
      </c>
      <c r="N565" s="23"/>
      <c r="O565" s="23"/>
      <c r="P565" s="35" t="s">
        <v>46</v>
      </c>
      <c r="Q565" s="278"/>
      <c r="R565" s="15" t="s">
        <v>56</v>
      </c>
      <c r="S565" s="37" t="s">
        <v>57</v>
      </c>
      <c r="T565" s="87" t="s">
        <v>273</v>
      </c>
      <c r="U565" s="39" t="s">
        <v>1772</v>
      </c>
      <c r="V565" s="111"/>
      <c r="W565" s="23" t="s">
        <v>1721</v>
      </c>
      <c r="X565" s="71"/>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c r="DG565" s="5"/>
      <c r="DH565" s="5"/>
      <c r="DI565" s="5"/>
      <c r="DJ565" s="5"/>
      <c r="DK565" s="5"/>
      <c r="DL565" s="5"/>
      <c r="DM565" s="5"/>
      <c r="DN565" s="5"/>
      <c r="DO565" s="5"/>
      <c r="DP565" s="5"/>
      <c r="DQ565" s="5"/>
      <c r="DR565" s="5"/>
      <c r="DS565" s="5"/>
      <c r="DT565" s="5"/>
      <c r="DU565" s="5"/>
      <c r="DV565" s="5"/>
      <c r="DW565" s="5"/>
      <c r="DX565" s="5"/>
      <c r="DY565" s="5"/>
      <c r="DZ565" s="5"/>
      <c r="EA565" s="5"/>
      <c r="EB565" s="5"/>
      <c r="EC565" s="5"/>
      <c r="ED565" s="5"/>
      <c r="EE565" s="5"/>
    </row>
    <row r="566" spans="1:135" ht="30" customHeight="1" thickBot="1" x14ac:dyDescent="0.3">
      <c r="A566" s="578" t="s">
        <v>5107</v>
      </c>
      <c r="B566" s="16">
        <v>11826</v>
      </c>
      <c r="C566" s="69" t="s">
        <v>5105</v>
      </c>
      <c r="D566" s="10" t="s">
        <v>24</v>
      </c>
      <c r="E566" s="11" t="s">
        <v>25</v>
      </c>
      <c r="F566" s="12" t="s">
        <v>5106</v>
      </c>
      <c r="G566" s="15" t="s">
        <v>2565</v>
      </c>
      <c r="H566" s="147" t="s">
        <v>1477</v>
      </c>
      <c r="I566" s="18" t="s">
        <v>135</v>
      </c>
      <c r="J566" s="18" t="s">
        <v>1700</v>
      </c>
      <c r="K566" s="23" t="s">
        <v>5108</v>
      </c>
      <c r="L566" s="25" t="str">
        <f>"RUTL-"&amp;RIGHT(K566,8)</f>
        <v>RUTL-1B813400</v>
      </c>
      <c r="M566" s="34" t="s">
        <v>40</v>
      </c>
      <c r="N566" s="32" t="s">
        <v>54</v>
      </c>
      <c r="O566" s="23"/>
      <c r="P566" s="35" t="s">
        <v>46</v>
      </c>
      <c r="Q566" s="278"/>
      <c r="R566" s="15" t="s">
        <v>56</v>
      </c>
      <c r="S566" s="37" t="s">
        <v>57</v>
      </c>
      <c r="T566" s="105" t="s">
        <v>148</v>
      </c>
      <c r="U566" s="39" t="s">
        <v>5109</v>
      </c>
      <c r="V566" s="111">
        <v>45947</v>
      </c>
      <c r="W566" s="23" t="s">
        <v>1721</v>
      </c>
      <c r="X566" s="71"/>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c r="DJ566" s="5"/>
      <c r="DK566" s="5"/>
      <c r="DL566" s="5"/>
      <c r="DM566" s="5"/>
      <c r="DN566" s="5"/>
      <c r="DO566" s="5"/>
      <c r="DP566" s="5"/>
      <c r="DQ566" s="5"/>
      <c r="DR566" s="5"/>
      <c r="DS566" s="5"/>
      <c r="DT566" s="5"/>
      <c r="DU566" s="5"/>
      <c r="DV566" s="5"/>
      <c r="DW566" s="5"/>
      <c r="DX566" s="5"/>
      <c r="DY566" s="5"/>
      <c r="DZ566" s="5"/>
      <c r="EA566" s="5"/>
      <c r="EB566" s="5"/>
      <c r="EC566" s="5"/>
      <c r="ED566" s="5"/>
      <c r="EE566" s="5"/>
    </row>
    <row r="567" spans="1:135" ht="30" customHeight="1" thickBot="1" x14ac:dyDescent="0.3">
      <c r="A567" s="578" t="s">
        <v>3337</v>
      </c>
      <c r="B567" s="8">
        <v>3317</v>
      </c>
      <c r="C567" s="52" t="s">
        <v>3334</v>
      </c>
      <c r="D567" s="10" t="s">
        <v>24</v>
      </c>
      <c r="E567" s="11" t="s">
        <v>25</v>
      </c>
      <c r="F567" s="12" t="s">
        <v>3335</v>
      </c>
      <c r="G567" s="15" t="s">
        <v>3336</v>
      </c>
      <c r="H567" s="102" t="s">
        <v>2956</v>
      </c>
      <c r="I567" s="18" t="s">
        <v>135</v>
      </c>
      <c r="J567" s="18" t="s">
        <v>1700</v>
      </c>
      <c r="K567" s="33" t="s">
        <v>3338</v>
      </c>
      <c r="L567" s="25" t="str">
        <f>"RUTL-"&amp;RIGHT(K567,8)</f>
        <v>RUTL-197C3400</v>
      </c>
      <c r="M567" s="34" t="s">
        <v>40</v>
      </c>
      <c r="N567" s="23" t="s">
        <v>3339</v>
      </c>
      <c r="O567" s="23"/>
      <c r="P567" s="35" t="s">
        <v>46</v>
      </c>
      <c r="Q567" s="278" t="s">
        <v>3340</v>
      </c>
      <c r="R567" s="15" t="s">
        <v>56</v>
      </c>
      <c r="S567" s="347" t="s">
        <v>296</v>
      </c>
      <c r="T567" s="107" t="s">
        <v>2960</v>
      </c>
      <c r="U567" s="39" t="s">
        <v>3341</v>
      </c>
      <c r="V567" s="111">
        <v>45947</v>
      </c>
      <c r="W567" s="23" t="s">
        <v>1721</v>
      </c>
      <c r="X567" s="71"/>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c r="CB567" s="30"/>
      <c r="CC567" s="30"/>
      <c r="CD567" s="30"/>
      <c r="CE567" s="30"/>
      <c r="CF567" s="30"/>
      <c r="CG567" s="30"/>
      <c r="CH567" s="30"/>
      <c r="CI567" s="30"/>
      <c r="CJ567" s="30"/>
      <c r="CK567" s="30"/>
      <c r="CL567" s="30"/>
      <c r="CM567" s="30"/>
      <c r="CN567" s="30"/>
      <c r="CO567" s="30"/>
      <c r="CP567" s="30"/>
      <c r="CQ567" s="30"/>
      <c r="CR567" s="30"/>
      <c r="CS567" s="30"/>
      <c r="CT567" s="30"/>
      <c r="CU567" s="30"/>
      <c r="CV567" s="30"/>
      <c r="CW567" s="30"/>
      <c r="CX567" s="30"/>
      <c r="CY567" s="30"/>
      <c r="CZ567" s="30"/>
      <c r="DA567" s="30"/>
      <c r="DB567" s="30"/>
      <c r="DC567" s="30"/>
      <c r="DD567" s="30"/>
      <c r="DE567" s="30"/>
      <c r="DF567" s="30"/>
      <c r="DG567" s="30"/>
      <c r="DH567" s="30"/>
      <c r="DI567" s="30"/>
      <c r="DJ567" s="30"/>
      <c r="DK567" s="30"/>
      <c r="DL567" s="30"/>
      <c r="DM567" s="30"/>
      <c r="DN567" s="30"/>
      <c r="DO567" s="30"/>
      <c r="DP567" s="30"/>
      <c r="DQ567" s="30"/>
      <c r="DR567" s="30"/>
      <c r="DS567" s="30"/>
      <c r="DT567" s="30"/>
      <c r="DU567" s="30"/>
      <c r="DV567" s="30"/>
      <c r="DW567" s="30"/>
      <c r="DX567" s="30"/>
      <c r="DY567" s="30"/>
      <c r="DZ567" s="30"/>
      <c r="EA567" s="30"/>
      <c r="EB567" s="30"/>
      <c r="EC567" s="30"/>
      <c r="ED567" s="30"/>
      <c r="EE567" s="30"/>
    </row>
    <row r="568" spans="1:135" ht="30" customHeight="1" thickBot="1" x14ac:dyDescent="0.3">
      <c r="A568" s="578" t="s">
        <v>5550</v>
      </c>
      <c r="B568" s="8">
        <v>13251</v>
      </c>
      <c r="C568" s="72" t="s">
        <v>5548</v>
      </c>
      <c r="D568" s="10" t="s">
        <v>24</v>
      </c>
      <c r="E568" s="11" t="s">
        <v>25</v>
      </c>
      <c r="F568" s="12" t="s">
        <v>5549</v>
      </c>
      <c r="G568" s="15" t="s">
        <v>3691</v>
      </c>
      <c r="H568" s="479" t="s">
        <v>166</v>
      </c>
      <c r="I568" s="18" t="s">
        <v>135</v>
      </c>
      <c r="J568" s="18" t="s">
        <v>1700</v>
      </c>
      <c r="K568" s="23" t="s">
        <v>5551</v>
      </c>
      <c r="L568" s="25" t="str">
        <f>"RUTL-"&amp;RIGHT(K568,8)</f>
        <v>RUTL-2A1F3400</v>
      </c>
      <c r="M568" s="34" t="s">
        <v>40</v>
      </c>
      <c r="N568" s="23" t="s">
        <v>43</v>
      </c>
      <c r="O568" s="493"/>
      <c r="P568" s="35" t="s">
        <v>46</v>
      </c>
      <c r="Q568" s="36" t="s">
        <v>5552</v>
      </c>
      <c r="R568" s="15" t="s">
        <v>56</v>
      </c>
      <c r="S568" s="37" t="s">
        <v>57</v>
      </c>
      <c r="T568" s="105" t="s">
        <v>148</v>
      </c>
      <c r="U568" s="39" t="s">
        <v>1772</v>
      </c>
      <c r="V568" s="562">
        <v>45947</v>
      </c>
      <c r="W568" s="493" t="s">
        <v>1721</v>
      </c>
      <c r="X568" s="71"/>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c r="CB568" s="30"/>
      <c r="CC568" s="30"/>
      <c r="CD568" s="30"/>
      <c r="CE568" s="30"/>
      <c r="CF568" s="30"/>
      <c r="CG568" s="30"/>
      <c r="CH568" s="30"/>
      <c r="CI568" s="30"/>
      <c r="CJ568" s="30"/>
      <c r="CK568" s="30"/>
      <c r="CL568" s="30"/>
      <c r="CM568" s="30"/>
      <c r="CN568" s="30"/>
      <c r="CO568" s="30"/>
      <c r="CP568" s="30"/>
      <c r="CQ568" s="30"/>
      <c r="CR568" s="30"/>
      <c r="CS568" s="30"/>
      <c r="CT568" s="30"/>
      <c r="CU568" s="30"/>
      <c r="CV568" s="30"/>
      <c r="CW568" s="30"/>
      <c r="CX568" s="30"/>
      <c r="CY568" s="30"/>
      <c r="CZ568" s="30"/>
      <c r="DA568" s="30"/>
      <c r="DB568" s="30"/>
      <c r="DC568" s="30"/>
      <c r="DD568" s="30"/>
      <c r="DE568" s="30"/>
      <c r="DF568" s="30"/>
      <c r="DG568" s="30"/>
      <c r="DH568" s="30"/>
      <c r="DI568" s="30"/>
      <c r="DJ568" s="30"/>
      <c r="DK568" s="30"/>
      <c r="DL568" s="30"/>
      <c r="DM568" s="30"/>
      <c r="DN568" s="30"/>
      <c r="DO568" s="30"/>
      <c r="DP568" s="30"/>
      <c r="DQ568" s="30"/>
      <c r="DR568" s="30"/>
      <c r="DS568" s="30"/>
      <c r="DT568" s="30"/>
      <c r="DU568" s="30"/>
      <c r="DV568" s="30"/>
      <c r="DW568" s="30"/>
      <c r="DX568" s="30"/>
      <c r="DY568" s="30"/>
      <c r="DZ568" s="30"/>
      <c r="EA568" s="30"/>
      <c r="EB568" s="30"/>
      <c r="EC568" s="30"/>
      <c r="ED568" s="30"/>
      <c r="EE568" s="30"/>
    </row>
    <row r="569" spans="1:135" ht="30" customHeight="1" thickBot="1" x14ac:dyDescent="0.3">
      <c r="A569" s="578" t="s">
        <v>3405</v>
      </c>
      <c r="B569" s="8">
        <v>3726</v>
      </c>
      <c r="C569" s="72" t="s">
        <v>3403</v>
      </c>
      <c r="D569" s="15" t="s">
        <v>24</v>
      </c>
      <c r="E569" s="11" t="s">
        <v>25</v>
      </c>
      <c r="F569" s="20" t="s">
        <v>3404</v>
      </c>
      <c r="G569" s="15" t="s">
        <v>2089</v>
      </c>
      <c r="H569" s="119" t="s">
        <v>1071</v>
      </c>
      <c r="I569" s="18" t="s">
        <v>135</v>
      </c>
      <c r="J569" s="18" t="s">
        <v>121</v>
      </c>
      <c r="K569" s="33" t="s">
        <v>3406</v>
      </c>
      <c r="L569" s="25" t="str">
        <f>"RUTL-"&amp;RIGHT(K569,8)</f>
        <v>RUTL-02103015</v>
      </c>
      <c r="M569" s="34" t="s">
        <v>40</v>
      </c>
      <c r="N569" s="23" t="s">
        <v>43</v>
      </c>
      <c r="O569" s="23"/>
      <c r="P569" s="39" t="s">
        <v>90</v>
      </c>
      <c r="Q569" s="63" t="s">
        <v>3407</v>
      </c>
      <c r="R569" s="15" t="s">
        <v>56</v>
      </c>
      <c r="S569" s="37" t="s">
        <v>57</v>
      </c>
      <c r="T569" s="105" t="s">
        <v>148</v>
      </c>
      <c r="U569" s="39" t="s">
        <v>3408</v>
      </c>
      <c r="V569" s="23"/>
      <c r="W569" s="23" t="s">
        <v>441</v>
      </c>
      <c r="X569" s="71"/>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c r="CB569" s="30"/>
      <c r="CC569" s="30"/>
      <c r="CD569" s="30"/>
      <c r="CE569" s="30"/>
      <c r="CF569" s="30"/>
      <c r="CG569" s="30"/>
      <c r="CH569" s="30"/>
      <c r="CI569" s="30"/>
      <c r="CJ569" s="30"/>
      <c r="CK569" s="30"/>
      <c r="CL569" s="30"/>
      <c r="CM569" s="30"/>
      <c r="CN569" s="30"/>
      <c r="CO569" s="30"/>
      <c r="CP569" s="30"/>
      <c r="CQ569" s="30"/>
      <c r="CR569" s="30"/>
      <c r="CS569" s="30"/>
      <c r="CT569" s="30"/>
      <c r="CU569" s="30"/>
      <c r="CV569" s="30"/>
      <c r="CW569" s="30"/>
      <c r="CX569" s="30"/>
      <c r="CY569" s="30"/>
      <c r="CZ569" s="30"/>
      <c r="DA569" s="30"/>
      <c r="DB569" s="30"/>
      <c r="DC569" s="30"/>
      <c r="DD569" s="30"/>
      <c r="DE569" s="30"/>
      <c r="DF569" s="30"/>
      <c r="DG569" s="30"/>
      <c r="DH569" s="30"/>
      <c r="DI569" s="30"/>
      <c r="DJ569" s="30"/>
      <c r="DK569" s="30"/>
      <c r="DL569" s="30"/>
      <c r="DM569" s="30"/>
      <c r="DN569" s="30"/>
      <c r="DO569" s="30"/>
      <c r="DP569" s="30"/>
      <c r="DQ569" s="30"/>
      <c r="DR569" s="30"/>
      <c r="DS569" s="30"/>
      <c r="DT569" s="30"/>
      <c r="DU569" s="30"/>
      <c r="DV569" s="30"/>
      <c r="DW569" s="30"/>
      <c r="DX569" s="30"/>
      <c r="DY569" s="30"/>
      <c r="DZ569" s="30"/>
      <c r="EA569" s="30"/>
      <c r="EB569" s="30"/>
      <c r="EC569" s="30"/>
      <c r="ED569" s="30"/>
      <c r="EE569" s="30"/>
    </row>
    <row r="570" spans="1:135" ht="30" customHeight="1" thickBot="1" x14ac:dyDescent="0.3">
      <c r="A570" s="578" t="s">
        <v>5717</v>
      </c>
      <c r="B570" s="8">
        <v>13603</v>
      </c>
      <c r="C570" s="72" t="s">
        <v>5714</v>
      </c>
      <c r="D570" s="10" t="s">
        <v>24</v>
      </c>
      <c r="E570" s="11" t="s">
        <v>25</v>
      </c>
      <c r="F570" s="20" t="s">
        <v>5715</v>
      </c>
      <c r="G570" s="15" t="s">
        <v>5716</v>
      </c>
      <c r="H570" s="143" t="s">
        <v>398</v>
      </c>
      <c r="I570" s="18" t="s">
        <v>117</v>
      </c>
      <c r="J570" s="18" t="s">
        <v>729</v>
      </c>
      <c r="K570" s="23" t="s">
        <v>5718</v>
      </c>
      <c r="L570" s="25" t="str">
        <f>"RUTL-"&amp;RIGHT(K570,8)</f>
        <v>RUTL-23440700</v>
      </c>
      <c r="M570" s="34" t="s">
        <v>40</v>
      </c>
      <c r="N570" s="32" t="s">
        <v>54</v>
      </c>
      <c r="O570" s="23"/>
      <c r="P570" s="35" t="s">
        <v>46</v>
      </c>
      <c r="Q570" s="113"/>
      <c r="R570" s="15" t="s">
        <v>56</v>
      </c>
      <c r="S570" s="37" t="s">
        <v>57</v>
      </c>
      <c r="T570" s="107" t="s">
        <v>453</v>
      </c>
      <c r="U570" s="39" t="s">
        <v>5719</v>
      </c>
      <c r="V570" s="115">
        <v>45975</v>
      </c>
      <c r="W570" s="23" t="s">
        <v>742</v>
      </c>
      <c r="X570" s="71"/>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c r="CB570" s="30"/>
      <c r="CC570" s="30"/>
      <c r="CD570" s="30"/>
      <c r="CE570" s="30"/>
      <c r="CF570" s="30"/>
      <c r="CG570" s="30"/>
      <c r="CH570" s="30"/>
      <c r="CI570" s="30"/>
      <c r="CJ570" s="30"/>
      <c r="CK570" s="30"/>
      <c r="CL570" s="30"/>
      <c r="CM570" s="30"/>
      <c r="CN570" s="30"/>
      <c r="CO570" s="30"/>
      <c r="CP570" s="30"/>
      <c r="CQ570" s="30"/>
      <c r="CR570" s="30"/>
      <c r="CS570" s="30"/>
      <c r="CT570" s="30"/>
      <c r="CU570" s="30"/>
      <c r="CV570" s="30"/>
      <c r="CW570" s="30"/>
      <c r="CX570" s="30"/>
      <c r="CY570" s="30"/>
      <c r="CZ570" s="30"/>
      <c r="DA570" s="30"/>
      <c r="DB570" s="30"/>
      <c r="DC570" s="30"/>
      <c r="DD570" s="30"/>
      <c r="DE570" s="30"/>
      <c r="DF570" s="30"/>
      <c r="DG570" s="30"/>
      <c r="DH570" s="30"/>
      <c r="DI570" s="30"/>
      <c r="DJ570" s="30"/>
      <c r="DK570" s="30"/>
      <c r="DL570" s="30"/>
      <c r="DM570" s="30"/>
      <c r="DN570" s="30"/>
      <c r="DO570" s="30"/>
      <c r="DP570" s="30"/>
      <c r="DQ570" s="30"/>
      <c r="DR570" s="30"/>
      <c r="DS570" s="30"/>
      <c r="DT570" s="30"/>
      <c r="DU570" s="30"/>
      <c r="DV570" s="30"/>
      <c r="DW570" s="30"/>
      <c r="DX570" s="30"/>
      <c r="DY570" s="30"/>
      <c r="DZ570" s="30"/>
      <c r="EA570" s="30"/>
      <c r="EB570" s="30"/>
      <c r="EC570" s="30"/>
      <c r="ED570" s="30"/>
      <c r="EE570" s="30"/>
    </row>
    <row r="571" spans="1:135" ht="30" customHeight="1" thickBot="1" x14ac:dyDescent="0.3">
      <c r="A571" s="578" t="s">
        <v>732</v>
      </c>
      <c r="B571" s="8">
        <v>296</v>
      </c>
      <c r="C571" s="69" t="s">
        <v>723</v>
      </c>
      <c r="D571" s="15" t="s">
        <v>24</v>
      </c>
      <c r="E571" s="11" t="s">
        <v>25</v>
      </c>
      <c r="F571" s="20" t="s">
        <v>726</v>
      </c>
      <c r="G571" s="15" t="s">
        <v>285</v>
      </c>
      <c r="H571" s="97" t="s">
        <v>727</v>
      </c>
      <c r="I571" s="24" t="s">
        <v>135</v>
      </c>
      <c r="J571" s="24" t="s">
        <v>729</v>
      </c>
      <c r="K571" s="23" t="s">
        <v>735</v>
      </c>
      <c r="L571" s="25" t="str">
        <f>"RUTL-"&amp;RIGHT(K571,8)</f>
        <v>RUTL-23D90700</v>
      </c>
      <c r="M571" s="34" t="s">
        <v>40</v>
      </c>
      <c r="N571" s="90" t="s">
        <v>94</v>
      </c>
      <c r="O571" s="32"/>
      <c r="P571" s="35" t="s">
        <v>46</v>
      </c>
      <c r="Q571" s="100"/>
      <c r="R571" s="15" t="s">
        <v>56</v>
      </c>
      <c r="S571" s="40" t="s">
        <v>180</v>
      </c>
      <c r="T571" s="35" t="s">
        <v>65</v>
      </c>
      <c r="U571" s="39" t="s">
        <v>740</v>
      </c>
      <c r="V571" s="48">
        <v>45975</v>
      </c>
      <c r="W571" s="32" t="s">
        <v>742</v>
      </c>
      <c r="X571" s="71"/>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c r="EA571" s="30"/>
      <c r="EB571" s="30"/>
      <c r="EC571" s="30"/>
      <c r="ED571" s="30"/>
      <c r="EE571" s="30"/>
    </row>
    <row r="572" spans="1:135" ht="30" customHeight="1" thickBot="1" x14ac:dyDescent="0.3">
      <c r="A572" s="578" t="s">
        <v>2092</v>
      </c>
      <c r="B572" s="8">
        <v>885</v>
      </c>
      <c r="C572" s="52" t="s">
        <v>2086</v>
      </c>
      <c r="D572" s="15" t="s">
        <v>24</v>
      </c>
      <c r="E572" s="11" t="s">
        <v>25</v>
      </c>
      <c r="F572" s="20" t="s">
        <v>2088</v>
      </c>
      <c r="G572" s="15" t="s">
        <v>2089</v>
      </c>
      <c r="H572" s="22" t="s">
        <v>1221</v>
      </c>
      <c r="I572" s="18" t="s">
        <v>135</v>
      </c>
      <c r="J572" s="18" t="s">
        <v>729</v>
      </c>
      <c r="K572" s="23" t="s">
        <v>2094</v>
      </c>
      <c r="L572" s="25" t="str">
        <f>"RUTL-"&amp;RIGHT(K572,8)</f>
        <v>RUTL-21D80700</v>
      </c>
      <c r="M572" s="34" t="s">
        <v>40</v>
      </c>
      <c r="N572" s="23" t="s">
        <v>2095</v>
      </c>
      <c r="O572" s="23"/>
      <c r="P572" s="35" t="s">
        <v>46</v>
      </c>
      <c r="Q572" s="113"/>
      <c r="R572" s="15" t="s">
        <v>56</v>
      </c>
      <c r="S572" s="37" t="s">
        <v>57</v>
      </c>
      <c r="T572" s="105" t="s">
        <v>148</v>
      </c>
      <c r="U572" s="39" t="s">
        <v>2096</v>
      </c>
      <c r="V572" s="115">
        <v>45975</v>
      </c>
      <c r="W572" s="23" t="s">
        <v>742</v>
      </c>
      <c r="X572" s="71"/>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c r="CB572" s="30"/>
      <c r="CC572" s="30"/>
      <c r="CD572" s="30"/>
      <c r="CE572" s="30"/>
      <c r="CF572" s="30"/>
      <c r="CG572" s="30"/>
      <c r="CH572" s="30"/>
      <c r="CI572" s="30"/>
      <c r="CJ572" s="30"/>
      <c r="CK572" s="30"/>
      <c r="CL572" s="30"/>
      <c r="CM572" s="30"/>
      <c r="CN572" s="30"/>
      <c r="CO572" s="30"/>
      <c r="CP572" s="30"/>
      <c r="CQ572" s="30"/>
      <c r="CR572" s="30"/>
      <c r="CS572" s="30"/>
      <c r="CT572" s="30"/>
      <c r="CU572" s="30"/>
      <c r="CV572" s="30"/>
      <c r="CW572" s="30"/>
      <c r="CX572" s="30"/>
      <c r="CY572" s="30"/>
      <c r="CZ572" s="30"/>
      <c r="DA572" s="30"/>
      <c r="DB572" s="30"/>
      <c r="DC572" s="30"/>
      <c r="DD572" s="30"/>
      <c r="DE572" s="30"/>
      <c r="DF572" s="30"/>
      <c r="DG572" s="30"/>
      <c r="DH572" s="30"/>
      <c r="DI572" s="30"/>
      <c r="DJ572" s="30"/>
      <c r="DK572" s="30"/>
      <c r="DL572" s="30"/>
      <c r="DM572" s="30"/>
      <c r="DN572" s="30"/>
      <c r="DO572" s="30"/>
      <c r="DP572" s="30"/>
      <c r="DQ572" s="30"/>
      <c r="DR572" s="30"/>
      <c r="DS572" s="30"/>
      <c r="DT572" s="30"/>
      <c r="DU572" s="30"/>
      <c r="DV572" s="30"/>
      <c r="DW572" s="30"/>
      <c r="DX572" s="30"/>
      <c r="DY572" s="30"/>
      <c r="DZ572" s="30"/>
      <c r="EA572" s="30"/>
      <c r="EB572" s="30"/>
      <c r="EC572" s="30"/>
      <c r="ED572" s="30"/>
      <c r="EE572" s="30"/>
    </row>
    <row r="573" spans="1:135" ht="30" customHeight="1" thickBot="1" x14ac:dyDescent="0.3">
      <c r="A573" s="578" t="s">
        <v>2285</v>
      </c>
      <c r="B573" s="8">
        <v>991</v>
      </c>
      <c r="C573" s="72" t="s">
        <v>2281</v>
      </c>
      <c r="D573" s="15" t="s">
        <v>24</v>
      </c>
      <c r="E573" s="11" t="s">
        <v>25</v>
      </c>
      <c r="F573" s="20" t="s">
        <v>2282</v>
      </c>
      <c r="G573" s="15" t="s">
        <v>285</v>
      </c>
      <c r="H573" s="119" t="s">
        <v>852</v>
      </c>
      <c r="I573" s="18" t="s">
        <v>135</v>
      </c>
      <c r="J573" s="18" t="s">
        <v>729</v>
      </c>
      <c r="K573" s="23" t="s">
        <v>2288</v>
      </c>
      <c r="L573" s="25" t="str">
        <f>"RUTL-"&amp;RIGHT(K573,8)</f>
        <v>RUTL-22030700</v>
      </c>
      <c r="M573" s="34" t="s">
        <v>40</v>
      </c>
      <c r="N573" s="23" t="s">
        <v>2095</v>
      </c>
      <c r="O573" s="23"/>
      <c r="P573" s="35" t="s">
        <v>46</v>
      </c>
      <c r="Q573" s="36" t="s">
        <v>2289</v>
      </c>
      <c r="R573" s="15" t="s">
        <v>56</v>
      </c>
      <c r="S573" s="37" t="s">
        <v>57</v>
      </c>
      <c r="T573" s="105" t="s">
        <v>148</v>
      </c>
      <c r="U573" s="39" t="s">
        <v>2290</v>
      </c>
      <c r="V573" s="115">
        <v>45975</v>
      </c>
      <c r="W573" s="23" t="s">
        <v>742</v>
      </c>
      <c r="X573" s="71"/>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c r="CB573" s="30"/>
      <c r="CC573" s="30"/>
      <c r="CD573" s="30"/>
      <c r="CE573" s="30"/>
      <c r="CF573" s="30"/>
      <c r="CG573" s="30"/>
      <c r="CH573" s="30"/>
      <c r="CI573" s="30"/>
      <c r="CJ573" s="30"/>
      <c r="CK573" s="30"/>
      <c r="CL573" s="30"/>
      <c r="CM573" s="30"/>
      <c r="CN573" s="30"/>
      <c r="CO573" s="30"/>
      <c r="CP573" s="30"/>
      <c r="CQ573" s="30"/>
      <c r="CR573" s="30"/>
      <c r="CS573" s="30"/>
      <c r="CT573" s="30"/>
      <c r="CU573" s="30"/>
      <c r="CV573" s="30"/>
      <c r="CW573" s="30"/>
      <c r="CX573" s="30"/>
      <c r="CY573" s="30"/>
      <c r="CZ573" s="30"/>
      <c r="DA573" s="30"/>
      <c r="DB573" s="30"/>
      <c r="DC573" s="30"/>
      <c r="DD573" s="30"/>
      <c r="DE573" s="30"/>
      <c r="DF573" s="30"/>
      <c r="DG573" s="30"/>
      <c r="DH573" s="30"/>
      <c r="DI573" s="30"/>
      <c r="DJ573" s="30"/>
      <c r="DK573" s="30"/>
      <c r="DL573" s="30"/>
      <c r="DM573" s="30"/>
      <c r="DN573" s="30"/>
      <c r="DO573" s="30"/>
      <c r="DP573" s="30"/>
      <c r="DQ573" s="30"/>
      <c r="DR573" s="30"/>
      <c r="DS573" s="30"/>
      <c r="DT573" s="30"/>
      <c r="DU573" s="30"/>
      <c r="DV573" s="30"/>
      <c r="DW573" s="30"/>
      <c r="DX573" s="30"/>
      <c r="DY573" s="30"/>
      <c r="DZ573" s="30"/>
      <c r="EA573" s="30"/>
      <c r="EB573" s="30"/>
      <c r="EC573" s="30"/>
      <c r="ED573" s="30"/>
      <c r="EE573" s="30"/>
    </row>
    <row r="574" spans="1:135" ht="30" customHeight="1" thickBot="1" x14ac:dyDescent="0.3">
      <c r="A574" s="578" t="s">
        <v>2944</v>
      </c>
      <c r="B574" s="8">
        <v>2054</v>
      </c>
      <c r="C574" s="72" t="s">
        <v>2942</v>
      </c>
      <c r="D574" s="10" t="s">
        <v>24</v>
      </c>
      <c r="E574" s="11" t="s">
        <v>25</v>
      </c>
      <c r="F574" s="20" t="s">
        <v>2943</v>
      </c>
      <c r="G574" s="15" t="s">
        <v>285</v>
      </c>
      <c r="H574" s="119" t="s">
        <v>852</v>
      </c>
      <c r="I574" s="18" t="s">
        <v>135</v>
      </c>
      <c r="J574" s="18" t="s">
        <v>729</v>
      </c>
      <c r="K574" s="33" t="s">
        <v>2945</v>
      </c>
      <c r="L574" s="25" t="str">
        <f>"RUTL-"&amp;RIGHT(K574,8)</f>
        <v>RUTL-239D0700</v>
      </c>
      <c r="M574" s="34" t="s">
        <v>40</v>
      </c>
      <c r="N574" s="23"/>
      <c r="O574" s="23"/>
      <c r="P574" s="35" t="s">
        <v>46</v>
      </c>
      <c r="Q574" s="36" t="s">
        <v>2946</v>
      </c>
      <c r="R574" s="15" t="s">
        <v>56</v>
      </c>
      <c r="S574" s="37" t="s">
        <v>57</v>
      </c>
      <c r="T574" s="105" t="s">
        <v>148</v>
      </c>
      <c r="U574" s="39" t="s">
        <v>2290</v>
      </c>
      <c r="V574" s="115">
        <v>45975</v>
      </c>
      <c r="W574" s="23" t="s">
        <v>742</v>
      </c>
      <c r="X574" s="71"/>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c r="CB574" s="30"/>
      <c r="CC574" s="30"/>
      <c r="CD574" s="30"/>
      <c r="CE574" s="30"/>
      <c r="CF574" s="30"/>
      <c r="CG574" s="30"/>
      <c r="CH574" s="30"/>
      <c r="CI574" s="30"/>
      <c r="CJ574" s="30"/>
      <c r="CK574" s="30"/>
      <c r="CL574" s="30"/>
      <c r="CM574" s="30"/>
      <c r="CN574" s="30"/>
      <c r="CO574" s="30"/>
      <c r="CP574" s="30"/>
      <c r="CQ574" s="30"/>
      <c r="CR574" s="30"/>
      <c r="CS574" s="30"/>
      <c r="CT574" s="30"/>
      <c r="CU574" s="30"/>
      <c r="CV574" s="30"/>
      <c r="CW574" s="30"/>
      <c r="CX574" s="30"/>
      <c r="CY574" s="30"/>
      <c r="CZ574" s="30"/>
      <c r="DA574" s="30"/>
      <c r="DB574" s="30"/>
      <c r="DC574" s="30"/>
      <c r="DD574" s="30"/>
      <c r="DE574" s="30"/>
      <c r="DF574" s="30"/>
      <c r="DG574" s="30"/>
      <c r="DH574" s="30"/>
      <c r="DI574" s="30"/>
      <c r="DJ574" s="30"/>
      <c r="DK574" s="30"/>
      <c r="DL574" s="30"/>
      <c r="DM574" s="30"/>
      <c r="DN574" s="30"/>
      <c r="DO574" s="30"/>
      <c r="DP574" s="30"/>
      <c r="DQ574" s="30"/>
      <c r="DR574" s="30"/>
      <c r="DS574" s="30"/>
      <c r="DT574" s="30"/>
      <c r="DU574" s="30"/>
      <c r="DV574" s="30"/>
      <c r="DW574" s="30"/>
      <c r="DX574" s="30"/>
      <c r="DY574" s="30"/>
      <c r="DZ574" s="30"/>
      <c r="EA574" s="30"/>
      <c r="EB574" s="30"/>
      <c r="EC574" s="30"/>
      <c r="ED574" s="30"/>
      <c r="EE574" s="30"/>
    </row>
    <row r="575" spans="1:135" ht="30" customHeight="1" thickBot="1" x14ac:dyDescent="0.3">
      <c r="A575" s="578" t="s">
        <v>3692</v>
      </c>
      <c r="B575" s="8">
        <v>5120</v>
      </c>
      <c r="C575" s="72" t="s">
        <v>3689</v>
      </c>
      <c r="D575" s="15" t="s">
        <v>24</v>
      </c>
      <c r="E575" s="11" t="s">
        <v>25</v>
      </c>
      <c r="F575" s="20" t="s">
        <v>3690</v>
      </c>
      <c r="G575" s="15" t="s">
        <v>3691</v>
      </c>
      <c r="H575" s="119" t="s">
        <v>166</v>
      </c>
      <c r="I575" s="18" t="s">
        <v>135</v>
      </c>
      <c r="J575" s="54" t="s">
        <v>729</v>
      </c>
      <c r="K575" s="33" t="s">
        <v>3693</v>
      </c>
      <c r="L575" s="25" t="str">
        <f>"RUTL-"&amp;RIGHT(K575,8)</f>
        <v>RUTL-233E0700</v>
      </c>
      <c r="M575" s="34" t="s">
        <v>40</v>
      </c>
      <c r="N575" s="23" t="s">
        <v>43</v>
      </c>
      <c r="O575" s="280"/>
      <c r="P575" s="35" t="s">
        <v>46</v>
      </c>
      <c r="Q575" s="36" t="s">
        <v>3694</v>
      </c>
      <c r="R575" s="15" t="s">
        <v>56</v>
      </c>
      <c r="S575" s="37" t="s">
        <v>57</v>
      </c>
      <c r="T575" s="105" t="s">
        <v>148</v>
      </c>
      <c r="U575" s="39" t="s">
        <v>3695</v>
      </c>
      <c r="V575" s="319">
        <v>45975</v>
      </c>
      <c r="W575" s="23" t="s">
        <v>742</v>
      </c>
      <c r="X575" s="71"/>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c r="BO575" s="30"/>
      <c r="BP575" s="30"/>
      <c r="BQ575" s="30"/>
      <c r="BR575" s="30"/>
      <c r="BS575" s="30"/>
      <c r="BT575" s="30"/>
      <c r="BU575" s="30"/>
      <c r="BV575" s="30"/>
      <c r="BW575" s="30"/>
      <c r="BX575" s="30"/>
      <c r="BY575" s="30"/>
      <c r="BZ575" s="30"/>
      <c r="CA575" s="30"/>
      <c r="CB575" s="30"/>
      <c r="CC575" s="30"/>
      <c r="CD575" s="30"/>
      <c r="CE575" s="30"/>
      <c r="CF575" s="30"/>
      <c r="CG575" s="30"/>
      <c r="CH575" s="30"/>
      <c r="CI575" s="30"/>
      <c r="CJ575" s="30"/>
      <c r="CK575" s="30"/>
      <c r="CL575" s="30"/>
      <c r="CM575" s="30"/>
      <c r="CN575" s="30"/>
      <c r="CO575" s="30"/>
      <c r="CP575" s="30"/>
      <c r="CQ575" s="30"/>
      <c r="CR575" s="30"/>
      <c r="CS575" s="30"/>
      <c r="CT575" s="30"/>
      <c r="CU575" s="30"/>
      <c r="CV575" s="30"/>
      <c r="CW575" s="30"/>
      <c r="CX575" s="30"/>
      <c r="CY575" s="30"/>
      <c r="CZ575" s="30"/>
      <c r="DA575" s="30"/>
      <c r="DB575" s="30"/>
      <c r="DC575" s="30"/>
      <c r="DD575" s="30"/>
      <c r="DE575" s="30"/>
      <c r="DF575" s="30"/>
      <c r="DG575" s="30"/>
      <c r="DH575" s="30"/>
      <c r="DI575" s="30"/>
      <c r="DJ575" s="30"/>
      <c r="DK575" s="30"/>
      <c r="DL575" s="30"/>
      <c r="DM575" s="30"/>
      <c r="DN575" s="30"/>
      <c r="DO575" s="30"/>
      <c r="DP575" s="30"/>
      <c r="DQ575" s="30"/>
      <c r="DR575" s="30"/>
      <c r="DS575" s="30"/>
      <c r="DT575" s="30"/>
      <c r="DU575" s="30"/>
      <c r="DV575" s="30"/>
      <c r="DW575" s="30"/>
      <c r="DX575" s="30"/>
      <c r="DY575" s="30"/>
      <c r="DZ575" s="30"/>
      <c r="EA575" s="30"/>
      <c r="EB575" s="30"/>
      <c r="EC575" s="30"/>
      <c r="ED575" s="30"/>
      <c r="EE575" s="30"/>
    </row>
    <row r="576" spans="1:135" ht="30" customHeight="1" thickBot="1" x14ac:dyDescent="0.3">
      <c r="A576" s="578" t="s">
        <v>5095</v>
      </c>
      <c r="B576" s="344">
        <v>11785</v>
      </c>
      <c r="C576" s="72" t="s">
        <v>5093</v>
      </c>
      <c r="D576" s="10" t="s">
        <v>24</v>
      </c>
      <c r="E576" s="11" t="s">
        <v>25</v>
      </c>
      <c r="F576" s="12" t="s">
        <v>5094</v>
      </c>
      <c r="G576" s="15" t="s">
        <v>904</v>
      </c>
      <c r="H576" s="119" t="s">
        <v>852</v>
      </c>
      <c r="I576" s="18" t="s">
        <v>135</v>
      </c>
      <c r="J576" s="18" t="s">
        <v>729</v>
      </c>
      <c r="K576" s="23" t="s">
        <v>5096</v>
      </c>
      <c r="L576" s="25" t="str">
        <f>"RUTL-"&amp;RIGHT(K576,8)</f>
        <v>RUTL-23980700</v>
      </c>
      <c r="M576" s="34" t="s">
        <v>40</v>
      </c>
      <c r="N576" s="39" t="s">
        <v>414</v>
      </c>
      <c r="O576" s="39" t="s">
        <v>5097</v>
      </c>
      <c r="P576" s="35" t="s">
        <v>46</v>
      </c>
      <c r="Q576" s="36" t="s">
        <v>5098</v>
      </c>
      <c r="R576" s="15" t="s">
        <v>56</v>
      </c>
      <c r="S576" s="37" t="s">
        <v>57</v>
      </c>
      <c r="T576" s="23" t="s">
        <v>273</v>
      </c>
      <c r="U576" s="39" t="s">
        <v>3781</v>
      </c>
      <c r="V576" s="115">
        <v>45975</v>
      </c>
      <c r="W576" s="23" t="s">
        <v>742</v>
      </c>
      <c r="X576" s="71"/>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c r="DJ576" s="5"/>
      <c r="DK576" s="5"/>
      <c r="DL576" s="5"/>
      <c r="DM576" s="5"/>
      <c r="DN576" s="5"/>
      <c r="DO576" s="5"/>
      <c r="DP576" s="5"/>
      <c r="DQ576" s="5"/>
      <c r="DR576" s="5"/>
      <c r="DS576" s="5"/>
      <c r="DT576" s="5"/>
      <c r="DU576" s="5"/>
      <c r="DV576" s="5"/>
      <c r="DW576" s="5"/>
      <c r="DX576" s="5"/>
      <c r="DY576" s="5"/>
      <c r="DZ576" s="5"/>
      <c r="EA576" s="5"/>
      <c r="EB576" s="5"/>
      <c r="EC576" s="5"/>
      <c r="ED576" s="5"/>
      <c r="EE576" s="5"/>
    </row>
    <row r="577" spans="1:135" ht="30" customHeight="1" thickBot="1" x14ac:dyDescent="0.3">
      <c r="A577" s="578" t="s">
        <v>5397</v>
      </c>
      <c r="B577" s="8">
        <v>12747</v>
      </c>
      <c r="C577" s="72" t="s">
        <v>5395</v>
      </c>
      <c r="D577" s="10" t="s">
        <v>24</v>
      </c>
      <c r="E577" s="11" t="s">
        <v>25</v>
      </c>
      <c r="F577" s="20" t="s">
        <v>5396</v>
      </c>
      <c r="G577" s="15" t="s">
        <v>904</v>
      </c>
      <c r="H577" s="119" t="s">
        <v>852</v>
      </c>
      <c r="I577" s="18" t="s">
        <v>135</v>
      </c>
      <c r="J577" s="24" t="s">
        <v>729</v>
      </c>
      <c r="K577" s="23" t="s">
        <v>5398</v>
      </c>
      <c r="L577" s="25" t="str">
        <f>"RUTL-"&amp;RIGHT(K577,8)</f>
        <v>RUTL-237A0700</v>
      </c>
      <c r="M577" s="34" t="s">
        <v>40</v>
      </c>
      <c r="N577" s="39" t="s">
        <v>414</v>
      </c>
      <c r="O577" s="39" t="s">
        <v>5399</v>
      </c>
      <c r="P577" s="35" t="s">
        <v>46</v>
      </c>
      <c r="Q577" s="36" t="s">
        <v>5400</v>
      </c>
      <c r="R577" s="15" t="s">
        <v>56</v>
      </c>
      <c r="S577" s="37" t="s">
        <v>57</v>
      </c>
      <c r="T577" s="107" t="s">
        <v>148</v>
      </c>
      <c r="U577" s="39" t="s">
        <v>2188</v>
      </c>
      <c r="V577" s="377">
        <v>45975</v>
      </c>
      <c r="W577" s="32" t="s">
        <v>742</v>
      </c>
      <c r="X577" s="71"/>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c r="DJ577" s="5"/>
      <c r="DK577" s="5"/>
      <c r="DL577" s="5"/>
      <c r="DM577" s="5"/>
      <c r="DN577" s="5"/>
      <c r="DO577" s="5"/>
      <c r="DP577" s="5"/>
      <c r="DQ577" s="5"/>
      <c r="DR577" s="5"/>
      <c r="DS577" s="5"/>
      <c r="DT577" s="5"/>
      <c r="DU577" s="5"/>
      <c r="DV577" s="5"/>
      <c r="DW577" s="5"/>
      <c r="DX577" s="5"/>
      <c r="DY577" s="5"/>
      <c r="DZ577" s="5"/>
      <c r="EA577" s="5"/>
      <c r="EB577" s="5"/>
      <c r="EC577" s="5"/>
      <c r="ED577" s="5"/>
      <c r="EE577" s="5"/>
    </row>
    <row r="578" spans="1:135" ht="30" customHeight="1" thickBot="1" x14ac:dyDescent="0.3">
      <c r="A578" s="578" t="s">
        <v>5577</v>
      </c>
      <c r="B578" s="442">
        <v>13294</v>
      </c>
      <c r="C578" s="72" t="s">
        <v>5575</v>
      </c>
      <c r="D578" s="10" t="s">
        <v>24</v>
      </c>
      <c r="E578" s="11" t="s">
        <v>25</v>
      </c>
      <c r="F578" s="20" t="s">
        <v>5576</v>
      </c>
      <c r="G578" s="15" t="s">
        <v>2089</v>
      </c>
      <c r="H578" s="119" t="s">
        <v>312</v>
      </c>
      <c r="I578" s="18" t="s">
        <v>135</v>
      </c>
      <c r="J578" s="18" t="s">
        <v>729</v>
      </c>
      <c r="K578" s="23" t="s">
        <v>5578</v>
      </c>
      <c r="L578" s="25" t="str">
        <f>"RUTL-"&amp;RIGHT(K578,8)</f>
        <v>RUTL-24EC0700</v>
      </c>
      <c r="M578" s="34" t="s">
        <v>40</v>
      </c>
      <c r="N578" s="23" t="s">
        <v>43</v>
      </c>
      <c r="O578" s="23"/>
      <c r="P578" s="35" t="s">
        <v>46</v>
      </c>
      <c r="Q578" s="36" t="s">
        <v>5579</v>
      </c>
      <c r="R578" s="15" t="s">
        <v>56</v>
      </c>
      <c r="S578" s="37" t="s">
        <v>57</v>
      </c>
      <c r="T578" s="105" t="s">
        <v>148</v>
      </c>
      <c r="U578" s="39" t="s">
        <v>3695</v>
      </c>
      <c r="V578" s="115">
        <v>45975</v>
      </c>
      <c r="W578" s="23" t="s">
        <v>742</v>
      </c>
      <c r="X578" s="71"/>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row>
    <row r="579" spans="1:135" ht="30" customHeight="1" thickBot="1" x14ac:dyDescent="0.3">
      <c r="A579" s="578" t="s">
        <v>5639</v>
      </c>
      <c r="B579" s="8">
        <v>13416</v>
      </c>
      <c r="C579" s="72" t="s">
        <v>5637</v>
      </c>
      <c r="D579" s="10" t="s">
        <v>24</v>
      </c>
      <c r="E579" s="11" t="s">
        <v>25</v>
      </c>
      <c r="F579" s="378" t="s">
        <v>5638</v>
      </c>
      <c r="G579" s="59" t="s">
        <v>1796</v>
      </c>
      <c r="H579" s="143" t="s">
        <v>398</v>
      </c>
      <c r="I579" s="18" t="s">
        <v>117</v>
      </c>
      <c r="J579" s="18" t="s">
        <v>729</v>
      </c>
      <c r="K579" s="23" t="s">
        <v>5640</v>
      </c>
      <c r="L579" s="25" t="str">
        <f>"RUTL-"&amp;RIGHT(K579,8)</f>
        <v>RUTL-235F0700</v>
      </c>
      <c r="M579" s="34" t="s">
        <v>40</v>
      </c>
      <c r="N579" s="23" t="s">
        <v>43</v>
      </c>
      <c r="O579" s="23"/>
      <c r="P579" s="35" t="s">
        <v>46</v>
      </c>
      <c r="Q579" s="36" t="s">
        <v>5641</v>
      </c>
      <c r="R579" s="15" t="s">
        <v>56</v>
      </c>
      <c r="S579" s="37" t="s">
        <v>57</v>
      </c>
      <c r="T579" s="107" t="s">
        <v>453</v>
      </c>
      <c r="U579" s="39" t="s">
        <v>5642</v>
      </c>
      <c r="V579" s="558">
        <v>45975</v>
      </c>
      <c r="W579" s="23" t="s">
        <v>742</v>
      </c>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c r="CB579" s="30"/>
      <c r="CC579" s="30"/>
      <c r="CD579" s="30"/>
      <c r="CE579" s="30"/>
      <c r="CF579" s="30"/>
      <c r="CG579" s="30"/>
      <c r="CH579" s="30"/>
      <c r="CI579" s="30"/>
      <c r="CJ579" s="30"/>
      <c r="CK579" s="30"/>
      <c r="CL579" s="30"/>
      <c r="CM579" s="30"/>
      <c r="CN579" s="30"/>
      <c r="CO579" s="30"/>
      <c r="CP579" s="30"/>
      <c r="CQ579" s="30"/>
      <c r="CR579" s="30"/>
      <c r="CS579" s="30"/>
      <c r="CT579" s="30"/>
      <c r="CU579" s="30"/>
      <c r="CV579" s="30"/>
      <c r="CW579" s="30"/>
      <c r="CX579" s="30"/>
      <c r="CY579" s="30"/>
      <c r="CZ579" s="30"/>
      <c r="DA579" s="30"/>
      <c r="DB579" s="30"/>
      <c r="DC579" s="30"/>
      <c r="DD579" s="30"/>
      <c r="DE579" s="30"/>
      <c r="DF579" s="30"/>
      <c r="DG579" s="30"/>
      <c r="DH579" s="30"/>
      <c r="DI579" s="30"/>
      <c r="DJ579" s="30"/>
      <c r="DK579" s="30"/>
      <c r="DL579" s="30"/>
      <c r="DM579" s="30"/>
      <c r="DN579" s="30"/>
      <c r="DO579" s="30"/>
      <c r="DP579" s="30"/>
      <c r="DQ579" s="30"/>
      <c r="DR579" s="30"/>
      <c r="DS579" s="30"/>
      <c r="DT579" s="30"/>
      <c r="DU579" s="30"/>
      <c r="DV579" s="30"/>
      <c r="DW579" s="30"/>
      <c r="DX579" s="30"/>
      <c r="DY579" s="30"/>
      <c r="DZ579" s="30"/>
      <c r="EA579" s="30"/>
      <c r="EB579" s="30"/>
      <c r="EC579" s="30"/>
      <c r="ED579" s="30"/>
      <c r="EE579" s="30"/>
    </row>
    <row r="580" spans="1:135" ht="30" customHeight="1" x14ac:dyDescent="0.25">
      <c r="A580" s="578" t="s">
        <v>1463</v>
      </c>
      <c r="B580" s="120" t="s">
        <v>1452</v>
      </c>
      <c r="C580" s="72" t="s">
        <v>1455</v>
      </c>
      <c r="D580" s="121" t="s">
        <v>24</v>
      </c>
      <c r="E580" s="122" t="s">
        <v>25</v>
      </c>
      <c r="F580" s="378" t="s">
        <v>1460</v>
      </c>
      <c r="G580" s="59" t="s">
        <v>1461</v>
      </c>
      <c r="H580" s="17" t="s">
        <v>891</v>
      </c>
      <c r="I580" s="18" t="s">
        <v>38</v>
      </c>
      <c r="J580" s="18" t="s">
        <v>729</v>
      </c>
      <c r="K580" s="124" t="s">
        <v>1466</v>
      </c>
      <c r="L580" s="127" t="str">
        <f>"RUTL-"&amp;RIGHT(K580,8)</f>
        <v>RUTL-24740700</v>
      </c>
      <c r="M580" s="129" t="s">
        <v>40</v>
      </c>
      <c r="N580" s="14"/>
      <c r="O580" s="14"/>
      <c r="P580" s="185" t="s">
        <v>1468</v>
      </c>
      <c r="Q580" s="14"/>
      <c r="R580" s="121" t="s">
        <v>56</v>
      </c>
      <c r="S580" s="151" t="s">
        <v>57</v>
      </c>
      <c r="T580" s="153" t="s">
        <v>453</v>
      </c>
      <c r="U580" s="138" t="s">
        <v>1469</v>
      </c>
      <c r="V580" s="215">
        <v>45975</v>
      </c>
      <c r="W580" s="14" t="s">
        <v>742</v>
      </c>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c r="BO580" s="30"/>
      <c r="BP580" s="30"/>
      <c r="BQ580" s="30"/>
      <c r="BR580" s="30"/>
      <c r="BS580" s="30"/>
      <c r="BT580" s="30"/>
      <c r="BU580" s="30"/>
      <c r="BV580" s="30"/>
      <c r="BW580" s="30"/>
      <c r="BX580" s="30"/>
      <c r="BY580" s="30"/>
      <c r="BZ580" s="30"/>
      <c r="CA580" s="30"/>
      <c r="CB580" s="30"/>
      <c r="CC580" s="30"/>
      <c r="CD580" s="30"/>
      <c r="CE580" s="30"/>
      <c r="CF580" s="30"/>
      <c r="CG580" s="30"/>
      <c r="CH580" s="30"/>
      <c r="CI580" s="30"/>
      <c r="CJ580" s="30"/>
      <c r="CK580" s="30"/>
      <c r="CL580" s="30"/>
      <c r="CM580" s="30"/>
      <c r="CN580" s="30"/>
      <c r="CO580" s="30"/>
      <c r="CP580" s="30"/>
      <c r="CQ580" s="30"/>
      <c r="CR580" s="30"/>
      <c r="CS580" s="30"/>
      <c r="CT580" s="30"/>
      <c r="CU580" s="30"/>
      <c r="CV580" s="30"/>
      <c r="CW580" s="30"/>
      <c r="CX580" s="30"/>
      <c r="CY580" s="30"/>
      <c r="CZ580" s="30"/>
      <c r="DA580" s="30"/>
      <c r="DB580" s="30"/>
      <c r="DC580" s="30"/>
      <c r="DD580" s="30"/>
      <c r="DE580" s="30"/>
      <c r="DF580" s="30"/>
      <c r="DG580" s="30"/>
      <c r="DH580" s="30"/>
      <c r="DI580" s="30"/>
      <c r="DJ580" s="30"/>
      <c r="DK580" s="30"/>
      <c r="DL580" s="30"/>
      <c r="DM580" s="30"/>
      <c r="DN580" s="30"/>
      <c r="DO580" s="30"/>
      <c r="DP580" s="30"/>
      <c r="DQ580" s="30"/>
      <c r="DR580" s="30"/>
      <c r="DS580" s="30"/>
      <c r="DT580" s="30"/>
      <c r="DU580" s="30"/>
      <c r="DV580" s="30"/>
      <c r="DW580" s="30"/>
      <c r="DX580" s="30"/>
      <c r="DY580" s="30"/>
      <c r="DZ580" s="30"/>
      <c r="EA580" s="30"/>
      <c r="EB580" s="30"/>
      <c r="EC580" s="30"/>
      <c r="ED580" s="30"/>
      <c r="EE580" s="30"/>
    </row>
    <row r="581" spans="1:135" ht="30" customHeight="1" thickBot="1" x14ac:dyDescent="0.35">
      <c r="A581" s="578" t="s">
        <v>1704</v>
      </c>
      <c r="B581" s="448" t="s">
        <v>1632</v>
      </c>
      <c r="C581" s="90" t="s">
        <v>1849</v>
      </c>
      <c r="D581" s="322" t="s">
        <v>1695</v>
      </c>
      <c r="E581" s="266" t="s">
        <v>25</v>
      </c>
      <c r="F581" s="471"/>
      <c r="G581" s="59" t="s">
        <v>1698</v>
      </c>
      <c r="H581" s="267" t="s">
        <v>1646</v>
      </c>
      <c r="I581" s="24" t="s">
        <v>185</v>
      </c>
      <c r="J581" s="24" t="s">
        <v>729</v>
      </c>
      <c r="K581" s="106" t="s">
        <v>1708</v>
      </c>
      <c r="L581" s="106" t="s">
        <v>1710</v>
      </c>
      <c r="M581" s="109"/>
      <c r="N581" s="23" t="s">
        <v>43</v>
      </c>
      <c r="O581" s="23"/>
      <c r="P581" s="45" t="s">
        <v>1468</v>
      </c>
      <c r="Q581" s="39" t="s">
        <v>1712</v>
      </c>
      <c r="R581" s="15" t="s">
        <v>56</v>
      </c>
      <c r="S581" s="37" t="s">
        <v>57</v>
      </c>
      <c r="T581" s="64" t="s">
        <v>453</v>
      </c>
      <c r="U581" s="23" t="s">
        <v>1714</v>
      </c>
      <c r="V581" s="48">
        <v>45975</v>
      </c>
      <c r="W581" s="23" t="s">
        <v>742</v>
      </c>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row>
    <row r="582" spans="1:135" ht="30" customHeight="1" thickBot="1" x14ac:dyDescent="0.3">
      <c r="A582" s="578" t="s">
        <v>5998</v>
      </c>
      <c r="B582" s="437">
        <v>14858</v>
      </c>
      <c r="C582" s="72" t="s">
        <v>5996</v>
      </c>
      <c r="D582" s="10" t="s">
        <v>24</v>
      </c>
      <c r="E582" s="11" t="s">
        <v>25</v>
      </c>
      <c r="F582" s="20" t="s">
        <v>5997</v>
      </c>
      <c r="G582" s="152" t="s">
        <v>889</v>
      </c>
      <c r="H582" s="17" t="s">
        <v>891</v>
      </c>
      <c r="I582" s="18" t="s">
        <v>3544</v>
      </c>
      <c r="J582" s="18" t="s">
        <v>729</v>
      </c>
      <c r="K582" s="23" t="s">
        <v>5999</v>
      </c>
      <c r="L582" s="25" t="str">
        <f>"RUTL-"&amp;RIGHT(K582,8)</f>
        <v>RUTL-22EF0700</v>
      </c>
      <c r="M582" s="34" t="s">
        <v>40</v>
      </c>
      <c r="N582" s="23"/>
      <c r="O582" s="23"/>
      <c r="P582" s="21"/>
      <c r="Q582" s="113"/>
      <c r="R582" s="15" t="s">
        <v>56</v>
      </c>
      <c r="S582" s="37" t="s">
        <v>57</v>
      </c>
      <c r="T582" s="108" t="s">
        <v>273</v>
      </c>
      <c r="U582" s="39" t="s">
        <v>5040</v>
      </c>
      <c r="V582" s="558">
        <v>45975</v>
      </c>
      <c r="W582" s="23" t="s">
        <v>742</v>
      </c>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row>
    <row r="583" spans="1:135" ht="30" customHeight="1" thickBot="1" x14ac:dyDescent="0.3">
      <c r="A583" s="578" t="s">
        <v>894</v>
      </c>
      <c r="B583" s="51">
        <v>340</v>
      </c>
      <c r="C583" s="72" t="s">
        <v>885</v>
      </c>
      <c r="D583" s="15" t="s">
        <v>24</v>
      </c>
      <c r="E583" s="122" t="s">
        <v>25</v>
      </c>
      <c r="F583" s="20" t="s">
        <v>888</v>
      </c>
      <c r="G583" s="15" t="s">
        <v>889</v>
      </c>
      <c r="H583" s="17" t="s">
        <v>891</v>
      </c>
      <c r="I583" s="18" t="s">
        <v>135</v>
      </c>
      <c r="J583" s="18" t="s">
        <v>729</v>
      </c>
      <c r="K583" s="124" t="s">
        <v>898</v>
      </c>
      <c r="L583" s="25" t="str">
        <f>"RUTL-"&amp;RIGHT(K583,8)</f>
        <v>RUTL-24CD0700</v>
      </c>
      <c r="M583" s="129" t="s">
        <v>40</v>
      </c>
      <c r="N583" s="14" t="s">
        <v>43</v>
      </c>
      <c r="O583" s="14"/>
      <c r="P583" s="90" t="s">
        <v>46</v>
      </c>
      <c r="Q583" s="39" t="s">
        <v>146</v>
      </c>
      <c r="R583" s="15" t="s">
        <v>56</v>
      </c>
      <c r="S583" s="151" t="s">
        <v>57</v>
      </c>
      <c r="T583" s="153" t="s">
        <v>901</v>
      </c>
      <c r="U583" s="39" t="s">
        <v>511</v>
      </c>
      <c r="V583" s="215">
        <v>45975</v>
      </c>
      <c r="W583" s="14" t="s">
        <v>742</v>
      </c>
      <c r="X583" s="71"/>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row>
    <row r="584" spans="1:135" ht="30" customHeight="1" thickBot="1" x14ac:dyDescent="0.3">
      <c r="A584" s="578" t="s">
        <v>1592</v>
      </c>
      <c r="B584" s="8">
        <v>664</v>
      </c>
      <c r="C584" s="52" t="s">
        <v>1587</v>
      </c>
      <c r="D584" s="15" t="s">
        <v>24</v>
      </c>
      <c r="E584" s="11" t="s">
        <v>25</v>
      </c>
      <c r="F584" s="12" t="s">
        <v>1589</v>
      </c>
      <c r="G584" s="15" t="s">
        <v>1241</v>
      </c>
      <c r="H584" s="17" t="s">
        <v>891</v>
      </c>
      <c r="I584" s="18" t="s">
        <v>135</v>
      </c>
      <c r="J584" s="18" t="s">
        <v>729</v>
      </c>
      <c r="K584" s="23" t="s">
        <v>1593</v>
      </c>
      <c r="L584" s="25" t="str">
        <f>"RUTL-"&amp;RIGHT(K584,8)</f>
        <v>RUTL-24CA0700</v>
      </c>
      <c r="M584" s="34" t="s">
        <v>40</v>
      </c>
      <c r="N584" s="15" t="s">
        <v>473</v>
      </c>
      <c r="O584" s="23"/>
      <c r="P584" s="21"/>
      <c r="Q584" s="113"/>
      <c r="R584" s="15" t="s">
        <v>56</v>
      </c>
      <c r="S584" s="37" t="s">
        <v>57</v>
      </c>
      <c r="T584" s="107" t="s">
        <v>453</v>
      </c>
      <c r="U584" s="39" t="s">
        <v>761</v>
      </c>
      <c r="V584" s="558">
        <v>45975</v>
      </c>
      <c r="W584" s="23" t="s">
        <v>742</v>
      </c>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row>
    <row r="585" spans="1:135" ht="30" customHeight="1" x14ac:dyDescent="0.25">
      <c r="A585" s="578" t="s">
        <v>1602</v>
      </c>
      <c r="B585" s="8">
        <v>666</v>
      </c>
      <c r="C585" s="72" t="s">
        <v>1600</v>
      </c>
      <c r="D585" s="15" t="s">
        <v>24</v>
      </c>
      <c r="E585" s="11" t="s">
        <v>25</v>
      </c>
      <c r="F585" s="12" t="s">
        <v>1601</v>
      </c>
      <c r="G585" s="15" t="s">
        <v>889</v>
      </c>
      <c r="H585" s="17" t="s">
        <v>891</v>
      </c>
      <c r="I585" s="18" t="s">
        <v>135</v>
      </c>
      <c r="J585" s="18" t="s">
        <v>729</v>
      </c>
      <c r="K585" s="23" t="s">
        <v>1603</v>
      </c>
      <c r="L585" s="25" t="str">
        <f>"RUTL-"&amp;RIGHT(K585,8)</f>
        <v>RUTL-23F60700</v>
      </c>
      <c r="M585" s="34" t="s">
        <v>40</v>
      </c>
      <c r="N585" s="32" t="s">
        <v>54</v>
      </c>
      <c r="O585" s="23"/>
      <c r="P585" s="35" t="s">
        <v>46</v>
      </c>
      <c r="Q585" s="36" t="s">
        <v>1604</v>
      </c>
      <c r="R585" s="15" t="s">
        <v>56</v>
      </c>
      <c r="S585" s="37" t="s">
        <v>180</v>
      </c>
      <c r="T585" s="105" t="s">
        <v>148</v>
      </c>
      <c r="U585" s="39" t="s">
        <v>1606</v>
      </c>
      <c r="V585" s="115">
        <v>45975</v>
      </c>
      <c r="W585" s="23" t="s">
        <v>742</v>
      </c>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row>
    <row r="586" spans="1:135" ht="30" customHeight="1" x14ac:dyDescent="0.25">
      <c r="A586" s="578" t="s">
        <v>2457</v>
      </c>
      <c r="B586" s="8">
        <v>1200</v>
      </c>
      <c r="C586" s="72" t="s">
        <v>2453</v>
      </c>
      <c r="D586" s="15" t="s">
        <v>24</v>
      </c>
      <c r="E586" s="11" t="s">
        <v>25</v>
      </c>
      <c r="F586" s="20" t="s">
        <v>2454</v>
      </c>
      <c r="G586" s="15" t="s">
        <v>2455</v>
      </c>
      <c r="H586" s="22" t="s">
        <v>36</v>
      </c>
      <c r="I586" s="18" t="s">
        <v>135</v>
      </c>
      <c r="J586" s="18" t="s">
        <v>729</v>
      </c>
      <c r="K586" s="23" t="s">
        <v>2458</v>
      </c>
      <c r="L586" s="25" t="str">
        <f>"RUTL-"&amp;RIGHT(K586,8)</f>
        <v>RUTL-224E0700</v>
      </c>
      <c r="M586" s="34" t="s">
        <v>40</v>
      </c>
      <c r="N586" s="23" t="s">
        <v>2376</v>
      </c>
      <c r="O586" s="23" t="s">
        <v>661</v>
      </c>
      <c r="P586" s="35" t="s">
        <v>46</v>
      </c>
      <c r="Q586" s="36" t="s">
        <v>2460</v>
      </c>
      <c r="R586" s="15" t="s">
        <v>56</v>
      </c>
      <c r="S586" s="37" t="s">
        <v>57</v>
      </c>
      <c r="T586" s="105" t="s">
        <v>148</v>
      </c>
      <c r="U586" s="39" t="s">
        <v>2461</v>
      </c>
      <c r="V586" s="115">
        <v>45975</v>
      </c>
      <c r="W586" s="23" t="s">
        <v>742</v>
      </c>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row>
    <row r="587" spans="1:135" ht="30" customHeight="1" x14ac:dyDescent="0.25">
      <c r="A587" s="578" t="s">
        <v>2627</v>
      </c>
      <c r="B587" s="8">
        <v>1568</v>
      </c>
      <c r="C587" s="72" t="s">
        <v>2625</v>
      </c>
      <c r="D587" s="15" t="s">
        <v>24</v>
      </c>
      <c r="E587" s="11" t="s">
        <v>25</v>
      </c>
      <c r="F587" s="20" t="s">
        <v>2626</v>
      </c>
      <c r="G587" s="15" t="s">
        <v>889</v>
      </c>
      <c r="H587" s="17" t="s">
        <v>891</v>
      </c>
      <c r="I587" s="18" t="s">
        <v>135</v>
      </c>
      <c r="J587" s="18" t="s">
        <v>729</v>
      </c>
      <c r="K587" s="33" t="s">
        <v>2628</v>
      </c>
      <c r="L587" s="25" t="str">
        <f>"RUTL-"&amp;RIGHT(K587,8)</f>
        <v>RUTL-24F50700</v>
      </c>
      <c r="M587" s="34" t="s">
        <v>40</v>
      </c>
      <c r="N587" s="23" t="s">
        <v>43</v>
      </c>
      <c r="O587" s="175"/>
      <c r="P587" s="35" t="s">
        <v>46</v>
      </c>
      <c r="Q587" s="36" t="s">
        <v>2629</v>
      </c>
      <c r="R587" s="15" t="s">
        <v>56</v>
      </c>
      <c r="S587" s="37" t="s">
        <v>57</v>
      </c>
      <c r="T587" s="105" t="s">
        <v>148</v>
      </c>
      <c r="U587" s="39" t="s">
        <v>511</v>
      </c>
      <c r="V587" s="115">
        <v>45975</v>
      </c>
      <c r="W587" s="23" t="s">
        <v>742</v>
      </c>
      <c r="X587" s="30"/>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c r="DJ587" s="5"/>
      <c r="DK587" s="5"/>
      <c r="DL587" s="5"/>
      <c r="DM587" s="5"/>
      <c r="DN587" s="5"/>
      <c r="DO587" s="5"/>
      <c r="DP587" s="5"/>
      <c r="DQ587" s="5"/>
      <c r="DR587" s="5"/>
      <c r="DS587" s="5"/>
      <c r="DT587" s="5"/>
      <c r="DU587" s="5"/>
      <c r="DV587" s="5"/>
      <c r="DW587" s="5"/>
      <c r="DX587" s="5"/>
      <c r="DY587" s="5"/>
      <c r="DZ587" s="5"/>
      <c r="EA587" s="5"/>
      <c r="EB587" s="5"/>
      <c r="EC587" s="5"/>
      <c r="ED587" s="5"/>
      <c r="EE587" s="5"/>
    </row>
    <row r="588" spans="1:135" ht="30" customHeight="1" x14ac:dyDescent="0.25">
      <c r="A588" s="578" t="s">
        <v>3645</v>
      </c>
      <c r="B588" s="8">
        <v>4961</v>
      </c>
      <c r="C588" s="72" t="s">
        <v>3643</v>
      </c>
      <c r="D588" s="15" t="s">
        <v>24</v>
      </c>
      <c r="E588" s="11" t="s">
        <v>25</v>
      </c>
      <c r="F588" s="29" t="s">
        <v>3644</v>
      </c>
      <c r="G588" s="15" t="s">
        <v>3517</v>
      </c>
      <c r="H588" s="17" t="s">
        <v>891</v>
      </c>
      <c r="I588" s="18" t="s">
        <v>135</v>
      </c>
      <c r="J588" s="18" t="s">
        <v>729</v>
      </c>
      <c r="K588" s="33" t="s">
        <v>3646</v>
      </c>
      <c r="L588" s="25" t="str">
        <f>"RUTL-"&amp;RIGHT(K588,8)</f>
        <v>RUTL-24B10700</v>
      </c>
      <c r="M588" s="34" t="s">
        <v>40</v>
      </c>
      <c r="N588" s="32" t="s">
        <v>54</v>
      </c>
      <c r="O588" s="23"/>
      <c r="P588" s="35" t="s">
        <v>46</v>
      </c>
      <c r="Q588" s="113"/>
      <c r="R588" s="15" t="s">
        <v>56</v>
      </c>
      <c r="S588" s="37" t="s">
        <v>180</v>
      </c>
      <c r="T588" s="105" t="s">
        <v>148</v>
      </c>
      <c r="U588" s="39" t="s">
        <v>1606</v>
      </c>
      <c r="V588" s="115">
        <v>45975</v>
      </c>
      <c r="W588" s="23" t="s">
        <v>742</v>
      </c>
      <c r="X588" s="30"/>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c r="DG588" s="5"/>
      <c r="DH588" s="5"/>
      <c r="DI588" s="5"/>
      <c r="DJ588" s="5"/>
      <c r="DK588" s="5"/>
      <c r="DL588" s="5"/>
      <c r="DM588" s="5"/>
      <c r="DN588" s="5"/>
      <c r="DO588" s="5"/>
      <c r="DP588" s="5"/>
      <c r="DQ588" s="5"/>
      <c r="DR588" s="5"/>
      <c r="DS588" s="5"/>
      <c r="DT588" s="5"/>
      <c r="DU588" s="5"/>
      <c r="DV588" s="5"/>
      <c r="DW588" s="5"/>
      <c r="DX588" s="5"/>
      <c r="DY588" s="5"/>
      <c r="DZ588" s="5"/>
      <c r="EA588" s="5"/>
      <c r="EB588" s="5"/>
      <c r="EC588" s="5"/>
      <c r="ED588" s="5"/>
      <c r="EE588" s="5"/>
    </row>
    <row r="589" spans="1:135" ht="30" customHeight="1" x14ac:dyDescent="0.25">
      <c r="A589" s="578" t="s">
        <v>3907</v>
      </c>
      <c r="B589" s="8">
        <v>6389</v>
      </c>
      <c r="C589" s="52" t="s">
        <v>3905</v>
      </c>
      <c r="D589" s="10" t="s">
        <v>24</v>
      </c>
      <c r="E589" s="11" t="s">
        <v>25</v>
      </c>
      <c r="F589" s="20" t="s">
        <v>3906</v>
      </c>
      <c r="G589" s="15" t="s">
        <v>889</v>
      </c>
      <c r="H589" s="17" t="s">
        <v>891</v>
      </c>
      <c r="I589" s="18" t="s">
        <v>135</v>
      </c>
      <c r="J589" s="18" t="s">
        <v>729</v>
      </c>
      <c r="K589" s="33" t="s">
        <v>3908</v>
      </c>
      <c r="L589" s="25" t="str">
        <f>"RUTL-"&amp;RIGHT(K589,8)</f>
        <v>RUTL-23110700</v>
      </c>
      <c r="M589" s="34" t="s">
        <v>40</v>
      </c>
      <c r="N589" s="23" t="s">
        <v>43</v>
      </c>
      <c r="O589" s="23"/>
      <c r="P589" s="23" t="s">
        <v>1231</v>
      </c>
      <c r="Q589" s="113"/>
      <c r="R589" s="15" t="s">
        <v>56</v>
      </c>
      <c r="S589" s="40" t="s">
        <v>57</v>
      </c>
      <c r="T589" s="105" t="s">
        <v>3909</v>
      </c>
      <c r="U589" s="32" t="s">
        <v>3910</v>
      </c>
      <c r="V589" s="115">
        <v>45975</v>
      </c>
      <c r="W589" s="23" t="s">
        <v>742</v>
      </c>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c r="DV589" s="5"/>
      <c r="DW589" s="5"/>
      <c r="DX589" s="5"/>
      <c r="DY589" s="5"/>
      <c r="DZ589" s="5"/>
      <c r="EA589" s="5"/>
      <c r="EB589" s="5"/>
      <c r="EC589" s="5"/>
      <c r="ED589" s="5"/>
      <c r="EE589" s="5"/>
    </row>
    <row r="590" spans="1:135" ht="30" customHeight="1" thickBot="1" x14ac:dyDescent="0.3">
      <c r="A590" s="578" t="s">
        <v>3606</v>
      </c>
      <c r="B590" s="8">
        <v>4767</v>
      </c>
      <c r="C590" s="72" t="s">
        <v>3603</v>
      </c>
      <c r="D590" s="15" t="s">
        <v>746</v>
      </c>
      <c r="E590" s="11" t="s">
        <v>25</v>
      </c>
      <c r="F590" s="29" t="s">
        <v>3604</v>
      </c>
      <c r="G590" s="15" t="s">
        <v>224</v>
      </c>
      <c r="H590" s="53" t="s">
        <v>609</v>
      </c>
      <c r="I590" s="18" t="s">
        <v>3605</v>
      </c>
      <c r="J590" s="18" t="s">
        <v>170</v>
      </c>
      <c r="K590" s="33" t="s">
        <v>3607</v>
      </c>
      <c r="L590" s="25" t="str">
        <f>"RUTL-"&amp;RIGHT(K590,8)</f>
        <v>RUTL-N0002877</v>
      </c>
      <c r="M590" s="34" t="s">
        <v>40</v>
      </c>
      <c r="N590" s="39" t="s">
        <v>87</v>
      </c>
      <c r="O590" s="32"/>
      <c r="P590" s="35" t="s">
        <v>46</v>
      </c>
      <c r="Q590" s="36" t="s">
        <v>3608</v>
      </c>
      <c r="R590" s="15" t="s">
        <v>56</v>
      </c>
      <c r="S590" s="37" t="s">
        <v>57</v>
      </c>
      <c r="T590" s="105" t="s">
        <v>148</v>
      </c>
      <c r="U590" s="39" t="s">
        <v>511</v>
      </c>
      <c r="V590" s="115">
        <v>45989</v>
      </c>
      <c r="W590" s="23" t="s">
        <v>301</v>
      </c>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c r="DG590" s="5"/>
      <c r="DH590" s="5"/>
      <c r="DI590" s="5"/>
      <c r="DJ590" s="5"/>
      <c r="DK590" s="5"/>
      <c r="DL590" s="5"/>
      <c r="DM590" s="5"/>
      <c r="DN590" s="5"/>
      <c r="DO590" s="5"/>
      <c r="DP590" s="5"/>
      <c r="DQ590" s="5"/>
      <c r="DR590" s="5"/>
      <c r="DS590" s="5"/>
      <c r="DT590" s="5"/>
      <c r="DU590" s="5"/>
      <c r="DV590" s="5"/>
      <c r="DW590" s="5"/>
      <c r="DX590" s="5"/>
      <c r="DY590" s="5"/>
      <c r="DZ590" s="5"/>
      <c r="EA590" s="5"/>
      <c r="EB590" s="5"/>
      <c r="EC590" s="5"/>
      <c r="ED590" s="5"/>
      <c r="EE590" s="5"/>
    </row>
    <row r="591" spans="1:135" ht="30" customHeight="1" thickBot="1" x14ac:dyDescent="0.3">
      <c r="A591" s="578" t="s">
        <v>291</v>
      </c>
      <c r="B591" s="8">
        <v>92</v>
      </c>
      <c r="C591" s="72" t="s">
        <v>282</v>
      </c>
      <c r="D591" s="10" t="s">
        <v>24</v>
      </c>
      <c r="E591" s="11" t="s">
        <v>25</v>
      </c>
      <c r="F591" s="20" t="s">
        <v>284</v>
      </c>
      <c r="G591" s="15" t="s">
        <v>285</v>
      </c>
      <c r="H591" s="102" t="s">
        <v>287</v>
      </c>
      <c r="I591" s="18" t="s">
        <v>288</v>
      </c>
      <c r="J591" s="18" t="s">
        <v>170</v>
      </c>
      <c r="K591" s="23" t="s">
        <v>293</v>
      </c>
      <c r="L591" s="25" t="str">
        <f>"RUTL-"&amp;RIGHT(K591,8)</f>
        <v>RUTL-N0002983</v>
      </c>
      <c r="M591" s="34" t="s">
        <v>40</v>
      </c>
      <c r="N591" s="39" t="s">
        <v>87</v>
      </c>
      <c r="O591" s="32"/>
      <c r="P591" s="35" t="s">
        <v>46</v>
      </c>
      <c r="Q591" s="36" t="s">
        <v>295</v>
      </c>
      <c r="R591" s="15" t="s">
        <v>56</v>
      </c>
      <c r="S591" s="41" t="s">
        <v>296</v>
      </c>
      <c r="T591" s="101" t="s">
        <v>96</v>
      </c>
      <c r="U591" s="39" t="s">
        <v>300</v>
      </c>
      <c r="V591" s="558">
        <v>45989</v>
      </c>
      <c r="W591" s="23" t="s">
        <v>301</v>
      </c>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c r="DJ591" s="5"/>
      <c r="DK591" s="5"/>
      <c r="DL591" s="5"/>
      <c r="DM591" s="5"/>
      <c r="DN591" s="5"/>
      <c r="DO591" s="5"/>
      <c r="DP591" s="5"/>
      <c r="DQ591" s="5"/>
      <c r="DR591" s="5"/>
      <c r="DS591" s="5"/>
      <c r="DT591" s="5"/>
      <c r="DU591" s="5"/>
      <c r="DV591" s="5"/>
      <c r="DW591" s="5"/>
      <c r="DX591" s="5"/>
      <c r="DY591" s="5"/>
      <c r="DZ591" s="5"/>
      <c r="EA591" s="5"/>
      <c r="EB591" s="5"/>
      <c r="EC591" s="5"/>
      <c r="ED591" s="5"/>
      <c r="EE591" s="5"/>
    </row>
    <row r="592" spans="1:135" ht="30" customHeight="1" x14ac:dyDescent="0.25">
      <c r="A592" s="578" t="s">
        <v>1205</v>
      </c>
      <c r="B592" s="8">
        <v>483</v>
      </c>
      <c r="C592" s="72" t="s">
        <v>1202</v>
      </c>
      <c r="D592" s="15" t="s">
        <v>746</v>
      </c>
      <c r="E592" s="11" t="s">
        <v>25</v>
      </c>
      <c r="F592" s="20" t="s">
        <v>1203</v>
      </c>
      <c r="G592" s="15" t="s">
        <v>165</v>
      </c>
      <c r="H592" s="53" t="s">
        <v>1204</v>
      </c>
      <c r="I592" s="18" t="s">
        <v>198</v>
      </c>
      <c r="J592" s="18" t="s">
        <v>170</v>
      </c>
      <c r="K592" s="23" t="s">
        <v>1206</v>
      </c>
      <c r="L592" s="25" t="str">
        <f>"RUTL-"&amp;RIGHT(K592,8)</f>
        <v>RUTL-N0002765</v>
      </c>
      <c r="M592" s="34" t="s">
        <v>40</v>
      </c>
      <c r="N592" s="39" t="s">
        <v>87</v>
      </c>
      <c r="O592" s="32"/>
      <c r="P592" s="35" t="s">
        <v>46</v>
      </c>
      <c r="Q592" s="36" t="s">
        <v>1208</v>
      </c>
      <c r="R592" s="15" t="s">
        <v>56</v>
      </c>
      <c r="S592" s="37" t="s">
        <v>57</v>
      </c>
      <c r="T592" s="105" t="s">
        <v>148</v>
      </c>
      <c r="U592" s="39" t="s">
        <v>1209</v>
      </c>
      <c r="V592" s="115">
        <v>45989</v>
      </c>
      <c r="W592" s="23" t="s">
        <v>301</v>
      </c>
      <c r="X592" s="30"/>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c r="DJ592" s="5"/>
      <c r="DK592" s="5"/>
      <c r="DL592" s="5"/>
      <c r="DM592" s="5"/>
      <c r="DN592" s="5"/>
      <c r="DO592" s="5"/>
      <c r="DP592" s="5"/>
      <c r="DQ592" s="5"/>
      <c r="DR592" s="5"/>
      <c r="DS592" s="5"/>
      <c r="DT592" s="5"/>
      <c r="DU592" s="5"/>
      <c r="DV592" s="5"/>
      <c r="DW592" s="5"/>
      <c r="DX592" s="5"/>
      <c r="DY592" s="5"/>
      <c r="DZ592" s="5"/>
      <c r="EA592" s="5"/>
      <c r="EB592" s="5"/>
      <c r="EC592" s="5"/>
      <c r="ED592" s="5"/>
      <c r="EE592" s="5"/>
    </row>
    <row r="593" spans="1:135" ht="30" customHeight="1" x14ac:dyDescent="0.25">
      <c r="A593" s="578" t="s">
        <v>458</v>
      </c>
      <c r="B593" s="8">
        <v>189</v>
      </c>
      <c r="C593" s="72" t="s">
        <v>456</v>
      </c>
      <c r="D593" s="15" t="s">
        <v>24</v>
      </c>
      <c r="E593" s="11" t="s">
        <v>25</v>
      </c>
      <c r="F593" s="20" t="s">
        <v>457</v>
      </c>
      <c r="G593" s="15" t="s">
        <v>448</v>
      </c>
      <c r="H593" s="148" t="s">
        <v>356</v>
      </c>
      <c r="I593" s="18" t="s">
        <v>117</v>
      </c>
      <c r="J593" s="18" t="s">
        <v>170</v>
      </c>
      <c r="K593" s="23" t="s">
        <v>459</v>
      </c>
      <c r="L593" s="25" t="str">
        <f>"RUTL-"&amp;RIGHT(K593,8)</f>
        <v>RUTL-N0002834</v>
      </c>
      <c r="M593" s="34" t="s">
        <v>40</v>
      </c>
      <c r="N593" s="39" t="s">
        <v>319</v>
      </c>
      <c r="O593" s="23"/>
      <c r="P593" s="39" t="s">
        <v>90</v>
      </c>
      <c r="Q593" s="63" t="s">
        <v>460</v>
      </c>
      <c r="R593" s="15" t="s">
        <v>235</v>
      </c>
      <c r="S593" s="37" t="s">
        <v>57</v>
      </c>
      <c r="T593" s="101" t="s">
        <v>96</v>
      </c>
      <c r="U593" s="39" t="s">
        <v>461</v>
      </c>
      <c r="V593" s="115">
        <v>45989</v>
      </c>
      <c r="W593" s="23" t="s">
        <v>301</v>
      </c>
      <c r="X593" s="30"/>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c r="DG593" s="5"/>
      <c r="DH593" s="5"/>
      <c r="DI593" s="5"/>
      <c r="DJ593" s="5"/>
      <c r="DK593" s="5"/>
      <c r="DL593" s="5"/>
      <c r="DM593" s="5"/>
      <c r="DN593" s="5"/>
      <c r="DO593" s="5"/>
      <c r="DP593" s="5"/>
      <c r="DQ593" s="5"/>
      <c r="DR593" s="5"/>
      <c r="DS593" s="5"/>
      <c r="DT593" s="5"/>
      <c r="DU593" s="5"/>
      <c r="DV593" s="5"/>
      <c r="DW593" s="5"/>
      <c r="DX593" s="5"/>
      <c r="DY593" s="5"/>
      <c r="DZ593" s="5"/>
      <c r="EA593" s="5"/>
      <c r="EB593" s="5"/>
      <c r="EC593" s="5"/>
      <c r="ED593" s="5"/>
      <c r="EE593" s="5"/>
    </row>
    <row r="594" spans="1:135" ht="30" customHeight="1" x14ac:dyDescent="0.25">
      <c r="A594" s="578" t="s">
        <v>753</v>
      </c>
      <c r="B594" s="8">
        <v>311</v>
      </c>
      <c r="C594" s="72" t="s">
        <v>745</v>
      </c>
      <c r="D594" s="15" t="s">
        <v>746</v>
      </c>
      <c r="E594" s="11" t="s">
        <v>25</v>
      </c>
      <c r="F594" s="20" t="s">
        <v>747</v>
      </c>
      <c r="G594" s="15" t="s">
        <v>749</v>
      </c>
      <c r="H594" s="148" t="s">
        <v>750</v>
      </c>
      <c r="I594" s="18" t="s">
        <v>198</v>
      </c>
      <c r="J594" s="18" t="s">
        <v>170</v>
      </c>
      <c r="K594" s="23" t="s">
        <v>756</v>
      </c>
      <c r="L594" s="25" t="str">
        <f>"RUTL-"&amp;RIGHT(K594,8)</f>
        <v>RUTL-N0002663</v>
      </c>
      <c r="M594" s="34" t="s">
        <v>40</v>
      </c>
      <c r="N594" s="23"/>
      <c r="O594" s="23"/>
      <c r="P594" s="41" t="s">
        <v>46</v>
      </c>
      <c r="Q594" s="36" t="s">
        <v>760</v>
      </c>
      <c r="R594" s="15" t="s">
        <v>661</v>
      </c>
      <c r="S594" s="41" t="s">
        <v>296</v>
      </c>
      <c r="T594" s="101" t="s">
        <v>96</v>
      </c>
      <c r="U594" s="39" t="s">
        <v>761</v>
      </c>
      <c r="V594" s="115">
        <v>45989</v>
      </c>
      <c r="W594" s="23" t="s">
        <v>301</v>
      </c>
      <c r="X594" s="30"/>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c r="DJ594" s="5"/>
      <c r="DK594" s="5"/>
      <c r="DL594" s="5"/>
      <c r="DM594" s="5"/>
      <c r="DN594" s="5"/>
      <c r="DO594" s="5"/>
      <c r="DP594" s="5"/>
      <c r="DQ594" s="5"/>
      <c r="DR594" s="5"/>
      <c r="DS594" s="5"/>
      <c r="DT594" s="5"/>
      <c r="DU594" s="5"/>
      <c r="DV594" s="5"/>
      <c r="DW594" s="5"/>
      <c r="DX594" s="5"/>
      <c r="DY594" s="5"/>
      <c r="DZ594" s="5"/>
      <c r="EA594" s="5"/>
      <c r="EB594" s="5"/>
      <c r="EC594" s="5"/>
      <c r="ED594" s="5"/>
      <c r="EE594" s="5"/>
    </row>
    <row r="595" spans="1:135" ht="30" customHeight="1" x14ac:dyDescent="0.25">
      <c r="A595" s="578" t="s">
        <v>506</v>
      </c>
      <c r="B595" s="8">
        <v>223</v>
      </c>
      <c r="C595" s="72" t="s">
        <v>502</v>
      </c>
      <c r="D595" s="15" t="s">
        <v>24</v>
      </c>
      <c r="E595" s="11" t="s">
        <v>25</v>
      </c>
      <c r="F595" s="20" t="s">
        <v>503</v>
      </c>
      <c r="G595" s="15" t="s">
        <v>285</v>
      </c>
      <c r="H595" s="156" t="s">
        <v>504</v>
      </c>
      <c r="I595" s="54" t="s">
        <v>505</v>
      </c>
      <c r="J595" s="18" t="s">
        <v>170</v>
      </c>
      <c r="K595" s="23" t="s">
        <v>507</v>
      </c>
      <c r="L595" s="25" t="str">
        <f>"RUTL-"&amp;RIGHT(K595,8)</f>
        <v>RUTL-N0003051</v>
      </c>
      <c r="M595" s="34" t="s">
        <v>40</v>
      </c>
      <c r="N595" s="39" t="s">
        <v>410</v>
      </c>
      <c r="O595" s="23"/>
      <c r="P595" s="35" t="s">
        <v>46</v>
      </c>
      <c r="Q595" s="36" t="s">
        <v>510</v>
      </c>
      <c r="R595" s="15" t="s">
        <v>56</v>
      </c>
      <c r="S595" s="37" t="s">
        <v>57</v>
      </c>
      <c r="T595" s="101" t="s">
        <v>96</v>
      </c>
      <c r="U595" s="39" t="s">
        <v>511</v>
      </c>
      <c r="V595" s="115">
        <v>45989</v>
      </c>
      <c r="W595" s="23" t="s">
        <v>301</v>
      </c>
      <c r="X595" s="30"/>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row>
    <row r="596" spans="1:135" ht="30" customHeight="1" x14ac:dyDescent="0.25">
      <c r="A596" s="578" t="s">
        <v>5734</v>
      </c>
      <c r="B596" s="8">
        <v>13650</v>
      </c>
      <c r="C596" s="72" t="s">
        <v>5732</v>
      </c>
      <c r="D596" s="10" t="s">
        <v>24</v>
      </c>
      <c r="E596" s="11" t="s">
        <v>25</v>
      </c>
      <c r="F596" s="20" t="s">
        <v>5733</v>
      </c>
      <c r="G596" s="15" t="s">
        <v>4282</v>
      </c>
      <c r="H596" s="119" t="s">
        <v>1071</v>
      </c>
      <c r="I596" s="54" t="s">
        <v>135</v>
      </c>
      <c r="J596" s="18" t="s">
        <v>170</v>
      </c>
      <c r="K596" s="23" t="s">
        <v>5735</v>
      </c>
      <c r="L596" s="25" t="str">
        <f>"RUTL-"&amp;RIGHT(K596,8)</f>
        <v>RUTL-N0002615</v>
      </c>
      <c r="M596" s="34" t="s">
        <v>40</v>
      </c>
      <c r="N596" s="32" t="s">
        <v>54</v>
      </c>
      <c r="O596" s="32" t="s">
        <v>5736</v>
      </c>
      <c r="P596" s="39" t="s">
        <v>90</v>
      </c>
      <c r="Q596" s="91" t="s">
        <v>5737</v>
      </c>
      <c r="R596" s="15" t="s">
        <v>56</v>
      </c>
      <c r="S596" s="37" t="s">
        <v>57</v>
      </c>
      <c r="T596" s="68" t="s">
        <v>148</v>
      </c>
      <c r="U596" s="39" t="s">
        <v>5738</v>
      </c>
      <c r="V596" s="115">
        <v>45989</v>
      </c>
      <c r="W596" s="23" t="s">
        <v>301</v>
      </c>
      <c r="X596" s="30"/>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c r="DT596" s="5"/>
      <c r="DU596" s="5"/>
      <c r="DV596" s="5"/>
      <c r="DW596" s="5"/>
      <c r="DX596" s="5"/>
      <c r="DY596" s="5"/>
      <c r="DZ596" s="5"/>
      <c r="EA596" s="5"/>
      <c r="EB596" s="5"/>
      <c r="EC596" s="5"/>
      <c r="ED596" s="5"/>
      <c r="EE596" s="5"/>
    </row>
    <row r="597" spans="1:135" ht="30" customHeight="1" x14ac:dyDescent="0.25">
      <c r="A597" s="578" t="s">
        <v>1747</v>
      </c>
      <c r="B597" s="8">
        <v>711</v>
      </c>
      <c r="C597" s="72" t="s">
        <v>1743</v>
      </c>
      <c r="D597" s="15" t="s">
        <v>24</v>
      </c>
      <c r="E597" s="11" t="s">
        <v>25</v>
      </c>
      <c r="F597" s="20" t="s">
        <v>1745</v>
      </c>
      <c r="G597" s="15" t="s">
        <v>109</v>
      </c>
      <c r="H597" s="119" t="s">
        <v>166</v>
      </c>
      <c r="I597" s="54" t="s">
        <v>117</v>
      </c>
      <c r="J597" s="18" t="s">
        <v>170</v>
      </c>
      <c r="K597" s="23" t="s">
        <v>1748</v>
      </c>
      <c r="L597" s="25" t="str">
        <f>"RUTL-"&amp;RIGHT(K597,8)</f>
        <v>RUTL-N0002595</v>
      </c>
      <c r="M597" s="34" t="s">
        <v>40</v>
      </c>
      <c r="N597" s="39" t="s">
        <v>87</v>
      </c>
      <c r="O597" s="39" t="s">
        <v>1750</v>
      </c>
      <c r="P597" s="35" t="s">
        <v>46</v>
      </c>
      <c r="Q597" s="36" t="s">
        <v>1751</v>
      </c>
      <c r="R597" s="15" t="s">
        <v>56</v>
      </c>
      <c r="S597" s="37" t="s">
        <v>57</v>
      </c>
      <c r="T597" s="105" t="s">
        <v>148</v>
      </c>
      <c r="U597" s="39" t="s">
        <v>1754</v>
      </c>
      <c r="V597" s="115">
        <v>45989</v>
      </c>
      <c r="W597" s="23" t="s">
        <v>301</v>
      </c>
      <c r="X597" s="30"/>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c r="DV597" s="5"/>
      <c r="DW597" s="5"/>
      <c r="DX597" s="5"/>
      <c r="DY597" s="5"/>
      <c r="DZ597" s="5"/>
      <c r="EA597" s="5"/>
      <c r="EB597" s="5"/>
      <c r="EC597" s="5"/>
      <c r="ED597" s="5"/>
      <c r="EE597" s="5"/>
    </row>
    <row r="598" spans="1:135" ht="30" customHeight="1" x14ac:dyDescent="0.25">
      <c r="A598" s="578" t="s">
        <v>3417</v>
      </c>
      <c r="B598" s="8">
        <v>3781</v>
      </c>
      <c r="C598" s="72" t="s">
        <v>3415</v>
      </c>
      <c r="D598" s="15" t="s">
        <v>24</v>
      </c>
      <c r="E598" s="11" t="s">
        <v>25</v>
      </c>
      <c r="F598" s="20" t="s">
        <v>3416</v>
      </c>
      <c r="G598" s="15" t="s">
        <v>425</v>
      </c>
      <c r="H598" s="108" t="s">
        <v>225</v>
      </c>
      <c r="I598" s="54" t="s">
        <v>117</v>
      </c>
      <c r="J598" s="18" t="s">
        <v>170</v>
      </c>
      <c r="K598" s="33" t="s">
        <v>3418</v>
      </c>
      <c r="L598" s="25" t="str">
        <f>"RUTL-"&amp;RIGHT(K598,8)</f>
        <v>RUTL-N0003110</v>
      </c>
      <c r="M598" s="34" t="s">
        <v>40</v>
      </c>
      <c r="N598" s="23"/>
      <c r="O598" s="23"/>
      <c r="P598" s="35" t="s">
        <v>46</v>
      </c>
      <c r="Q598" s="36" t="s">
        <v>3419</v>
      </c>
      <c r="R598" s="15" t="s">
        <v>56</v>
      </c>
      <c r="S598" s="37" t="s">
        <v>57</v>
      </c>
      <c r="T598" s="107" t="s">
        <v>453</v>
      </c>
      <c r="U598" s="23" t="s">
        <v>1821</v>
      </c>
      <c r="V598" s="23"/>
      <c r="W598" s="23"/>
      <c r="X598" s="30"/>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c r="DJ598" s="5"/>
      <c r="DK598" s="5"/>
      <c r="DL598" s="5"/>
      <c r="DM598" s="5"/>
      <c r="DN598" s="5"/>
      <c r="DO598" s="5"/>
      <c r="DP598" s="5"/>
      <c r="DQ598" s="5"/>
      <c r="DR598" s="5"/>
      <c r="DS598" s="5"/>
      <c r="DT598" s="5"/>
      <c r="DU598" s="5"/>
      <c r="DV598" s="5"/>
      <c r="DW598" s="5"/>
      <c r="DX598" s="5"/>
      <c r="DY598" s="5"/>
      <c r="DZ598" s="5"/>
      <c r="EA598" s="5"/>
      <c r="EB598" s="5"/>
      <c r="EC598" s="5"/>
      <c r="ED598" s="5"/>
      <c r="EE598" s="5"/>
    </row>
    <row r="599" spans="1:135" ht="30" customHeight="1" thickBot="1" x14ac:dyDescent="0.3">
      <c r="A599" s="578" t="s">
        <v>5501</v>
      </c>
      <c r="B599" s="8">
        <v>12977</v>
      </c>
      <c r="C599" s="72" t="s">
        <v>5499</v>
      </c>
      <c r="D599" s="10" t="s">
        <v>24</v>
      </c>
      <c r="E599" s="11" t="s">
        <v>25</v>
      </c>
      <c r="F599" s="20" t="s">
        <v>5500</v>
      </c>
      <c r="G599" s="15" t="s">
        <v>3054</v>
      </c>
      <c r="H599" s="108" t="s">
        <v>225</v>
      </c>
      <c r="I599" s="54" t="s">
        <v>117</v>
      </c>
      <c r="J599" s="18" t="s">
        <v>170</v>
      </c>
      <c r="K599" s="23" t="s">
        <v>5502</v>
      </c>
      <c r="L599" s="25" t="str">
        <f>"RUTL-"&amp;RIGHT(K599,8)</f>
        <v>RUTL-N0003138</v>
      </c>
      <c r="M599" s="34" t="s">
        <v>40</v>
      </c>
      <c r="N599" s="23"/>
      <c r="O599" s="23"/>
      <c r="P599" s="35" t="s">
        <v>46</v>
      </c>
      <c r="Q599" s="36" t="s">
        <v>5503</v>
      </c>
      <c r="R599" s="15" t="s">
        <v>56</v>
      </c>
      <c r="S599" s="37" t="s">
        <v>57</v>
      </c>
      <c r="T599" s="107" t="s">
        <v>453</v>
      </c>
      <c r="U599" s="23" t="s">
        <v>4689</v>
      </c>
      <c r="V599" s="23"/>
      <c r="W599" s="23"/>
      <c r="X599" s="30"/>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c r="DJ599" s="5"/>
      <c r="DK599" s="5"/>
      <c r="DL599" s="5"/>
      <c r="DM599" s="5"/>
      <c r="DN599" s="5"/>
      <c r="DO599" s="5"/>
      <c r="DP599" s="5"/>
      <c r="DQ599" s="5"/>
      <c r="DR599" s="5"/>
      <c r="DS599" s="5"/>
      <c r="DT599" s="5"/>
      <c r="DU599" s="5"/>
      <c r="DV599" s="5"/>
      <c r="DW599" s="5"/>
      <c r="DX599" s="5"/>
      <c r="DY599" s="5"/>
      <c r="DZ599" s="5"/>
      <c r="EA599" s="5"/>
      <c r="EB599" s="5"/>
      <c r="EC599" s="5"/>
      <c r="ED599" s="5"/>
      <c r="EE599" s="5"/>
    </row>
    <row r="600" spans="1:135" ht="30" customHeight="1" thickBot="1" x14ac:dyDescent="0.3">
      <c r="A600" s="578" t="s">
        <v>1817</v>
      </c>
      <c r="B600" s="8">
        <v>734</v>
      </c>
      <c r="C600" s="72" t="s">
        <v>1813</v>
      </c>
      <c r="D600" s="15" t="s">
        <v>24</v>
      </c>
      <c r="E600" s="11" t="s">
        <v>25</v>
      </c>
      <c r="F600" s="20" t="s">
        <v>1815</v>
      </c>
      <c r="G600" s="15" t="s">
        <v>1816</v>
      </c>
      <c r="H600" s="108" t="s">
        <v>225</v>
      </c>
      <c r="I600" s="18" t="s">
        <v>117</v>
      </c>
      <c r="J600" s="18" t="s">
        <v>170</v>
      </c>
      <c r="K600" s="23" t="s">
        <v>1819</v>
      </c>
      <c r="L600" s="25" t="str">
        <f>"RUTL-"&amp;RIGHT(K600,8)</f>
        <v>RUTL-N0003092</v>
      </c>
      <c r="M600" s="34" t="s">
        <v>40</v>
      </c>
      <c r="N600" s="23"/>
      <c r="O600" s="23"/>
      <c r="P600" s="35" t="s">
        <v>46</v>
      </c>
      <c r="Q600" s="63" t="s">
        <v>1820</v>
      </c>
      <c r="R600" s="15" t="s">
        <v>56</v>
      </c>
      <c r="S600" s="37" t="s">
        <v>57</v>
      </c>
      <c r="T600" s="107" t="s">
        <v>453</v>
      </c>
      <c r="U600" s="23" t="s">
        <v>1821</v>
      </c>
      <c r="V600" s="23"/>
      <c r="W600" s="23"/>
      <c r="X600" s="71"/>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c r="DG600" s="5"/>
      <c r="DH600" s="5"/>
      <c r="DI600" s="5"/>
      <c r="DJ600" s="5"/>
      <c r="DK600" s="5"/>
      <c r="DL600" s="5"/>
      <c r="DM600" s="5"/>
      <c r="DN600" s="5"/>
      <c r="DO600" s="5"/>
      <c r="DP600" s="5"/>
      <c r="DQ600" s="5"/>
      <c r="DR600" s="5"/>
      <c r="DS600" s="5"/>
      <c r="DT600" s="5"/>
      <c r="DU600" s="5"/>
      <c r="DV600" s="5"/>
      <c r="DW600" s="5"/>
      <c r="DX600" s="5"/>
      <c r="DY600" s="5"/>
      <c r="DZ600" s="5"/>
      <c r="EA600" s="5"/>
      <c r="EB600" s="5"/>
      <c r="EC600" s="5"/>
      <c r="ED600" s="5"/>
      <c r="EE600" s="5"/>
    </row>
    <row r="601" spans="1:135" ht="30" customHeight="1" x14ac:dyDescent="0.25">
      <c r="A601" s="578" t="s">
        <v>7498</v>
      </c>
      <c r="B601" s="51">
        <v>18804</v>
      </c>
      <c r="C601" s="72" t="s">
        <v>7495</v>
      </c>
      <c r="D601" s="15" t="s">
        <v>24</v>
      </c>
      <c r="E601" s="28" t="s">
        <v>25</v>
      </c>
      <c r="F601" s="20" t="s">
        <v>7496</v>
      </c>
      <c r="G601" s="15" t="s">
        <v>7497</v>
      </c>
      <c r="H601" s="97" t="s">
        <v>1071</v>
      </c>
      <c r="I601" s="54" t="s">
        <v>117</v>
      </c>
      <c r="J601" s="18" t="s">
        <v>170</v>
      </c>
      <c r="K601" s="23" t="s">
        <v>7499</v>
      </c>
      <c r="L601" s="21" t="str">
        <f>"RUTL-"&amp;RIGHT(K601,8)</f>
        <v>RUTL-N0002747</v>
      </c>
      <c r="M601" s="34" t="s">
        <v>40</v>
      </c>
      <c r="N601" s="23" t="s">
        <v>54</v>
      </c>
      <c r="O601" s="23"/>
      <c r="P601" s="35" t="s">
        <v>46</v>
      </c>
      <c r="Q601" s="36" t="s">
        <v>7500</v>
      </c>
      <c r="R601" s="15" t="s">
        <v>56</v>
      </c>
      <c r="S601" s="37" t="s">
        <v>57</v>
      </c>
      <c r="T601" s="35" t="s">
        <v>65</v>
      </c>
      <c r="U601" s="39" t="s">
        <v>4760</v>
      </c>
      <c r="V601" s="23"/>
      <c r="W601" s="23"/>
      <c r="X601" s="30"/>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c r="DJ601" s="5"/>
      <c r="DK601" s="5"/>
      <c r="DL601" s="5"/>
      <c r="DM601" s="5"/>
      <c r="DN601" s="5"/>
      <c r="DO601" s="5"/>
      <c r="DP601" s="5"/>
      <c r="DQ601" s="5"/>
      <c r="DR601" s="5"/>
      <c r="DS601" s="5"/>
      <c r="DT601" s="5"/>
      <c r="DU601" s="5"/>
      <c r="DV601" s="5"/>
      <c r="DW601" s="5"/>
      <c r="DX601" s="5"/>
      <c r="DY601" s="5"/>
      <c r="DZ601" s="5"/>
      <c r="EA601" s="5"/>
      <c r="EB601" s="5"/>
      <c r="EC601" s="5"/>
      <c r="ED601" s="5"/>
      <c r="EE601" s="5"/>
    </row>
    <row r="602" spans="1:135" ht="30" customHeight="1" x14ac:dyDescent="0.25">
      <c r="A602" s="578" t="s">
        <v>186</v>
      </c>
      <c r="B602" s="49" t="s">
        <v>177</v>
      </c>
      <c r="C602" s="56" t="s">
        <v>179</v>
      </c>
      <c r="D602" s="10" t="s">
        <v>24</v>
      </c>
      <c r="E602" s="28" t="s">
        <v>25</v>
      </c>
      <c r="F602" s="15"/>
      <c r="G602" s="15"/>
      <c r="H602" s="102" t="s">
        <v>97</v>
      </c>
      <c r="I602" s="54" t="s">
        <v>185</v>
      </c>
      <c r="J602" s="18" t="s">
        <v>170</v>
      </c>
      <c r="K602" s="33" t="s">
        <v>190</v>
      </c>
      <c r="L602" s="25" t="str">
        <f>"RUTL-"&amp;RIGHT(K602,8)</f>
        <v>RUTL-N0002756</v>
      </c>
      <c r="M602" s="109"/>
      <c r="N602" s="23"/>
      <c r="O602" s="23"/>
      <c r="P602" s="45" t="s">
        <v>46</v>
      </c>
      <c r="Q602" s="39"/>
      <c r="R602" s="46" t="s">
        <v>56</v>
      </c>
      <c r="S602" s="37"/>
      <c r="T602" s="64"/>
      <c r="U602" s="23"/>
      <c r="V602" s="48">
        <v>45989</v>
      </c>
      <c r="W602" s="23" t="s">
        <v>184</v>
      </c>
      <c r="X602" s="30"/>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c r="DG602" s="5"/>
      <c r="DH602" s="5"/>
      <c r="DI602" s="5"/>
      <c r="DJ602" s="5"/>
      <c r="DK602" s="5"/>
      <c r="DL602" s="5"/>
      <c r="DM602" s="5"/>
      <c r="DN602" s="5"/>
      <c r="DO602" s="5"/>
      <c r="DP602" s="5"/>
      <c r="DQ602" s="5"/>
      <c r="DR602" s="5"/>
      <c r="DS602" s="5"/>
      <c r="DT602" s="5"/>
      <c r="DU602" s="5"/>
      <c r="DV602" s="5"/>
      <c r="DW602" s="5"/>
      <c r="DX602" s="5"/>
      <c r="DY602" s="5"/>
      <c r="DZ602" s="5"/>
      <c r="EA602" s="5"/>
      <c r="EB602" s="5"/>
      <c r="EC602" s="5"/>
      <c r="ED602" s="5"/>
      <c r="EE602" s="5"/>
    </row>
    <row r="603" spans="1:135" ht="30" customHeight="1" x14ac:dyDescent="0.25">
      <c r="A603" s="578" t="s">
        <v>2957</v>
      </c>
      <c r="B603" s="8">
        <v>2149</v>
      </c>
      <c r="C603" s="52" t="s">
        <v>2953</v>
      </c>
      <c r="D603" s="10" t="s">
        <v>24</v>
      </c>
      <c r="E603" s="11" t="s">
        <v>25</v>
      </c>
      <c r="F603" s="20" t="s">
        <v>2954</v>
      </c>
      <c r="G603" s="15" t="s">
        <v>2955</v>
      </c>
      <c r="H603" s="102" t="s">
        <v>2956</v>
      </c>
      <c r="I603" s="18" t="s">
        <v>135</v>
      </c>
      <c r="J603" s="18" t="s">
        <v>170</v>
      </c>
      <c r="K603" s="33" t="s">
        <v>2958</v>
      </c>
      <c r="L603" s="25" t="str">
        <f>"RUTL-"&amp;RIGHT(K603,8)</f>
        <v>RUTL-N0002873</v>
      </c>
      <c r="M603" s="34" t="s">
        <v>40</v>
      </c>
      <c r="N603" s="23" t="s">
        <v>2959</v>
      </c>
      <c r="O603" s="23"/>
      <c r="P603" s="32" t="s">
        <v>46</v>
      </c>
      <c r="Q603" s="113"/>
      <c r="R603" s="15" t="s">
        <v>56</v>
      </c>
      <c r="S603" s="23" t="s">
        <v>296</v>
      </c>
      <c r="T603" s="23" t="s">
        <v>2960</v>
      </c>
      <c r="U603" s="39" t="s">
        <v>2154</v>
      </c>
      <c r="V603" s="115">
        <v>45989</v>
      </c>
      <c r="W603" s="23" t="s">
        <v>2961</v>
      </c>
      <c r="X603" s="30"/>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row>
    <row r="604" spans="1:135" ht="30" customHeight="1" thickBot="1" x14ac:dyDescent="0.3">
      <c r="A604" s="578" t="s">
        <v>3497</v>
      </c>
      <c r="B604" s="8">
        <v>4129</v>
      </c>
      <c r="C604" s="72" t="s">
        <v>3494</v>
      </c>
      <c r="D604" s="10" t="s">
        <v>24</v>
      </c>
      <c r="E604" s="11" t="s">
        <v>25</v>
      </c>
      <c r="F604" s="20" t="s">
        <v>3495</v>
      </c>
      <c r="G604" s="15" t="s">
        <v>448</v>
      </c>
      <c r="H604" s="102" t="s">
        <v>3496</v>
      </c>
      <c r="I604" s="18" t="s">
        <v>135</v>
      </c>
      <c r="J604" s="18" t="s">
        <v>170</v>
      </c>
      <c r="K604" s="33" t="s">
        <v>3498</v>
      </c>
      <c r="L604" s="25" t="str">
        <f>"RUTL-"&amp;RIGHT(K604,8)</f>
        <v>RUTL-N0002569</v>
      </c>
      <c r="M604" s="34" t="s">
        <v>40</v>
      </c>
      <c r="N604" s="23"/>
      <c r="O604" s="23"/>
      <c r="P604" s="39" t="s">
        <v>46</v>
      </c>
      <c r="Q604" s="113"/>
      <c r="R604" s="15" t="s">
        <v>56</v>
      </c>
      <c r="S604" s="23" t="s">
        <v>296</v>
      </c>
      <c r="T604" s="53" t="s">
        <v>1630</v>
      </c>
      <c r="U604" s="39" t="s">
        <v>2154</v>
      </c>
      <c r="V604" s="115">
        <v>45989</v>
      </c>
      <c r="W604" s="23" t="s">
        <v>2961</v>
      </c>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c r="DJ604" s="5"/>
      <c r="DK604" s="5"/>
      <c r="DL604" s="5"/>
      <c r="DM604" s="5"/>
      <c r="DN604" s="5"/>
      <c r="DO604" s="5"/>
      <c r="DP604" s="5"/>
      <c r="DQ604" s="5"/>
      <c r="DR604" s="5"/>
      <c r="DS604" s="5"/>
      <c r="DT604" s="5"/>
      <c r="DU604" s="5"/>
      <c r="DV604" s="5"/>
      <c r="DW604" s="5"/>
      <c r="DX604" s="5"/>
      <c r="DY604" s="5"/>
      <c r="DZ604" s="5"/>
      <c r="EA604" s="5"/>
      <c r="EB604" s="5"/>
      <c r="EC604" s="5"/>
      <c r="ED604" s="5"/>
      <c r="EE604" s="5"/>
    </row>
    <row r="605" spans="1:135" ht="30" customHeight="1" thickBot="1" x14ac:dyDescent="0.3">
      <c r="A605" s="578" t="s">
        <v>311</v>
      </c>
      <c r="B605" s="49" t="s">
        <v>308</v>
      </c>
      <c r="C605" s="56" t="s">
        <v>179</v>
      </c>
      <c r="D605" s="10" t="s">
        <v>24</v>
      </c>
      <c r="E605" s="28" t="s">
        <v>25</v>
      </c>
      <c r="F605" s="15"/>
      <c r="G605" s="15"/>
      <c r="H605" s="102" t="s">
        <v>97</v>
      </c>
      <c r="I605" s="18" t="s">
        <v>185</v>
      </c>
      <c r="J605" s="18" t="s">
        <v>170</v>
      </c>
      <c r="K605" s="33" t="s">
        <v>313</v>
      </c>
      <c r="L605" s="25" t="str">
        <f>"RUTL-"&amp;RIGHT(K605,8)</f>
        <v>RUTL-N0002598</v>
      </c>
      <c r="M605" s="109"/>
      <c r="N605" s="23"/>
      <c r="O605" s="23"/>
      <c r="P605" s="45" t="s">
        <v>46</v>
      </c>
      <c r="Q605" s="39"/>
      <c r="R605" s="46" t="s">
        <v>56</v>
      </c>
      <c r="S605" s="37"/>
      <c r="T605" s="64"/>
      <c r="U605" s="23"/>
      <c r="V605" s="48">
        <v>45989</v>
      </c>
      <c r="W605" s="23" t="s">
        <v>184</v>
      </c>
      <c r="X605" s="71"/>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row>
    <row r="606" spans="1:135" ht="30" customHeight="1" thickBot="1" x14ac:dyDescent="0.3">
      <c r="A606" s="578" t="s">
        <v>6058</v>
      </c>
      <c r="B606" s="8">
        <v>14942</v>
      </c>
      <c r="C606" s="72" t="s">
        <v>6054</v>
      </c>
      <c r="D606" s="10" t="s">
        <v>24</v>
      </c>
      <c r="E606" s="11" t="s">
        <v>25</v>
      </c>
      <c r="F606" s="20" t="s">
        <v>6055</v>
      </c>
      <c r="G606" s="15" t="s">
        <v>6056</v>
      </c>
      <c r="H606" s="102" t="s">
        <v>5343</v>
      </c>
      <c r="I606" s="18" t="s">
        <v>6057</v>
      </c>
      <c r="J606" s="24" t="s">
        <v>170</v>
      </c>
      <c r="K606" s="23" t="s">
        <v>6059</v>
      </c>
      <c r="L606" s="25" t="str">
        <f>"RUTL-"&amp;RIGHT(K606,8)</f>
        <v>RUTL-N0003012</v>
      </c>
      <c r="M606" s="34" t="s">
        <v>40</v>
      </c>
      <c r="N606" s="32" t="s">
        <v>54</v>
      </c>
      <c r="O606" s="23" t="s">
        <v>661</v>
      </c>
      <c r="P606" s="35" t="s">
        <v>46</v>
      </c>
      <c r="Q606" s="113"/>
      <c r="R606" s="15" t="s">
        <v>56</v>
      </c>
      <c r="S606" s="232" t="s">
        <v>296</v>
      </c>
      <c r="T606" s="107" t="s">
        <v>148</v>
      </c>
      <c r="U606" s="39" t="s">
        <v>3460</v>
      </c>
      <c r="V606" s="115">
        <v>45989</v>
      </c>
      <c r="W606" s="23" t="s">
        <v>301</v>
      </c>
      <c r="X606" s="71"/>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c r="DV606" s="5"/>
      <c r="DW606" s="5"/>
      <c r="DX606" s="5"/>
      <c r="DY606" s="5"/>
      <c r="DZ606" s="5"/>
      <c r="EA606" s="5"/>
      <c r="EB606" s="5"/>
      <c r="EC606" s="5"/>
      <c r="ED606" s="5"/>
      <c r="EE606" s="5"/>
    </row>
    <row r="607" spans="1:135" ht="30" customHeight="1" x14ac:dyDescent="0.25">
      <c r="A607" s="578" t="s">
        <v>834</v>
      </c>
      <c r="B607" s="446">
        <v>329</v>
      </c>
      <c r="C607" s="455" t="s">
        <v>829</v>
      </c>
      <c r="D607" s="15" t="s">
        <v>24</v>
      </c>
      <c r="E607" s="465" t="s">
        <v>25</v>
      </c>
      <c r="F607" s="470" t="s">
        <v>830</v>
      </c>
      <c r="G607" s="15" t="s">
        <v>109</v>
      </c>
      <c r="H607" s="206" t="s">
        <v>29</v>
      </c>
      <c r="I607" s="18" t="s">
        <v>30</v>
      </c>
      <c r="J607" s="18" t="s">
        <v>170</v>
      </c>
      <c r="K607" s="493" t="s">
        <v>838</v>
      </c>
      <c r="L607" s="25" t="str">
        <f>"RUTL-"&amp;RIGHT(K607,8)</f>
        <v>RUTL-N0003090</v>
      </c>
      <c r="M607" s="34" t="s">
        <v>40</v>
      </c>
      <c r="N607" s="493" t="s">
        <v>43</v>
      </c>
      <c r="O607" s="495"/>
      <c r="P607" s="522" t="s">
        <v>46</v>
      </c>
      <c r="Q607" s="528" t="s">
        <v>840</v>
      </c>
      <c r="R607" s="461" t="s">
        <v>235</v>
      </c>
      <c r="S607" s="544" t="s">
        <v>57</v>
      </c>
      <c r="T607" s="552" t="s">
        <v>148</v>
      </c>
      <c r="U607" s="39" t="s">
        <v>843</v>
      </c>
      <c r="V607" s="560">
        <v>45988</v>
      </c>
      <c r="W607" s="493" t="s">
        <v>847</v>
      </c>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c r="DJ607" s="5"/>
      <c r="DK607" s="5"/>
      <c r="DL607" s="5"/>
      <c r="DM607" s="5"/>
      <c r="DN607" s="5"/>
      <c r="DO607" s="5"/>
      <c r="DP607" s="5"/>
      <c r="DQ607" s="5"/>
      <c r="DR607" s="5"/>
      <c r="DS607" s="5"/>
      <c r="DT607" s="5"/>
      <c r="DU607" s="5"/>
      <c r="DV607" s="5"/>
      <c r="DW607" s="5"/>
      <c r="DX607" s="5"/>
      <c r="DY607" s="5"/>
      <c r="DZ607" s="5"/>
      <c r="EA607" s="5"/>
      <c r="EB607" s="5"/>
      <c r="EC607" s="5"/>
      <c r="ED607" s="5"/>
      <c r="EE607" s="5"/>
    </row>
    <row r="608" spans="1:135" ht="30" customHeight="1" x14ac:dyDescent="0.25">
      <c r="A608" s="578" t="s">
        <v>4089</v>
      </c>
      <c r="B608" s="8">
        <v>7191</v>
      </c>
      <c r="C608" s="72" t="s">
        <v>4086</v>
      </c>
      <c r="D608" s="15" t="s">
        <v>24</v>
      </c>
      <c r="E608" s="11" t="s">
        <v>25</v>
      </c>
      <c r="F608" s="20" t="s">
        <v>4087</v>
      </c>
      <c r="G608" s="15" t="s">
        <v>4088</v>
      </c>
      <c r="H608" s="156" t="s">
        <v>2507</v>
      </c>
      <c r="I608" s="18" t="s">
        <v>135</v>
      </c>
      <c r="J608" s="18" t="s">
        <v>170</v>
      </c>
      <c r="K608" s="33" t="s">
        <v>4090</v>
      </c>
      <c r="L608" s="25" t="str">
        <f>"RUTL-"&amp;RIGHT(K608,8)</f>
        <v>RUTL-N0002552</v>
      </c>
      <c r="M608" s="34" t="s">
        <v>40</v>
      </c>
      <c r="N608" s="23"/>
      <c r="O608" s="23"/>
      <c r="P608" s="35" t="s">
        <v>46</v>
      </c>
      <c r="Q608" s="63" t="s">
        <v>4091</v>
      </c>
      <c r="R608" s="15" t="s">
        <v>56</v>
      </c>
      <c r="S608" s="37" t="s">
        <v>57</v>
      </c>
      <c r="T608" s="38" t="s">
        <v>58</v>
      </c>
      <c r="U608" s="39" t="s">
        <v>594</v>
      </c>
      <c r="V608" s="115">
        <v>45990</v>
      </c>
      <c r="W608" s="23" t="s">
        <v>4092</v>
      </c>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c r="DJ608" s="5"/>
      <c r="DK608" s="5"/>
      <c r="DL608" s="5"/>
      <c r="DM608" s="5"/>
      <c r="DN608" s="5"/>
      <c r="DO608" s="5"/>
      <c r="DP608" s="5"/>
      <c r="DQ608" s="5"/>
      <c r="DR608" s="5"/>
      <c r="DS608" s="5"/>
      <c r="DT608" s="5"/>
      <c r="DU608" s="5"/>
      <c r="DV608" s="5"/>
      <c r="DW608" s="5"/>
      <c r="DX608" s="5"/>
      <c r="DY608" s="5"/>
      <c r="DZ608" s="5"/>
      <c r="EA608" s="5"/>
      <c r="EB608" s="5"/>
      <c r="EC608" s="5"/>
      <c r="ED608" s="5"/>
      <c r="EE608" s="5"/>
    </row>
    <row r="609" spans="1:135" ht="30" customHeight="1" x14ac:dyDescent="0.25">
      <c r="A609" s="578" t="s">
        <v>3207</v>
      </c>
      <c r="B609" s="8">
        <v>3179</v>
      </c>
      <c r="C609" s="72" t="s">
        <v>3205</v>
      </c>
      <c r="D609" s="15" t="s">
        <v>24</v>
      </c>
      <c r="E609" s="11" t="s">
        <v>25</v>
      </c>
      <c r="F609" s="20" t="s">
        <v>3206</v>
      </c>
      <c r="G609" s="15" t="s">
        <v>224</v>
      </c>
      <c r="H609" s="18" t="s">
        <v>2210</v>
      </c>
      <c r="I609" s="18" t="s">
        <v>117</v>
      </c>
      <c r="J609" s="18" t="s">
        <v>170</v>
      </c>
      <c r="K609" s="33" t="s">
        <v>3208</v>
      </c>
      <c r="L609" s="25" t="str">
        <f>"RUTL-"&amp;RIGHT(K609,8)</f>
        <v>RUTL-N0002988</v>
      </c>
      <c r="M609" s="34" t="s">
        <v>40</v>
      </c>
      <c r="N609" s="39" t="s">
        <v>410</v>
      </c>
      <c r="O609" s="23"/>
      <c r="P609" s="35" t="s">
        <v>46</v>
      </c>
      <c r="Q609" s="36" t="s">
        <v>3209</v>
      </c>
      <c r="R609" s="15" t="s">
        <v>56</v>
      </c>
      <c r="S609" s="37" t="s">
        <v>57</v>
      </c>
      <c r="T609" s="101" t="s">
        <v>96</v>
      </c>
      <c r="U609" s="39" t="s">
        <v>1754</v>
      </c>
      <c r="V609" s="560">
        <v>45989</v>
      </c>
      <c r="W609" s="493" t="s">
        <v>301</v>
      </c>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c r="DJ609" s="5"/>
      <c r="DK609" s="5"/>
      <c r="DL609" s="5"/>
      <c r="DM609" s="5"/>
      <c r="DN609" s="5"/>
      <c r="DO609" s="5"/>
      <c r="DP609" s="5"/>
      <c r="DQ609" s="5"/>
      <c r="DR609" s="5"/>
      <c r="DS609" s="5"/>
      <c r="DT609" s="5"/>
      <c r="DU609" s="5"/>
      <c r="DV609" s="5"/>
      <c r="DW609" s="5"/>
      <c r="DX609" s="5"/>
      <c r="DY609" s="5"/>
      <c r="DZ609" s="5"/>
      <c r="EA609" s="5"/>
      <c r="EB609" s="5"/>
      <c r="EC609" s="5"/>
      <c r="ED609" s="5"/>
      <c r="EE609" s="5"/>
    </row>
    <row r="610" spans="1:135" ht="30" customHeight="1" x14ac:dyDescent="0.25">
      <c r="A610" s="578" t="s">
        <v>331</v>
      </c>
      <c r="B610" s="49" t="s">
        <v>328</v>
      </c>
      <c r="C610" s="56" t="s">
        <v>179</v>
      </c>
      <c r="D610" s="10" t="s">
        <v>24</v>
      </c>
      <c r="E610" s="28" t="s">
        <v>25</v>
      </c>
      <c r="F610" s="15"/>
      <c r="G610" s="15"/>
      <c r="H610" s="102" t="s">
        <v>97</v>
      </c>
      <c r="I610" s="54" t="s">
        <v>185</v>
      </c>
      <c r="J610" s="18" t="s">
        <v>170</v>
      </c>
      <c r="K610" s="33" t="s">
        <v>333</v>
      </c>
      <c r="L610" s="25" t="str">
        <f>"RUTL-"&amp;RIGHT(K610,8)</f>
        <v>RUTL-N0002850</v>
      </c>
      <c r="M610" s="109"/>
      <c r="N610" s="23"/>
      <c r="O610" s="23"/>
      <c r="P610" s="45" t="s">
        <v>46</v>
      </c>
      <c r="Q610" s="39"/>
      <c r="R610" s="46" t="s">
        <v>56</v>
      </c>
      <c r="S610" s="37"/>
      <c r="T610" s="64"/>
      <c r="U610" s="23"/>
      <c r="V610" s="48">
        <v>45989</v>
      </c>
      <c r="W610" s="23" t="s">
        <v>184</v>
      </c>
      <c r="X610" s="30"/>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c r="DJ610" s="5"/>
      <c r="DK610" s="5"/>
      <c r="DL610" s="5"/>
      <c r="DM610" s="5"/>
      <c r="DN610" s="5"/>
      <c r="DO610" s="5"/>
      <c r="DP610" s="5"/>
      <c r="DQ610" s="5"/>
      <c r="DR610" s="5"/>
      <c r="DS610" s="5"/>
      <c r="DT610" s="5"/>
      <c r="DU610" s="5"/>
      <c r="DV610" s="5"/>
      <c r="DW610" s="5"/>
      <c r="DX610" s="5"/>
      <c r="DY610" s="5"/>
      <c r="DZ610" s="5"/>
      <c r="EA610" s="5"/>
      <c r="EB610" s="5"/>
      <c r="EC610" s="5"/>
      <c r="ED610" s="5"/>
      <c r="EE610" s="5"/>
    </row>
    <row r="611" spans="1:135" ht="30" customHeight="1" x14ac:dyDescent="0.25">
      <c r="A611" s="578" t="s">
        <v>2388</v>
      </c>
      <c r="B611" s="8">
        <v>1093</v>
      </c>
      <c r="C611" s="52" t="s">
        <v>2385</v>
      </c>
      <c r="D611" s="15" t="s">
        <v>24</v>
      </c>
      <c r="E611" s="11" t="s">
        <v>25</v>
      </c>
      <c r="F611" s="20" t="s">
        <v>2386</v>
      </c>
      <c r="G611" s="15" t="s">
        <v>469</v>
      </c>
      <c r="H611" s="17" t="s">
        <v>1154</v>
      </c>
      <c r="I611" s="54" t="s">
        <v>117</v>
      </c>
      <c r="J611" s="18" t="s">
        <v>170</v>
      </c>
      <c r="K611" s="23" t="s">
        <v>2391</v>
      </c>
      <c r="L611" s="25" t="str">
        <f>"RUTL-"&amp;RIGHT(K611,8)</f>
        <v>RUTL-N0002530</v>
      </c>
      <c r="M611" s="34" t="s">
        <v>40</v>
      </c>
      <c r="N611" s="23" t="s">
        <v>43</v>
      </c>
      <c r="O611" s="23"/>
      <c r="P611" s="35" t="s">
        <v>46</v>
      </c>
      <c r="Q611" s="36" t="s">
        <v>2392</v>
      </c>
      <c r="R611" s="15" t="s">
        <v>56</v>
      </c>
      <c r="S611" s="40" t="s">
        <v>57</v>
      </c>
      <c r="T611" s="105" t="s">
        <v>148</v>
      </c>
      <c r="U611" s="23" t="s">
        <v>2393</v>
      </c>
      <c r="V611" s="115">
        <v>45989</v>
      </c>
      <c r="W611" s="23" t="s">
        <v>301</v>
      </c>
      <c r="X611" s="30"/>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c r="DJ611" s="5"/>
      <c r="DK611" s="5"/>
      <c r="DL611" s="5"/>
      <c r="DM611" s="5"/>
      <c r="DN611" s="5"/>
      <c r="DO611" s="5"/>
      <c r="DP611" s="5"/>
      <c r="DQ611" s="5"/>
      <c r="DR611" s="5"/>
      <c r="DS611" s="5"/>
      <c r="DT611" s="5"/>
      <c r="DU611" s="5"/>
      <c r="DV611" s="5"/>
      <c r="DW611" s="5"/>
      <c r="DX611" s="5"/>
      <c r="DY611" s="5"/>
      <c r="DZ611" s="5"/>
      <c r="EA611" s="5"/>
      <c r="EB611" s="5"/>
      <c r="EC611" s="5"/>
      <c r="ED611" s="5"/>
      <c r="EE611" s="5"/>
    </row>
    <row r="612" spans="1:135" ht="30" customHeight="1" x14ac:dyDescent="0.25">
      <c r="A612" s="578" t="s">
        <v>1178</v>
      </c>
      <c r="B612" s="23"/>
      <c r="C612" s="99" t="s">
        <v>1171</v>
      </c>
      <c r="D612" s="15" t="s">
        <v>1172</v>
      </c>
      <c r="E612" s="28" t="s">
        <v>25</v>
      </c>
      <c r="F612" s="20" t="s">
        <v>1173</v>
      </c>
      <c r="G612" s="15" t="s">
        <v>1175</v>
      </c>
      <c r="H612" s="17" t="s">
        <v>470</v>
      </c>
      <c r="I612" s="54" t="s">
        <v>135</v>
      </c>
      <c r="J612" s="24" t="s">
        <v>1177</v>
      </c>
      <c r="K612" s="234" t="s">
        <v>1182</v>
      </c>
      <c r="L612" s="21" t="str">
        <f>"RUTL-"&amp;RIGHT(K612,8)</f>
        <v>RUTL-N0002622</v>
      </c>
      <c r="M612" s="23"/>
      <c r="N612" s="15" t="s">
        <v>1185</v>
      </c>
      <c r="O612" s="23"/>
      <c r="P612" s="23" t="s">
        <v>1186</v>
      </c>
      <c r="Q612" s="32" t="s">
        <v>1187</v>
      </c>
      <c r="R612" s="15" t="s">
        <v>56</v>
      </c>
      <c r="S612" s="37" t="s">
        <v>296</v>
      </c>
      <c r="T612" s="23" t="s">
        <v>96</v>
      </c>
      <c r="U612" s="47" t="s">
        <v>59</v>
      </c>
      <c r="V612" s="236" t="s">
        <v>1191</v>
      </c>
      <c r="W612" s="23"/>
      <c r="X612" s="30"/>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row>
    <row r="613" spans="1:135" ht="30" customHeight="1" x14ac:dyDescent="0.25">
      <c r="A613" s="578" t="s">
        <v>219</v>
      </c>
      <c r="B613" s="139" t="s">
        <v>214</v>
      </c>
      <c r="C613" s="56" t="s">
        <v>179</v>
      </c>
      <c r="D613" s="10" t="s">
        <v>24</v>
      </c>
      <c r="E613" s="28" t="s">
        <v>25</v>
      </c>
      <c r="F613" s="15"/>
      <c r="G613" s="15"/>
      <c r="H613" s="102" t="s">
        <v>97</v>
      </c>
      <c r="I613" s="54" t="s">
        <v>185</v>
      </c>
      <c r="J613" s="18" t="s">
        <v>170</v>
      </c>
      <c r="K613" s="33" t="s">
        <v>222</v>
      </c>
      <c r="L613" s="25" t="str">
        <f>"RUTL-"&amp;RIGHT(K613,8)</f>
        <v>RUTL-N0002947</v>
      </c>
      <c r="M613" s="109"/>
      <c r="N613" s="23"/>
      <c r="O613" s="23"/>
      <c r="P613" s="45" t="s">
        <v>46</v>
      </c>
      <c r="Q613" s="39"/>
      <c r="R613" s="46" t="s">
        <v>56</v>
      </c>
      <c r="S613" s="37"/>
      <c r="T613" s="64"/>
      <c r="U613" s="23"/>
      <c r="V613" s="48">
        <v>45989</v>
      </c>
      <c r="W613" s="23" t="s">
        <v>184</v>
      </c>
      <c r="X613" s="30"/>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row>
    <row r="614" spans="1:135" ht="30" customHeight="1" x14ac:dyDescent="0.25">
      <c r="A614" s="578" t="s">
        <v>2468</v>
      </c>
      <c r="B614" s="438">
        <v>1222</v>
      </c>
      <c r="C614" s="52" t="s">
        <v>2464</v>
      </c>
      <c r="D614" s="15" t="s">
        <v>24</v>
      </c>
      <c r="E614" s="11" t="s">
        <v>25</v>
      </c>
      <c r="F614" s="20" t="s">
        <v>2465</v>
      </c>
      <c r="G614" s="15" t="s">
        <v>2467</v>
      </c>
      <c r="H614" s="17" t="s">
        <v>891</v>
      </c>
      <c r="I614" s="54" t="s">
        <v>117</v>
      </c>
      <c r="J614" s="18" t="s">
        <v>170</v>
      </c>
      <c r="K614" s="23" t="s">
        <v>2471</v>
      </c>
      <c r="L614" s="25" t="str">
        <f>"RUTL-"&amp;RIGHT(K614,8)</f>
        <v>RUTL-N0002577</v>
      </c>
      <c r="M614" s="34" t="s">
        <v>40</v>
      </c>
      <c r="N614" s="23" t="s">
        <v>2376</v>
      </c>
      <c r="O614" s="32"/>
      <c r="P614" s="35" t="s">
        <v>46</v>
      </c>
      <c r="Q614" s="36" t="s">
        <v>2473</v>
      </c>
      <c r="R614" s="15" t="s">
        <v>56</v>
      </c>
      <c r="S614" s="37" t="s">
        <v>57</v>
      </c>
      <c r="T614" s="105" t="s">
        <v>148</v>
      </c>
      <c r="U614" s="23" t="s">
        <v>1887</v>
      </c>
      <c r="V614" s="115">
        <v>45989</v>
      </c>
      <c r="W614" s="23" t="s">
        <v>301</v>
      </c>
      <c r="X614" s="30"/>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c r="DJ614" s="5"/>
      <c r="DK614" s="5"/>
      <c r="DL614" s="5"/>
      <c r="DM614" s="5"/>
      <c r="DN614" s="5"/>
      <c r="DO614" s="5"/>
      <c r="DP614" s="5"/>
      <c r="DQ614" s="5"/>
      <c r="DR614" s="5"/>
      <c r="DS614" s="5"/>
      <c r="DT614" s="5"/>
      <c r="DU614" s="5"/>
      <c r="DV614" s="5"/>
      <c r="DW614" s="5"/>
      <c r="DX614" s="5"/>
      <c r="DY614" s="5"/>
      <c r="DZ614" s="5"/>
      <c r="EA614" s="5"/>
      <c r="EB614" s="5"/>
      <c r="EC614" s="5"/>
      <c r="ED614" s="5"/>
      <c r="EE614" s="5"/>
    </row>
    <row r="615" spans="1:135" ht="30" customHeight="1" x14ac:dyDescent="0.25">
      <c r="A615" s="578" t="s">
        <v>5572</v>
      </c>
      <c r="B615" s="438">
        <v>13292</v>
      </c>
      <c r="C615" s="72" t="s">
        <v>5570</v>
      </c>
      <c r="D615" s="10" t="s">
        <v>24</v>
      </c>
      <c r="E615" s="11" t="s">
        <v>25</v>
      </c>
      <c r="F615" s="20" t="s">
        <v>5571</v>
      </c>
      <c r="G615" s="15" t="s">
        <v>448</v>
      </c>
      <c r="H615" s="104" t="s">
        <v>349</v>
      </c>
      <c r="I615" s="54" t="s">
        <v>135</v>
      </c>
      <c r="J615" s="18" t="s">
        <v>170</v>
      </c>
      <c r="K615" s="23" t="s">
        <v>5573</v>
      </c>
      <c r="L615" s="25" t="str">
        <f>"RUTL-"&amp;RIGHT(K615,8)</f>
        <v>RUTL-N0002858</v>
      </c>
      <c r="M615" s="34" t="s">
        <v>40</v>
      </c>
      <c r="N615" s="32" t="s">
        <v>54</v>
      </c>
      <c r="O615" s="227"/>
      <c r="P615" s="35" t="s">
        <v>46</v>
      </c>
      <c r="Q615" s="35" t="s">
        <v>5574</v>
      </c>
      <c r="R615" s="15" t="s">
        <v>56</v>
      </c>
      <c r="S615" s="37" t="s">
        <v>57</v>
      </c>
      <c r="T615" s="23" t="s">
        <v>453</v>
      </c>
      <c r="U615" s="39" t="s">
        <v>3794</v>
      </c>
      <c r="V615" s="170">
        <v>43661</v>
      </c>
      <c r="W615" s="23"/>
      <c r="X615" s="30"/>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c r="DJ615" s="5"/>
      <c r="DK615" s="5"/>
      <c r="DL615" s="5"/>
      <c r="DM615" s="5"/>
      <c r="DN615" s="5"/>
      <c r="DO615" s="5"/>
      <c r="DP615" s="5"/>
      <c r="DQ615" s="5"/>
      <c r="DR615" s="5"/>
      <c r="DS615" s="5"/>
      <c r="DT615" s="5"/>
      <c r="DU615" s="5"/>
      <c r="DV615" s="5"/>
      <c r="DW615" s="5"/>
      <c r="DX615" s="5"/>
      <c r="DY615" s="5"/>
      <c r="DZ615" s="5"/>
      <c r="EA615" s="5"/>
      <c r="EB615" s="5"/>
      <c r="EC615" s="5"/>
      <c r="ED615" s="5"/>
      <c r="EE615" s="5"/>
    </row>
    <row r="616" spans="1:135" ht="30" customHeight="1" x14ac:dyDescent="0.25">
      <c r="A616" s="578" t="s">
        <v>5125</v>
      </c>
      <c r="B616" s="381">
        <v>11994</v>
      </c>
      <c r="C616" s="52" t="s">
        <v>5122</v>
      </c>
      <c r="D616" s="10" t="s">
        <v>24</v>
      </c>
      <c r="E616" s="11" t="s">
        <v>25</v>
      </c>
      <c r="F616" s="20" t="s">
        <v>5123</v>
      </c>
      <c r="G616" s="15" t="s">
        <v>5124</v>
      </c>
      <c r="H616" s="104" t="s">
        <v>349</v>
      </c>
      <c r="I616" s="54" t="s">
        <v>135</v>
      </c>
      <c r="J616" s="18" t="s">
        <v>170</v>
      </c>
      <c r="K616" s="23" t="s">
        <v>5126</v>
      </c>
      <c r="L616" s="25" t="str">
        <f>"RUTL-"&amp;RIGHT(K616,8)</f>
        <v>RUTL-N0003007</v>
      </c>
      <c r="M616" s="34" t="s">
        <v>40</v>
      </c>
      <c r="N616" s="23" t="s">
        <v>43</v>
      </c>
      <c r="O616" s="32"/>
      <c r="P616" s="35" t="s">
        <v>46</v>
      </c>
      <c r="Q616" s="36" t="s">
        <v>5127</v>
      </c>
      <c r="R616" s="15" t="s">
        <v>56</v>
      </c>
      <c r="S616" s="37" t="s">
        <v>57</v>
      </c>
      <c r="T616" s="105" t="s">
        <v>148</v>
      </c>
      <c r="U616" s="23" t="s">
        <v>207</v>
      </c>
      <c r="V616" s="115">
        <v>45989</v>
      </c>
      <c r="W616" s="23" t="s">
        <v>301</v>
      </c>
      <c r="X616" s="30"/>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c r="DT616" s="5"/>
      <c r="DU616" s="5"/>
      <c r="DV616" s="5"/>
      <c r="DW616" s="5"/>
      <c r="DX616" s="5"/>
      <c r="DY616" s="5"/>
      <c r="DZ616" s="5"/>
      <c r="EA616" s="5"/>
      <c r="EB616" s="5"/>
      <c r="EC616" s="5"/>
      <c r="ED616" s="5"/>
      <c r="EE616" s="5"/>
    </row>
    <row r="617" spans="1:135" ht="30" customHeight="1" x14ac:dyDescent="0.25">
      <c r="A617" s="578" t="s">
        <v>248</v>
      </c>
      <c r="B617" s="49" t="s">
        <v>247</v>
      </c>
      <c r="C617" s="56" t="s">
        <v>179</v>
      </c>
      <c r="D617" s="10" t="s">
        <v>24</v>
      </c>
      <c r="E617" s="28" t="s">
        <v>25</v>
      </c>
      <c r="F617" s="15"/>
      <c r="G617" s="15"/>
      <c r="H617" s="102" t="s">
        <v>97</v>
      </c>
      <c r="I617" s="54" t="s">
        <v>185</v>
      </c>
      <c r="J617" s="18" t="s">
        <v>170</v>
      </c>
      <c r="K617" s="33" t="s">
        <v>249</v>
      </c>
      <c r="L617" s="25" t="str">
        <f>"RUTL-"&amp;RIGHT(K617,8)</f>
        <v>RUTL-N0002820</v>
      </c>
      <c r="M617" s="109"/>
      <c r="N617" s="23"/>
      <c r="O617" s="23"/>
      <c r="P617" s="45" t="s">
        <v>46</v>
      </c>
      <c r="Q617" s="39"/>
      <c r="R617" s="46" t="s">
        <v>56</v>
      </c>
      <c r="S617" s="37"/>
      <c r="T617" s="64"/>
      <c r="U617" s="23"/>
      <c r="V617" s="48">
        <v>45989</v>
      </c>
      <c r="W617" s="23" t="s">
        <v>184</v>
      </c>
      <c r="X617" s="30"/>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c r="DJ617" s="5"/>
      <c r="DK617" s="5"/>
      <c r="DL617" s="5"/>
      <c r="DM617" s="5"/>
      <c r="DN617" s="5"/>
      <c r="DO617" s="5"/>
      <c r="DP617" s="5"/>
      <c r="DQ617" s="5"/>
      <c r="DR617" s="5"/>
      <c r="DS617" s="5"/>
      <c r="DT617" s="5"/>
      <c r="DU617" s="5"/>
      <c r="DV617" s="5"/>
      <c r="DW617" s="5"/>
      <c r="DX617" s="5"/>
      <c r="DY617" s="5"/>
      <c r="DZ617" s="5"/>
      <c r="EA617" s="5"/>
      <c r="EB617" s="5"/>
      <c r="EC617" s="5"/>
      <c r="ED617" s="5"/>
      <c r="EE617" s="5"/>
    </row>
    <row r="618" spans="1:135" ht="30" customHeight="1" thickBot="1" x14ac:dyDescent="0.3">
      <c r="A618" s="578" t="s">
        <v>3981</v>
      </c>
      <c r="B618" s="8">
        <v>6679</v>
      </c>
      <c r="C618" s="72" t="s">
        <v>3979</v>
      </c>
      <c r="D618" s="10" t="s">
        <v>24</v>
      </c>
      <c r="E618" s="11" t="s">
        <v>25</v>
      </c>
      <c r="F618" s="20" t="s">
        <v>3980</v>
      </c>
      <c r="G618" s="15" t="s">
        <v>448</v>
      </c>
      <c r="H618" s="119" t="s">
        <v>839</v>
      </c>
      <c r="I618" s="54" t="s">
        <v>135</v>
      </c>
      <c r="J618" s="18" t="s">
        <v>170</v>
      </c>
      <c r="K618" s="33" t="s">
        <v>3982</v>
      </c>
      <c r="L618" s="25" t="str">
        <f>"RUTL-"&amp;RIGHT(K618,8)</f>
        <v>RUTL-N0003097</v>
      </c>
      <c r="M618" s="34" t="s">
        <v>40</v>
      </c>
      <c r="N618" s="39" t="s">
        <v>94</v>
      </c>
      <c r="O618" s="493"/>
      <c r="P618" s="39" t="s">
        <v>90</v>
      </c>
      <c r="Q618" s="63" t="s">
        <v>3983</v>
      </c>
      <c r="R618" s="15" t="s">
        <v>56</v>
      </c>
      <c r="S618" s="37" t="s">
        <v>57</v>
      </c>
      <c r="T618" s="101" t="s">
        <v>96</v>
      </c>
      <c r="U618" s="39" t="s">
        <v>3984</v>
      </c>
      <c r="V618" s="115">
        <v>45989</v>
      </c>
      <c r="W618" s="23" t="s">
        <v>301</v>
      </c>
      <c r="X618" s="30"/>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c r="DJ618" s="5"/>
      <c r="DK618" s="5"/>
      <c r="DL618" s="5"/>
      <c r="DM618" s="5"/>
      <c r="DN618" s="5"/>
      <c r="DO618" s="5"/>
      <c r="DP618" s="5"/>
      <c r="DQ618" s="5"/>
      <c r="DR618" s="5"/>
      <c r="DS618" s="5"/>
      <c r="DT618" s="5"/>
      <c r="DU618" s="5"/>
      <c r="DV618" s="5"/>
      <c r="DW618" s="5"/>
      <c r="DX618" s="5"/>
      <c r="DY618" s="5"/>
      <c r="DZ618" s="5"/>
      <c r="EA618" s="5"/>
      <c r="EB618" s="5"/>
      <c r="EC618" s="5"/>
      <c r="ED618" s="5"/>
      <c r="EE618" s="5"/>
    </row>
    <row r="619" spans="1:135" ht="30" customHeight="1" thickBot="1" x14ac:dyDescent="0.3">
      <c r="A619" s="578" t="s">
        <v>2234</v>
      </c>
      <c r="B619" s="8">
        <v>950</v>
      </c>
      <c r="C619" s="72" t="s">
        <v>2232</v>
      </c>
      <c r="D619" s="15" t="s">
        <v>24</v>
      </c>
      <c r="E619" s="11" t="s">
        <v>25</v>
      </c>
      <c r="F619" s="20" t="s">
        <v>2233</v>
      </c>
      <c r="G619" s="15" t="s">
        <v>469</v>
      </c>
      <c r="H619" s="17" t="s">
        <v>1846</v>
      </c>
      <c r="I619" s="54" t="s">
        <v>117</v>
      </c>
      <c r="J619" s="18" t="s">
        <v>170</v>
      </c>
      <c r="K619" s="23" t="s">
        <v>2235</v>
      </c>
      <c r="L619" s="25" t="str">
        <f>"RUTL-"&amp;RIGHT(K619,8)</f>
        <v>RUTL-N0002566</v>
      </c>
      <c r="M619" s="34" t="s">
        <v>40</v>
      </c>
      <c r="N619" s="23" t="s">
        <v>43</v>
      </c>
      <c r="O619" s="23"/>
      <c r="P619" s="35" t="s">
        <v>46</v>
      </c>
      <c r="Q619" s="36" t="s">
        <v>2236</v>
      </c>
      <c r="R619" s="15" t="s">
        <v>56</v>
      </c>
      <c r="S619" s="37" t="s">
        <v>57</v>
      </c>
      <c r="T619" s="101" t="s">
        <v>96</v>
      </c>
      <c r="U619" s="23" t="s">
        <v>2237</v>
      </c>
      <c r="V619" s="115">
        <v>45989</v>
      </c>
      <c r="W619" s="23" t="s">
        <v>301</v>
      </c>
      <c r="X619" s="71"/>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c r="DJ619" s="5"/>
      <c r="DK619" s="5"/>
      <c r="DL619" s="5"/>
      <c r="DM619" s="5"/>
      <c r="DN619" s="5"/>
      <c r="DO619" s="5"/>
      <c r="DP619" s="5"/>
      <c r="DQ619" s="5"/>
      <c r="DR619" s="5"/>
      <c r="DS619" s="5"/>
      <c r="DT619" s="5"/>
      <c r="DU619" s="5"/>
      <c r="DV619" s="5"/>
      <c r="DW619" s="5"/>
      <c r="DX619" s="5"/>
      <c r="DY619" s="5"/>
      <c r="DZ619" s="5"/>
      <c r="EA619" s="5"/>
      <c r="EB619" s="5"/>
      <c r="EC619" s="5"/>
      <c r="ED619" s="5"/>
      <c r="EE619" s="5"/>
    </row>
    <row r="620" spans="1:135" ht="30" customHeight="1" thickBot="1" x14ac:dyDescent="0.3">
      <c r="A620" s="578" t="s">
        <v>4132</v>
      </c>
      <c r="B620" s="8">
        <v>7379</v>
      </c>
      <c r="C620" s="72" t="s">
        <v>4129</v>
      </c>
      <c r="D620" s="10" t="s">
        <v>24</v>
      </c>
      <c r="E620" s="11" t="s">
        <v>25</v>
      </c>
      <c r="F620" s="20" t="s">
        <v>4130</v>
      </c>
      <c r="G620" s="15" t="s">
        <v>469</v>
      </c>
      <c r="H620" s="104" t="s">
        <v>329</v>
      </c>
      <c r="I620" s="54" t="s">
        <v>4131</v>
      </c>
      <c r="J620" s="18" t="s">
        <v>170</v>
      </c>
      <c r="K620" s="33" t="s">
        <v>4133</v>
      </c>
      <c r="L620" s="25" t="str">
        <f>"RUTL-"&amp;RIGHT(K620,8)</f>
        <v>RUTL-N0003088</v>
      </c>
      <c r="M620" s="34" t="s">
        <v>40</v>
      </c>
      <c r="N620" s="32" t="s">
        <v>54</v>
      </c>
      <c r="O620" s="23" t="s">
        <v>661</v>
      </c>
      <c r="P620" s="35" t="s">
        <v>46</v>
      </c>
      <c r="Q620" s="36" t="s">
        <v>4134</v>
      </c>
      <c r="R620" s="15" t="s">
        <v>56</v>
      </c>
      <c r="S620" s="37" t="s">
        <v>180</v>
      </c>
      <c r="T620" s="105" t="s">
        <v>148</v>
      </c>
      <c r="U620" s="23" t="s">
        <v>2644</v>
      </c>
      <c r="V620" s="115">
        <v>45989</v>
      </c>
      <c r="W620" s="23" t="s">
        <v>301</v>
      </c>
      <c r="X620" s="30"/>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c r="DG620" s="5"/>
      <c r="DH620" s="5"/>
      <c r="DI620" s="5"/>
      <c r="DJ620" s="5"/>
      <c r="DK620" s="5"/>
      <c r="DL620" s="5"/>
      <c r="DM620" s="5"/>
      <c r="DN620" s="5"/>
      <c r="DO620" s="5"/>
      <c r="DP620" s="5"/>
      <c r="DQ620" s="5"/>
      <c r="DR620" s="5"/>
      <c r="DS620" s="5"/>
      <c r="DT620" s="5"/>
      <c r="DU620" s="5"/>
      <c r="DV620" s="5"/>
      <c r="DW620" s="5"/>
      <c r="DX620" s="5"/>
      <c r="DY620" s="5"/>
      <c r="DZ620" s="5"/>
      <c r="EA620" s="5"/>
      <c r="EB620" s="5"/>
      <c r="EC620" s="5"/>
      <c r="ED620" s="5"/>
      <c r="EE620" s="5"/>
    </row>
    <row r="621" spans="1:135" ht="30" customHeight="1" thickBot="1" x14ac:dyDescent="0.3">
      <c r="A621" s="578" t="s">
        <v>4451</v>
      </c>
      <c r="B621" s="16">
        <v>8487</v>
      </c>
      <c r="C621" s="52" t="s">
        <v>4447</v>
      </c>
      <c r="D621" s="10" t="s">
        <v>4448</v>
      </c>
      <c r="E621" s="11" t="s">
        <v>25</v>
      </c>
      <c r="F621" s="20" t="s">
        <v>4449</v>
      </c>
      <c r="G621" s="15" t="s">
        <v>4450</v>
      </c>
      <c r="H621" s="53" t="s">
        <v>3096</v>
      </c>
      <c r="I621" s="18" t="s">
        <v>772</v>
      </c>
      <c r="J621" s="18" t="s">
        <v>170</v>
      </c>
      <c r="K621" s="33" t="s">
        <v>4452</v>
      </c>
      <c r="L621" s="25" t="str">
        <f>"RUTL-"&amp;RIGHT(K621,8)</f>
        <v>RUTL-N0002818</v>
      </c>
      <c r="M621" s="34" t="s">
        <v>40</v>
      </c>
      <c r="N621" s="39" t="s">
        <v>87</v>
      </c>
      <c r="O621" s="353"/>
      <c r="P621" s="35" t="s">
        <v>46</v>
      </c>
      <c r="Q621" s="36" t="s">
        <v>4453</v>
      </c>
      <c r="R621" s="15" t="s">
        <v>56</v>
      </c>
      <c r="S621" s="37" t="s">
        <v>57</v>
      </c>
      <c r="T621" s="104" t="s">
        <v>273</v>
      </c>
      <c r="U621" s="23" t="s">
        <v>4454</v>
      </c>
      <c r="V621" s="170">
        <v>45989</v>
      </c>
      <c r="W621" s="23"/>
      <c r="X621" s="71"/>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row>
    <row r="622" spans="1:135" ht="30" customHeight="1" thickBot="1" x14ac:dyDescent="0.3">
      <c r="A622" s="578" t="s">
        <v>3075</v>
      </c>
      <c r="B622" s="8">
        <v>2707</v>
      </c>
      <c r="C622" s="72" t="s">
        <v>3073</v>
      </c>
      <c r="D622" s="10" t="s">
        <v>24</v>
      </c>
      <c r="E622" s="11" t="s">
        <v>25</v>
      </c>
      <c r="F622" s="20" t="s">
        <v>3074</v>
      </c>
      <c r="G622" s="15" t="s">
        <v>469</v>
      </c>
      <c r="H622" s="17" t="s">
        <v>470</v>
      </c>
      <c r="I622" s="18" t="s">
        <v>117</v>
      </c>
      <c r="J622" s="18" t="s">
        <v>170</v>
      </c>
      <c r="K622" s="33" t="s">
        <v>3076</v>
      </c>
      <c r="L622" s="25" t="str">
        <f>"RUTL-"&amp;RIGHT(K622,8)</f>
        <v>RUTL-N0002656</v>
      </c>
      <c r="M622" s="34" t="s">
        <v>40</v>
      </c>
      <c r="N622" s="23" t="s">
        <v>2706</v>
      </c>
      <c r="O622" s="32"/>
      <c r="P622" s="35" t="s">
        <v>46</v>
      </c>
      <c r="Q622" s="36" t="s">
        <v>3077</v>
      </c>
      <c r="R622" s="15" t="s">
        <v>56</v>
      </c>
      <c r="S622" s="37" t="s">
        <v>57</v>
      </c>
      <c r="T622" s="101" t="s">
        <v>96</v>
      </c>
      <c r="U622" s="23" t="s">
        <v>2709</v>
      </c>
      <c r="V622" s="115">
        <v>45989</v>
      </c>
      <c r="W622" s="23" t="s">
        <v>301</v>
      </c>
      <c r="X622" s="30"/>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row>
    <row r="623" spans="1:135" ht="30" customHeight="1" thickBot="1" x14ac:dyDescent="0.3">
      <c r="A623" s="578" t="s">
        <v>2704</v>
      </c>
      <c r="B623" s="8">
        <v>1665</v>
      </c>
      <c r="C623" s="72" t="s">
        <v>2702</v>
      </c>
      <c r="D623" s="15" t="s">
        <v>24</v>
      </c>
      <c r="E623" s="11" t="s">
        <v>25</v>
      </c>
      <c r="F623" s="20" t="s">
        <v>2703</v>
      </c>
      <c r="G623" s="15" t="s">
        <v>369</v>
      </c>
      <c r="H623" s="119" t="s">
        <v>370</v>
      </c>
      <c r="I623" s="18" t="s">
        <v>117</v>
      </c>
      <c r="J623" s="18" t="s">
        <v>170</v>
      </c>
      <c r="K623" s="33" t="s">
        <v>2705</v>
      </c>
      <c r="L623" s="25" t="str">
        <f>"RUTL-"&amp;RIGHT(K623,8)</f>
        <v>RUTL-N0002999</v>
      </c>
      <c r="M623" s="34" t="s">
        <v>40</v>
      </c>
      <c r="N623" s="23" t="s">
        <v>2706</v>
      </c>
      <c r="O623" s="175"/>
      <c r="P623" s="35" t="s">
        <v>46</v>
      </c>
      <c r="Q623" s="36" t="s">
        <v>2707</v>
      </c>
      <c r="R623" s="15" t="s">
        <v>56</v>
      </c>
      <c r="S623" s="37" t="s">
        <v>2708</v>
      </c>
      <c r="T623" s="101" t="s">
        <v>96</v>
      </c>
      <c r="U623" s="23" t="s">
        <v>2709</v>
      </c>
      <c r="V623" s="115">
        <v>45989</v>
      </c>
      <c r="W623" s="23" t="s">
        <v>301</v>
      </c>
      <c r="X623" s="71"/>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c r="DT623" s="5"/>
      <c r="DU623" s="5"/>
      <c r="DV623" s="5"/>
      <c r="DW623" s="5"/>
      <c r="DX623" s="5"/>
      <c r="DY623" s="5"/>
      <c r="DZ623" s="5"/>
      <c r="EA623" s="5"/>
      <c r="EB623" s="5"/>
      <c r="EC623" s="5"/>
      <c r="ED623" s="5"/>
      <c r="EE623" s="5"/>
    </row>
    <row r="624" spans="1:135" ht="30" customHeight="1" x14ac:dyDescent="0.25">
      <c r="A624" s="578" t="s">
        <v>3382</v>
      </c>
      <c r="B624" s="8">
        <v>3679</v>
      </c>
      <c r="C624" s="69" t="s">
        <v>3378</v>
      </c>
      <c r="D624" s="10" t="s">
        <v>24</v>
      </c>
      <c r="E624" s="11" t="s">
        <v>25</v>
      </c>
      <c r="F624" s="29" t="s">
        <v>3379</v>
      </c>
      <c r="G624" s="15" t="s">
        <v>3380</v>
      </c>
      <c r="H624" s="102" t="s">
        <v>2956</v>
      </c>
      <c r="I624" s="205" t="s">
        <v>3381</v>
      </c>
      <c r="J624" s="24" t="s">
        <v>170</v>
      </c>
      <c r="K624" s="33" t="s">
        <v>3383</v>
      </c>
      <c r="L624" s="25" t="str">
        <f>"RUTL-"&amp;RIGHT(K624,8)</f>
        <v>RUTL-N0003045</v>
      </c>
      <c r="M624" s="34" t="s">
        <v>40</v>
      </c>
      <c r="N624" s="32"/>
      <c r="O624" s="32"/>
      <c r="P624" s="90" t="s">
        <v>90</v>
      </c>
      <c r="Q624" s="91" t="s">
        <v>3384</v>
      </c>
      <c r="R624" s="15" t="s">
        <v>235</v>
      </c>
      <c r="S624" s="32"/>
      <c r="T624" s="35" t="s">
        <v>65</v>
      </c>
      <c r="U624" s="39" t="s">
        <v>297</v>
      </c>
      <c r="V624" s="32"/>
      <c r="W624" s="32"/>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c r="DV624" s="5"/>
      <c r="DW624" s="5"/>
      <c r="DX624" s="5"/>
      <c r="DY624" s="5"/>
      <c r="DZ624" s="5"/>
      <c r="EA624" s="5"/>
      <c r="EB624" s="5"/>
      <c r="EC624" s="5"/>
      <c r="ED624" s="5"/>
      <c r="EE624" s="5"/>
    </row>
    <row r="625" spans="1:135" ht="30" customHeight="1" x14ac:dyDescent="0.25">
      <c r="A625" s="578" t="s">
        <v>2577</v>
      </c>
      <c r="B625" s="8">
        <v>1432</v>
      </c>
      <c r="C625" s="72" t="s">
        <v>2571</v>
      </c>
      <c r="D625" s="15" t="s">
        <v>24</v>
      </c>
      <c r="E625" s="11" t="s">
        <v>25</v>
      </c>
      <c r="F625" s="20" t="s">
        <v>2572</v>
      </c>
      <c r="G625" s="15" t="s">
        <v>2573</v>
      </c>
      <c r="H625" s="156" t="s">
        <v>1573</v>
      </c>
      <c r="I625" s="54" t="s">
        <v>2575</v>
      </c>
      <c r="J625" s="18" t="s">
        <v>170</v>
      </c>
      <c r="K625" s="33" t="s">
        <v>2578</v>
      </c>
      <c r="L625" s="25" t="str">
        <f>"RUTL-"&amp;RIGHT(K625,8)</f>
        <v>RUTL-N0002624</v>
      </c>
      <c r="M625" s="34" t="s">
        <v>40</v>
      </c>
      <c r="N625" s="39" t="s">
        <v>87</v>
      </c>
      <c r="O625" s="32"/>
      <c r="P625" s="35" t="s">
        <v>46</v>
      </c>
      <c r="Q625" s="36" t="s">
        <v>2263</v>
      </c>
      <c r="R625" s="15" t="s">
        <v>56</v>
      </c>
      <c r="S625" s="37" t="s">
        <v>57</v>
      </c>
      <c r="T625" s="101" t="s">
        <v>96</v>
      </c>
      <c r="U625" s="39" t="s">
        <v>2264</v>
      </c>
      <c r="V625" s="115">
        <v>45989</v>
      </c>
      <c r="W625" s="23" t="s">
        <v>301</v>
      </c>
      <c r="X625" s="30"/>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c r="DG625" s="5"/>
      <c r="DH625" s="5"/>
      <c r="DI625" s="5"/>
      <c r="DJ625" s="5"/>
      <c r="DK625" s="5"/>
      <c r="DL625" s="5"/>
      <c r="DM625" s="5"/>
      <c r="DN625" s="5"/>
      <c r="DO625" s="5"/>
      <c r="DP625" s="5"/>
      <c r="DQ625" s="5"/>
      <c r="DR625" s="5"/>
      <c r="DS625" s="5"/>
      <c r="DT625" s="5"/>
      <c r="DU625" s="5"/>
      <c r="DV625" s="5"/>
      <c r="DW625" s="5"/>
      <c r="DX625" s="5"/>
      <c r="DY625" s="5"/>
      <c r="DZ625" s="5"/>
      <c r="EA625" s="5"/>
      <c r="EB625" s="5"/>
      <c r="EC625" s="5"/>
      <c r="ED625" s="5"/>
      <c r="EE625" s="5"/>
    </row>
    <row r="626" spans="1:135" ht="30" customHeight="1" x14ac:dyDescent="0.25">
      <c r="A626" s="578" t="s">
        <v>3064</v>
      </c>
      <c r="B626" s="8">
        <v>2681</v>
      </c>
      <c r="C626" s="72" t="s">
        <v>3061</v>
      </c>
      <c r="D626" s="10" t="s">
        <v>24</v>
      </c>
      <c r="E626" s="11" t="s">
        <v>25</v>
      </c>
      <c r="F626" s="20" t="s">
        <v>3062</v>
      </c>
      <c r="G626" s="15" t="s">
        <v>2637</v>
      </c>
      <c r="H626" s="156" t="s">
        <v>1573</v>
      </c>
      <c r="I626" s="54" t="s">
        <v>3063</v>
      </c>
      <c r="J626" s="18" t="s">
        <v>170</v>
      </c>
      <c r="K626" s="33" t="s">
        <v>3065</v>
      </c>
      <c r="L626" s="25" t="str">
        <f>"RUTL-"&amp;RIGHT(K626,8)</f>
        <v>RUTL-N0006442</v>
      </c>
      <c r="M626" s="34" t="s">
        <v>40</v>
      </c>
      <c r="N626" s="39" t="s">
        <v>87</v>
      </c>
      <c r="O626" s="23"/>
      <c r="P626" s="35" t="s">
        <v>46</v>
      </c>
      <c r="Q626" s="36" t="s">
        <v>3066</v>
      </c>
      <c r="R626" s="15" t="s">
        <v>56</v>
      </c>
      <c r="S626" s="37" t="s">
        <v>57</v>
      </c>
      <c r="T626" s="101" t="s">
        <v>96</v>
      </c>
      <c r="U626" s="202" t="s">
        <v>2264</v>
      </c>
      <c r="V626" s="342">
        <v>45989</v>
      </c>
      <c r="W626" s="37" t="s">
        <v>301</v>
      </c>
      <c r="X626" s="30"/>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c r="DG626" s="5"/>
      <c r="DH626" s="5"/>
      <c r="DI626" s="5"/>
      <c r="DJ626" s="5"/>
      <c r="DK626" s="5"/>
      <c r="DL626" s="5"/>
      <c r="DM626" s="5"/>
      <c r="DN626" s="5"/>
      <c r="DO626" s="5"/>
      <c r="DP626" s="5"/>
      <c r="DQ626" s="5"/>
      <c r="DR626" s="5"/>
      <c r="DS626" s="5"/>
      <c r="DT626" s="5"/>
      <c r="DU626" s="5"/>
      <c r="DV626" s="5"/>
      <c r="DW626" s="5"/>
      <c r="DX626" s="5"/>
      <c r="DY626" s="5"/>
      <c r="DZ626" s="5"/>
      <c r="EA626" s="5"/>
      <c r="EB626" s="5"/>
      <c r="EC626" s="5"/>
      <c r="ED626" s="5"/>
      <c r="EE626" s="5"/>
    </row>
    <row r="627" spans="1:135" ht="30" customHeight="1" x14ac:dyDescent="0.25">
      <c r="A627" s="578" t="s">
        <v>2258</v>
      </c>
      <c r="B627" s="8">
        <v>955</v>
      </c>
      <c r="C627" s="72" t="s">
        <v>2253</v>
      </c>
      <c r="D627" s="15" t="s">
        <v>24</v>
      </c>
      <c r="E627" s="11" t="s">
        <v>25</v>
      </c>
      <c r="F627" s="20" t="s">
        <v>2254</v>
      </c>
      <c r="G627" s="15" t="s">
        <v>2255</v>
      </c>
      <c r="H627" s="409" t="s">
        <v>1573</v>
      </c>
      <c r="I627" s="54" t="s">
        <v>2256</v>
      </c>
      <c r="J627" s="18" t="s">
        <v>170</v>
      </c>
      <c r="K627" s="23" t="s">
        <v>2260</v>
      </c>
      <c r="L627" s="25" t="str">
        <f>"RUTL-"&amp;RIGHT(K627,8)</f>
        <v>RUTL-N0002964</v>
      </c>
      <c r="M627" s="34" t="s">
        <v>40</v>
      </c>
      <c r="N627" s="39" t="s">
        <v>87</v>
      </c>
      <c r="O627" s="23"/>
      <c r="P627" s="39" t="s">
        <v>46</v>
      </c>
      <c r="Q627" s="63" t="s">
        <v>2263</v>
      </c>
      <c r="R627" s="15" t="s">
        <v>56</v>
      </c>
      <c r="S627" s="37" t="s">
        <v>57</v>
      </c>
      <c r="T627" s="101" t="s">
        <v>96</v>
      </c>
      <c r="U627" s="23" t="s">
        <v>2264</v>
      </c>
      <c r="V627" s="115">
        <v>45989</v>
      </c>
      <c r="W627" s="23" t="s">
        <v>301</v>
      </c>
      <c r="X627" s="30"/>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c r="DG627" s="5"/>
      <c r="DH627" s="5"/>
      <c r="DI627" s="5"/>
      <c r="DJ627" s="5"/>
      <c r="DK627" s="5"/>
      <c r="DL627" s="5"/>
      <c r="DM627" s="5"/>
      <c r="DN627" s="5"/>
      <c r="DO627" s="5"/>
      <c r="DP627" s="5"/>
      <c r="DQ627" s="5"/>
      <c r="DR627" s="5"/>
      <c r="DS627" s="5"/>
      <c r="DT627" s="5"/>
      <c r="DU627" s="5"/>
      <c r="DV627" s="5"/>
      <c r="DW627" s="5"/>
      <c r="DX627" s="5"/>
      <c r="DY627" s="5"/>
      <c r="DZ627" s="5"/>
      <c r="EA627" s="5"/>
      <c r="EB627" s="5"/>
      <c r="EC627" s="5"/>
      <c r="ED627" s="5"/>
      <c r="EE627" s="5"/>
    </row>
    <row r="628" spans="1:135" ht="30" customHeight="1" x14ac:dyDescent="0.25">
      <c r="A628" s="578" t="s">
        <v>2639</v>
      </c>
      <c r="B628" s="8">
        <v>1571</v>
      </c>
      <c r="C628" s="72" t="s">
        <v>2634</v>
      </c>
      <c r="D628" s="15" t="s">
        <v>24</v>
      </c>
      <c r="E628" s="11" t="s">
        <v>25</v>
      </c>
      <c r="F628" s="20" t="s">
        <v>2636</v>
      </c>
      <c r="G628" s="15" t="s">
        <v>2637</v>
      </c>
      <c r="H628" s="156" t="s">
        <v>1573</v>
      </c>
      <c r="I628" s="54" t="s">
        <v>2638</v>
      </c>
      <c r="J628" s="18" t="s">
        <v>170</v>
      </c>
      <c r="K628" s="33" t="s">
        <v>2640</v>
      </c>
      <c r="L628" s="25" t="str">
        <f>"RUTL-"&amp;RIGHT(K628,8)</f>
        <v>RUTL-N0006463</v>
      </c>
      <c r="M628" s="34" t="s">
        <v>40</v>
      </c>
      <c r="N628" s="39" t="s">
        <v>414</v>
      </c>
      <c r="O628" s="175"/>
      <c r="P628" s="35" t="s">
        <v>46</v>
      </c>
      <c r="Q628" s="36" t="s">
        <v>2642</v>
      </c>
      <c r="R628" s="15" t="s">
        <v>56</v>
      </c>
      <c r="S628" s="37" t="s">
        <v>57</v>
      </c>
      <c r="T628" s="101" t="s">
        <v>96</v>
      </c>
      <c r="U628" s="23" t="s">
        <v>2644</v>
      </c>
      <c r="V628" s="335">
        <v>45989</v>
      </c>
      <c r="W628" s="23" t="s">
        <v>301</v>
      </c>
      <c r="X628" s="30"/>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c r="DG628" s="5"/>
      <c r="DH628" s="5"/>
      <c r="DI628" s="5"/>
      <c r="DJ628" s="5"/>
      <c r="DK628" s="5"/>
      <c r="DL628" s="5"/>
      <c r="DM628" s="5"/>
      <c r="DN628" s="5"/>
      <c r="DO628" s="5"/>
      <c r="DP628" s="5"/>
      <c r="DQ628" s="5"/>
      <c r="DR628" s="5"/>
      <c r="DS628" s="5"/>
      <c r="DT628" s="5"/>
      <c r="DU628" s="5"/>
      <c r="DV628" s="5"/>
      <c r="DW628" s="5"/>
      <c r="DX628" s="5"/>
      <c r="DY628" s="5"/>
      <c r="DZ628" s="5"/>
      <c r="EA628" s="5"/>
      <c r="EB628" s="5"/>
      <c r="EC628" s="5"/>
      <c r="ED628" s="5"/>
      <c r="EE628" s="5"/>
    </row>
    <row r="629" spans="1:135" ht="30" customHeight="1" thickBot="1" x14ac:dyDescent="0.3">
      <c r="A629" s="578" t="s">
        <v>3809</v>
      </c>
      <c r="B629" s="8">
        <v>5875</v>
      </c>
      <c r="C629" s="72" t="s">
        <v>3806</v>
      </c>
      <c r="D629" s="10" t="s">
        <v>24</v>
      </c>
      <c r="E629" s="11" t="s">
        <v>25</v>
      </c>
      <c r="F629" s="20" t="s">
        <v>3807</v>
      </c>
      <c r="G629" s="15" t="s">
        <v>3219</v>
      </c>
      <c r="H629" s="156" t="s">
        <v>1573</v>
      </c>
      <c r="I629" s="54" t="s">
        <v>3808</v>
      </c>
      <c r="J629" s="18" t="s">
        <v>170</v>
      </c>
      <c r="K629" s="33" t="s">
        <v>3810</v>
      </c>
      <c r="L629" s="25" t="str">
        <f>"RUTL-"&amp;RIGHT(K629,8)</f>
        <v>RUTL-N0002718</v>
      </c>
      <c r="M629" s="34" t="s">
        <v>40</v>
      </c>
      <c r="N629" s="23" t="s">
        <v>87</v>
      </c>
      <c r="O629" s="175"/>
      <c r="P629" s="35" t="s">
        <v>46</v>
      </c>
      <c r="Q629" s="36" t="s">
        <v>3811</v>
      </c>
      <c r="R629" s="15" t="s">
        <v>56</v>
      </c>
      <c r="S629" s="37" t="s">
        <v>57</v>
      </c>
      <c r="T629" s="101" t="s">
        <v>96</v>
      </c>
      <c r="U629" s="23" t="s">
        <v>2644</v>
      </c>
      <c r="V629" s="115">
        <v>45989</v>
      </c>
      <c r="W629" s="23" t="s">
        <v>301</v>
      </c>
      <c r="X629" s="30"/>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c r="DG629" s="5"/>
      <c r="DH629" s="5"/>
      <c r="DI629" s="5"/>
      <c r="DJ629" s="5"/>
      <c r="DK629" s="5"/>
      <c r="DL629" s="5"/>
      <c r="DM629" s="5"/>
      <c r="DN629" s="5"/>
      <c r="DO629" s="5"/>
      <c r="DP629" s="5"/>
      <c r="DQ629" s="5"/>
      <c r="DR629" s="5"/>
      <c r="DS629" s="5"/>
      <c r="DT629" s="5"/>
      <c r="DU629" s="5"/>
      <c r="DV629" s="5"/>
      <c r="DW629" s="5"/>
      <c r="DX629" s="5"/>
      <c r="DY629" s="5"/>
      <c r="DZ629" s="5"/>
      <c r="EA629" s="5"/>
      <c r="EB629" s="5"/>
      <c r="EC629" s="5"/>
      <c r="ED629" s="5"/>
      <c r="EE629" s="5"/>
    </row>
    <row r="630" spans="1:135" ht="30" customHeight="1" thickBot="1" x14ac:dyDescent="0.3">
      <c r="A630" s="578" t="s">
        <v>6563</v>
      </c>
      <c r="B630" s="16">
        <v>16161</v>
      </c>
      <c r="C630" s="9" t="s">
        <v>6561</v>
      </c>
      <c r="D630" s="10" t="s">
        <v>24</v>
      </c>
      <c r="E630" s="11" t="s">
        <v>25</v>
      </c>
      <c r="F630" s="12" t="s">
        <v>6562</v>
      </c>
      <c r="G630" s="15" t="s">
        <v>1566</v>
      </c>
      <c r="H630" s="156" t="s">
        <v>5057</v>
      </c>
      <c r="I630" s="18" t="s">
        <v>117</v>
      </c>
      <c r="J630" s="24" t="s">
        <v>170</v>
      </c>
      <c r="K630" s="23" t="s">
        <v>6564</v>
      </c>
      <c r="L630" s="25" t="str">
        <f>"RUTL-"&amp;RIGHT(K630,8)</f>
        <v>RUTL-N0008433</v>
      </c>
      <c r="M630" s="34" t="s">
        <v>40</v>
      </c>
      <c r="N630" s="23" t="s">
        <v>87</v>
      </c>
      <c r="O630" s="23"/>
      <c r="P630" s="35" t="s">
        <v>46</v>
      </c>
      <c r="Q630" s="36" t="s">
        <v>6565</v>
      </c>
      <c r="R630" s="15" t="s">
        <v>56</v>
      </c>
      <c r="S630" s="37" t="s">
        <v>57</v>
      </c>
      <c r="T630" s="105" t="s">
        <v>148</v>
      </c>
      <c r="U630" s="39" t="s">
        <v>4904</v>
      </c>
      <c r="V630" s="82">
        <v>45989</v>
      </c>
      <c r="W630" s="23" t="s">
        <v>184</v>
      </c>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row>
    <row r="631" spans="1:135" ht="30" customHeight="1" thickBot="1" x14ac:dyDescent="0.3">
      <c r="A631" s="578" t="s">
        <v>6719</v>
      </c>
      <c r="B631" s="51">
        <v>16546</v>
      </c>
      <c r="C631" s="52" t="s">
        <v>6715</v>
      </c>
      <c r="D631" s="10" t="s">
        <v>24</v>
      </c>
      <c r="E631" s="28" t="s">
        <v>25</v>
      </c>
      <c r="F631" s="12" t="s">
        <v>6716</v>
      </c>
      <c r="G631" s="15" t="s">
        <v>2506</v>
      </c>
      <c r="H631" s="156" t="s">
        <v>6717</v>
      </c>
      <c r="I631" s="18" t="s">
        <v>6718</v>
      </c>
      <c r="J631" s="18" t="s">
        <v>170</v>
      </c>
      <c r="K631" s="33" t="s">
        <v>6720</v>
      </c>
      <c r="L631" s="25" t="str">
        <f>"RUTL-"&amp;RIGHT(K631,8)</f>
        <v>RUTL-N0002549</v>
      </c>
      <c r="M631" s="34" t="s">
        <v>40</v>
      </c>
      <c r="N631" s="366" t="s">
        <v>87</v>
      </c>
      <c r="O631" s="303"/>
      <c r="P631" s="45" t="s">
        <v>46</v>
      </c>
      <c r="Q631" s="45" t="s">
        <v>6721</v>
      </c>
      <c r="R631" s="15" t="s">
        <v>56</v>
      </c>
      <c r="S631" s="40" t="s">
        <v>57</v>
      </c>
      <c r="T631" s="350" t="s">
        <v>96</v>
      </c>
      <c r="U631" s="57"/>
      <c r="V631" s="44">
        <v>45987</v>
      </c>
      <c r="W631" s="32" t="s">
        <v>184</v>
      </c>
      <c r="X631" s="71"/>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row>
    <row r="632" spans="1:135" ht="30" customHeight="1" x14ac:dyDescent="0.25">
      <c r="A632" s="578" t="s">
        <v>2808</v>
      </c>
      <c r="B632" s="51">
        <v>1736</v>
      </c>
      <c r="C632" s="72" t="s">
        <v>2802</v>
      </c>
      <c r="D632" s="15" t="s">
        <v>24</v>
      </c>
      <c r="E632" s="11" t="s">
        <v>25</v>
      </c>
      <c r="F632" s="20" t="s">
        <v>2804</v>
      </c>
      <c r="G632" s="15" t="s">
        <v>2637</v>
      </c>
      <c r="H632" s="156" t="s">
        <v>1573</v>
      </c>
      <c r="I632" s="18" t="s">
        <v>2805</v>
      </c>
      <c r="J632" s="18" t="s">
        <v>170</v>
      </c>
      <c r="K632" s="33" t="s">
        <v>2809</v>
      </c>
      <c r="L632" s="25" t="str">
        <f>"RUTL-"&amp;RIGHT(K632,8)</f>
        <v>RUTL-N0002814</v>
      </c>
      <c r="M632" s="34" t="s">
        <v>40</v>
      </c>
      <c r="N632" s="39" t="s">
        <v>87</v>
      </c>
      <c r="O632" s="175"/>
      <c r="P632" s="35" t="s">
        <v>46</v>
      </c>
      <c r="Q632" s="36" t="s">
        <v>2812</v>
      </c>
      <c r="R632" s="15" t="s">
        <v>56</v>
      </c>
      <c r="S632" s="23"/>
      <c r="T632" s="101" t="s">
        <v>96</v>
      </c>
      <c r="U632" s="23" t="s">
        <v>2644</v>
      </c>
      <c r="V632" s="115">
        <v>45989</v>
      </c>
      <c r="W632" s="23" t="s">
        <v>301</v>
      </c>
      <c r="X632" s="30"/>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c r="DG632" s="5"/>
      <c r="DH632" s="5"/>
      <c r="DI632" s="5"/>
      <c r="DJ632" s="5"/>
      <c r="DK632" s="5"/>
      <c r="DL632" s="5"/>
      <c r="DM632" s="5"/>
      <c r="DN632" s="5"/>
      <c r="DO632" s="5"/>
      <c r="DP632" s="5"/>
      <c r="DQ632" s="5"/>
      <c r="DR632" s="5"/>
      <c r="DS632" s="5"/>
      <c r="DT632" s="5"/>
      <c r="DU632" s="5"/>
      <c r="DV632" s="5"/>
      <c r="DW632" s="5"/>
      <c r="DX632" s="5"/>
      <c r="DY632" s="5"/>
      <c r="DZ632" s="5"/>
      <c r="EA632" s="5"/>
      <c r="EB632" s="5"/>
      <c r="EC632" s="5"/>
      <c r="ED632" s="5"/>
      <c r="EE632" s="5"/>
    </row>
    <row r="633" spans="1:135" ht="30" customHeight="1" x14ac:dyDescent="0.25">
      <c r="A633" s="578" t="s">
        <v>3491</v>
      </c>
      <c r="B633" s="8">
        <v>4113</v>
      </c>
      <c r="C633" s="72" t="s">
        <v>3488</v>
      </c>
      <c r="D633" s="15" t="s">
        <v>24</v>
      </c>
      <c r="E633" s="11" t="s">
        <v>25</v>
      </c>
      <c r="F633" s="20" t="s">
        <v>3489</v>
      </c>
      <c r="G633" s="15" t="s">
        <v>1571</v>
      </c>
      <c r="H633" s="156" t="s">
        <v>1573</v>
      </c>
      <c r="I633" s="18" t="s">
        <v>3490</v>
      </c>
      <c r="J633" s="18" t="s">
        <v>170</v>
      </c>
      <c r="K633" s="33" t="s">
        <v>3492</v>
      </c>
      <c r="L633" s="25" t="str">
        <f>"RUTL-"&amp;RIGHT(K633,8)</f>
        <v>RUTL-N0008365</v>
      </c>
      <c r="M633" s="34" t="s">
        <v>40</v>
      </c>
      <c r="N633" s="39" t="s">
        <v>414</v>
      </c>
      <c r="O633" s="23"/>
      <c r="P633" s="35" t="s">
        <v>46</v>
      </c>
      <c r="Q633" s="36" t="s">
        <v>3493</v>
      </c>
      <c r="R633" s="15" t="s">
        <v>56</v>
      </c>
      <c r="S633" s="37" t="s">
        <v>57</v>
      </c>
      <c r="T633" s="101" t="s">
        <v>96</v>
      </c>
      <c r="U633" s="39" t="s">
        <v>3163</v>
      </c>
      <c r="V633" s="115">
        <v>45989</v>
      </c>
      <c r="W633" s="23" t="s">
        <v>301</v>
      </c>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c r="DJ633" s="5"/>
      <c r="DK633" s="5"/>
      <c r="DL633" s="5"/>
      <c r="DM633" s="5"/>
      <c r="DN633" s="5"/>
      <c r="DO633" s="5"/>
      <c r="DP633" s="5"/>
      <c r="DQ633" s="5"/>
      <c r="DR633" s="5"/>
      <c r="DS633" s="5"/>
      <c r="DT633" s="5"/>
      <c r="DU633" s="5"/>
      <c r="DV633" s="5"/>
      <c r="DW633" s="5"/>
      <c r="DX633" s="5"/>
      <c r="DY633" s="5"/>
      <c r="DZ633" s="5"/>
      <c r="EA633" s="5"/>
      <c r="EB633" s="5"/>
      <c r="EC633" s="5"/>
      <c r="ED633" s="5"/>
      <c r="EE633" s="5"/>
    </row>
    <row r="634" spans="1:135" ht="30" customHeight="1" x14ac:dyDescent="0.25">
      <c r="A634" s="578" t="s">
        <v>3864</v>
      </c>
      <c r="B634" s="8">
        <v>6194</v>
      </c>
      <c r="C634" s="52" t="s">
        <v>3861</v>
      </c>
      <c r="D634" s="10" t="s">
        <v>24</v>
      </c>
      <c r="E634" s="11" t="s">
        <v>25</v>
      </c>
      <c r="F634" s="12" t="s">
        <v>3862</v>
      </c>
      <c r="G634" s="15" t="s">
        <v>3863</v>
      </c>
      <c r="H634" s="119" t="s">
        <v>1071</v>
      </c>
      <c r="I634" s="18" t="s">
        <v>135</v>
      </c>
      <c r="J634" s="18" t="s">
        <v>170</v>
      </c>
      <c r="K634" s="33" t="s">
        <v>3865</v>
      </c>
      <c r="L634" s="25" t="str">
        <f>"RUTL-"&amp;RIGHT(K634,8)</f>
        <v>RUTL-N0008338</v>
      </c>
      <c r="M634" s="34" t="s">
        <v>40</v>
      </c>
      <c r="N634" s="39" t="s">
        <v>414</v>
      </c>
      <c r="O634" s="32"/>
      <c r="P634" s="39" t="s">
        <v>46</v>
      </c>
      <c r="Q634" s="63" t="s">
        <v>3866</v>
      </c>
      <c r="R634" s="15" t="s">
        <v>56</v>
      </c>
      <c r="S634" s="37" t="s">
        <v>2708</v>
      </c>
      <c r="T634" s="107" t="s">
        <v>453</v>
      </c>
      <c r="U634" s="39" t="s">
        <v>1575</v>
      </c>
      <c r="V634" s="115">
        <v>45990</v>
      </c>
      <c r="W634" s="32"/>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row>
    <row r="635" spans="1:135" ht="30" customHeight="1" x14ac:dyDescent="0.25">
      <c r="A635" s="578" t="s">
        <v>1197</v>
      </c>
      <c r="B635" s="8">
        <v>14866</v>
      </c>
      <c r="C635" s="52" t="s">
        <v>1189</v>
      </c>
      <c r="D635" s="10" t="s">
        <v>24</v>
      </c>
      <c r="E635" s="28" t="s">
        <v>25</v>
      </c>
      <c r="F635" s="20" t="s">
        <v>1193</v>
      </c>
      <c r="G635" s="15" t="s">
        <v>1195</v>
      </c>
      <c r="H635" s="102" t="s">
        <v>97</v>
      </c>
      <c r="I635" s="18" t="s">
        <v>117</v>
      </c>
      <c r="J635" s="18" t="s">
        <v>170</v>
      </c>
      <c r="K635" s="33" t="s">
        <v>1198</v>
      </c>
      <c r="L635" s="21" t="str">
        <f>"RUTL-"&amp;RIGHT(K635,8)</f>
        <v>RUTL-N0002819</v>
      </c>
      <c r="M635" s="34" t="s">
        <v>40</v>
      </c>
      <c r="N635" s="39" t="s">
        <v>414</v>
      </c>
      <c r="O635" s="23"/>
      <c r="P635" s="35" t="s">
        <v>46</v>
      </c>
      <c r="Q635" s="36" t="s">
        <v>1200</v>
      </c>
      <c r="R635" s="15" t="s">
        <v>56</v>
      </c>
      <c r="S635" s="37" t="s">
        <v>57</v>
      </c>
      <c r="T635" s="23" t="s">
        <v>96</v>
      </c>
      <c r="U635" s="47" t="s">
        <v>1201</v>
      </c>
      <c r="V635" s="115">
        <v>45989</v>
      </c>
      <c r="W635" s="23" t="s">
        <v>301</v>
      </c>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c r="DG635" s="5"/>
      <c r="DH635" s="5"/>
      <c r="DI635" s="5"/>
      <c r="DJ635" s="5"/>
      <c r="DK635" s="5"/>
      <c r="DL635" s="5"/>
      <c r="DM635" s="5"/>
      <c r="DN635" s="5"/>
      <c r="DO635" s="5"/>
      <c r="DP635" s="5"/>
      <c r="DQ635" s="5"/>
      <c r="DR635" s="5"/>
      <c r="DS635" s="5"/>
      <c r="DT635" s="5"/>
      <c r="DU635" s="5"/>
      <c r="DV635" s="5"/>
      <c r="DW635" s="5"/>
      <c r="DX635" s="5"/>
      <c r="DY635" s="5"/>
      <c r="DZ635" s="5"/>
      <c r="EA635" s="5"/>
      <c r="EB635" s="5"/>
      <c r="EC635" s="5"/>
      <c r="ED635" s="5"/>
      <c r="EE635" s="5"/>
    </row>
    <row r="636" spans="1:135" ht="30" customHeight="1" thickBot="1" x14ac:dyDescent="0.3">
      <c r="A636" s="578" t="s">
        <v>200</v>
      </c>
      <c r="B636" s="8">
        <v>59</v>
      </c>
      <c r="C636" s="9" t="s">
        <v>192</v>
      </c>
      <c r="D636" s="10" t="s">
        <v>24</v>
      </c>
      <c r="E636" s="11" t="s">
        <v>25</v>
      </c>
      <c r="F636" s="471" t="s">
        <v>196</v>
      </c>
      <c r="G636" s="59" t="s">
        <v>109</v>
      </c>
      <c r="H636" s="97" t="s">
        <v>166</v>
      </c>
      <c r="I636" s="296" t="s">
        <v>198</v>
      </c>
      <c r="J636" s="24" t="s">
        <v>170</v>
      </c>
      <c r="K636" s="23" t="s">
        <v>203</v>
      </c>
      <c r="L636" s="25" t="str">
        <f>"RUTL-"&amp;RIGHT(K636,8)</f>
        <v>RUTL-N0008357</v>
      </c>
      <c r="M636" s="34" t="s">
        <v>40</v>
      </c>
      <c r="N636" s="90" t="s">
        <v>204</v>
      </c>
      <c r="O636" s="90" t="s">
        <v>205</v>
      </c>
      <c r="P636" s="35" t="s">
        <v>46</v>
      </c>
      <c r="Q636" s="392" t="s">
        <v>206</v>
      </c>
      <c r="R636" s="15" t="s">
        <v>56</v>
      </c>
      <c r="S636" s="37" t="s">
        <v>57</v>
      </c>
      <c r="T636" s="39" t="s">
        <v>148</v>
      </c>
      <c r="U636" s="32" t="s">
        <v>207</v>
      </c>
      <c r="V636" s="48">
        <v>45989</v>
      </c>
      <c r="W636" s="32" t="s">
        <v>184</v>
      </c>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c r="BO636" s="30"/>
      <c r="BP636" s="30"/>
      <c r="BQ636" s="30"/>
      <c r="BR636" s="30"/>
      <c r="BS636" s="30"/>
      <c r="BT636" s="30"/>
      <c r="BU636" s="30"/>
      <c r="BV636" s="30"/>
      <c r="BW636" s="30"/>
      <c r="BX636" s="30"/>
      <c r="BY636" s="30"/>
      <c r="BZ636" s="30"/>
      <c r="CA636" s="30"/>
      <c r="CB636" s="30"/>
      <c r="CC636" s="30"/>
      <c r="CD636" s="30"/>
      <c r="CE636" s="30"/>
      <c r="CF636" s="30"/>
      <c r="CG636" s="30"/>
      <c r="CH636" s="30"/>
      <c r="CI636" s="30"/>
      <c r="CJ636" s="30"/>
      <c r="CK636" s="30"/>
      <c r="CL636" s="30"/>
      <c r="CM636" s="30"/>
      <c r="CN636" s="30"/>
      <c r="CO636" s="30"/>
      <c r="CP636" s="30"/>
      <c r="CQ636" s="30"/>
      <c r="CR636" s="30"/>
      <c r="CS636" s="30"/>
      <c r="CT636" s="30"/>
      <c r="CU636" s="30"/>
      <c r="CV636" s="30"/>
      <c r="CW636" s="30"/>
      <c r="CX636" s="30"/>
      <c r="CY636" s="30"/>
      <c r="CZ636" s="30"/>
      <c r="DA636" s="30"/>
      <c r="DB636" s="30"/>
      <c r="DC636" s="30"/>
      <c r="DD636" s="30"/>
      <c r="DE636" s="30"/>
      <c r="DF636" s="30"/>
      <c r="DG636" s="30"/>
      <c r="DH636" s="30"/>
      <c r="DI636" s="30"/>
      <c r="DJ636" s="30"/>
      <c r="DK636" s="30"/>
      <c r="DL636" s="30"/>
      <c r="DM636" s="30"/>
      <c r="DN636" s="30"/>
      <c r="DO636" s="30"/>
      <c r="DP636" s="30"/>
      <c r="DQ636" s="30"/>
      <c r="DR636" s="30"/>
      <c r="DS636" s="30"/>
      <c r="DT636" s="30"/>
      <c r="DU636" s="30"/>
      <c r="DV636" s="30"/>
      <c r="DW636" s="30"/>
      <c r="DX636" s="30"/>
      <c r="DY636" s="30"/>
      <c r="DZ636" s="30"/>
      <c r="EA636" s="30"/>
      <c r="EB636" s="30"/>
      <c r="EC636" s="30"/>
      <c r="ED636" s="30"/>
      <c r="EE636" s="30"/>
    </row>
    <row r="637" spans="1:135" ht="30" customHeight="1" thickBot="1" x14ac:dyDescent="0.3">
      <c r="A637" s="578" t="s">
        <v>3567</v>
      </c>
      <c r="B637" s="8">
        <v>4417</v>
      </c>
      <c r="C637" s="52" t="s">
        <v>3564</v>
      </c>
      <c r="D637" s="15" t="s">
        <v>24</v>
      </c>
      <c r="E637" s="11" t="s">
        <v>25</v>
      </c>
      <c r="F637" s="20" t="s">
        <v>3565</v>
      </c>
      <c r="G637" s="15" t="s">
        <v>109</v>
      </c>
      <c r="H637" s="18" t="s">
        <v>3566</v>
      </c>
      <c r="I637" s="54" t="s">
        <v>117</v>
      </c>
      <c r="J637" s="18" t="s">
        <v>170</v>
      </c>
      <c r="K637" s="33" t="s">
        <v>3568</v>
      </c>
      <c r="L637" s="25" t="str">
        <f>"RUTL-"&amp;RIGHT(K637,8)</f>
        <v>RUTL-N0008331</v>
      </c>
      <c r="M637" s="34" t="s">
        <v>40</v>
      </c>
      <c r="N637" s="39" t="s">
        <v>414</v>
      </c>
      <c r="O637" s="32"/>
      <c r="P637" s="35" t="s">
        <v>46</v>
      </c>
      <c r="Q637" s="36" t="s">
        <v>3569</v>
      </c>
      <c r="R637" s="15" t="s">
        <v>56</v>
      </c>
      <c r="S637" s="37" t="s">
        <v>57</v>
      </c>
      <c r="T637" s="101" t="s">
        <v>96</v>
      </c>
      <c r="U637" s="23" t="s">
        <v>2709</v>
      </c>
      <c r="V637" s="115">
        <v>45989</v>
      </c>
      <c r="W637" s="23" t="s">
        <v>301</v>
      </c>
      <c r="X637" s="71"/>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c r="DJ637" s="5"/>
      <c r="DK637" s="5"/>
      <c r="DL637" s="5"/>
      <c r="DM637" s="5"/>
      <c r="DN637" s="5"/>
      <c r="DO637" s="5"/>
      <c r="DP637" s="5"/>
      <c r="DQ637" s="5"/>
      <c r="DR637" s="5"/>
      <c r="DS637" s="5"/>
      <c r="DT637" s="5"/>
      <c r="DU637" s="5"/>
      <c r="DV637" s="5"/>
      <c r="DW637" s="5"/>
      <c r="DX637" s="5"/>
      <c r="DY637" s="5"/>
      <c r="DZ637" s="5"/>
      <c r="EA637" s="5"/>
      <c r="EB637" s="5"/>
      <c r="EC637" s="5"/>
      <c r="ED637" s="5"/>
      <c r="EE637" s="5"/>
    </row>
    <row r="638" spans="1:135" ht="30" customHeight="1" x14ac:dyDescent="0.25">
      <c r="A638" s="578" t="s">
        <v>4986</v>
      </c>
      <c r="B638" s="8">
        <v>11225</v>
      </c>
      <c r="C638" s="72" t="s">
        <v>4983</v>
      </c>
      <c r="D638" s="10" t="s">
        <v>24</v>
      </c>
      <c r="E638" s="10" t="s">
        <v>25</v>
      </c>
      <c r="F638" s="20" t="s">
        <v>4984</v>
      </c>
      <c r="G638" s="15" t="s">
        <v>224</v>
      </c>
      <c r="H638" s="104" t="s">
        <v>349</v>
      </c>
      <c r="I638" s="18" t="s">
        <v>4985</v>
      </c>
      <c r="J638" s="18" t="s">
        <v>170</v>
      </c>
      <c r="K638" s="23" t="s">
        <v>4987</v>
      </c>
      <c r="L638" s="25" t="str">
        <f>"RUTL-"&amp;RIGHT(K638,8)</f>
        <v>RUTL-N0008354</v>
      </c>
      <c r="M638" s="34" t="s">
        <v>40</v>
      </c>
      <c r="N638" s="39" t="s">
        <v>414</v>
      </c>
      <c r="O638" s="32"/>
      <c r="P638" s="35" t="s">
        <v>46</v>
      </c>
      <c r="Q638" s="36" t="s">
        <v>4988</v>
      </c>
      <c r="R638" s="15" t="s">
        <v>56</v>
      </c>
      <c r="S638" s="37" t="s">
        <v>57</v>
      </c>
      <c r="T638" s="101" t="s">
        <v>96</v>
      </c>
      <c r="U638" s="23" t="s">
        <v>2709</v>
      </c>
      <c r="V638" s="115">
        <v>45989</v>
      </c>
      <c r="W638" s="23" t="s">
        <v>301</v>
      </c>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c r="DG638" s="5"/>
      <c r="DH638" s="5"/>
      <c r="DI638" s="5"/>
      <c r="DJ638" s="5"/>
      <c r="DK638" s="5"/>
      <c r="DL638" s="5"/>
      <c r="DM638" s="5"/>
      <c r="DN638" s="5"/>
      <c r="DO638" s="5"/>
      <c r="DP638" s="5"/>
      <c r="DQ638" s="5"/>
      <c r="DR638" s="5"/>
      <c r="DS638" s="5"/>
      <c r="DT638" s="5"/>
      <c r="DU638" s="5"/>
      <c r="DV638" s="5"/>
      <c r="DW638" s="5"/>
      <c r="DX638" s="5"/>
      <c r="DY638" s="5"/>
      <c r="DZ638" s="5"/>
      <c r="EA638" s="5"/>
      <c r="EB638" s="5"/>
      <c r="EC638" s="5"/>
      <c r="ED638" s="5"/>
      <c r="EE638" s="5"/>
    </row>
    <row r="639" spans="1:135" ht="30" customHeight="1" thickBot="1" x14ac:dyDescent="0.3">
      <c r="A639" s="578" t="s">
        <v>5729</v>
      </c>
      <c r="B639" s="8">
        <v>13613</v>
      </c>
      <c r="C639" s="72" t="s">
        <v>5727</v>
      </c>
      <c r="D639" s="10" t="s">
        <v>24</v>
      </c>
      <c r="E639" s="11" t="s">
        <v>25</v>
      </c>
      <c r="F639" s="20" t="s">
        <v>5728</v>
      </c>
      <c r="G639" s="15" t="s">
        <v>469</v>
      </c>
      <c r="H639" s="104" t="s">
        <v>4678</v>
      </c>
      <c r="I639" s="54" t="s">
        <v>117</v>
      </c>
      <c r="J639" s="18" t="s">
        <v>170</v>
      </c>
      <c r="K639" s="23" t="s">
        <v>5730</v>
      </c>
      <c r="L639" s="25" t="str">
        <f>"RUTL-"&amp;RIGHT(K639,8)</f>
        <v>RUTL-N0008358</v>
      </c>
      <c r="M639" s="34" t="s">
        <v>40</v>
      </c>
      <c r="N639" s="39" t="s">
        <v>414</v>
      </c>
      <c r="O639" s="39" t="s">
        <v>5731</v>
      </c>
      <c r="P639" s="35" t="s">
        <v>46</v>
      </c>
      <c r="Q639" s="36" t="s">
        <v>5731</v>
      </c>
      <c r="R639" s="15" t="s">
        <v>56</v>
      </c>
      <c r="S639" s="37" t="s">
        <v>57</v>
      </c>
      <c r="T639" s="23" t="s">
        <v>96</v>
      </c>
      <c r="U639" s="39" t="s">
        <v>3787</v>
      </c>
      <c r="V639" s="115">
        <v>45989</v>
      </c>
      <c r="W639" s="23" t="s">
        <v>301</v>
      </c>
      <c r="X639" s="30"/>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row>
    <row r="640" spans="1:135" ht="30" customHeight="1" thickBot="1" x14ac:dyDescent="0.3">
      <c r="A640" s="578" t="s">
        <v>1883</v>
      </c>
      <c r="B640" s="8">
        <v>757</v>
      </c>
      <c r="C640" s="52" t="s">
        <v>1880</v>
      </c>
      <c r="D640" s="10" t="s">
        <v>24</v>
      </c>
      <c r="E640" s="11" t="s">
        <v>25</v>
      </c>
      <c r="F640" s="20" t="s">
        <v>1881</v>
      </c>
      <c r="G640" s="15" t="s">
        <v>224</v>
      </c>
      <c r="H640" s="147" t="s">
        <v>1882</v>
      </c>
      <c r="I640" s="18" t="s">
        <v>135</v>
      </c>
      <c r="J640" s="18" t="s">
        <v>170</v>
      </c>
      <c r="K640" s="23" t="s">
        <v>1884</v>
      </c>
      <c r="L640" s="25" t="str">
        <f>"RUTL-"&amp;RIGHT(K640,8)</f>
        <v>RUTL-N0008389</v>
      </c>
      <c r="M640" s="34" t="s">
        <v>40</v>
      </c>
      <c r="N640" s="39" t="s">
        <v>204</v>
      </c>
      <c r="O640" s="39" t="s">
        <v>1885</v>
      </c>
      <c r="P640" s="35" t="s">
        <v>46</v>
      </c>
      <c r="Q640" s="36" t="s">
        <v>1886</v>
      </c>
      <c r="R640" s="15" t="s">
        <v>56</v>
      </c>
      <c r="S640" s="37" t="s">
        <v>57</v>
      </c>
      <c r="T640" s="105" t="s">
        <v>148</v>
      </c>
      <c r="U640" s="23" t="s">
        <v>1887</v>
      </c>
      <c r="V640" s="115">
        <v>45989</v>
      </c>
      <c r="W640" s="23" t="s">
        <v>301</v>
      </c>
      <c r="X640" s="71"/>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row>
    <row r="641" spans="1:135" ht="30" customHeight="1" x14ac:dyDescent="0.25">
      <c r="A641" s="578" t="s">
        <v>3170</v>
      </c>
      <c r="B641" s="8">
        <v>2986</v>
      </c>
      <c r="C641" s="72" t="s">
        <v>3167</v>
      </c>
      <c r="D641" s="10" t="s">
        <v>24</v>
      </c>
      <c r="E641" s="11" t="s">
        <v>25</v>
      </c>
      <c r="F641" s="20" t="s">
        <v>3168</v>
      </c>
      <c r="G641" s="15" t="s">
        <v>2255</v>
      </c>
      <c r="H641" s="156" t="s">
        <v>1573</v>
      </c>
      <c r="I641" s="54" t="s">
        <v>3169</v>
      </c>
      <c r="J641" s="18" t="s">
        <v>170</v>
      </c>
      <c r="K641" s="33" t="s">
        <v>3171</v>
      </c>
      <c r="L641" s="25" t="str">
        <f>"RUTL-"&amp;RIGHT(K641,8)</f>
        <v>RUTL-N0002589</v>
      </c>
      <c r="M641" s="34" t="s">
        <v>40</v>
      </c>
      <c r="N641" s="39" t="s">
        <v>87</v>
      </c>
      <c r="O641" s="23"/>
      <c r="P641" s="35" t="s">
        <v>46</v>
      </c>
      <c r="Q641" s="35" t="s">
        <v>3172</v>
      </c>
      <c r="R641" s="15" t="s">
        <v>56</v>
      </c>
      <c r="S641" s="40" t="s">
        <v>57</v>
      </c>
      <c r="T641" s="107" t="s">
        <v>453</v>
      </c>
      <c r="U641" s="39" t="s">
        <v>843</v>
      </c>
      <c r="V641" s="115">
        <v>45989</v>
      </c>
      <c r="W641" s="23" t="s">
        <v>301</v>
      </c>
      <c r="X641" s="30"/>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c r="DG641" s="5"/>
      <c r="DH641" s="5"/>
      <c r="DI641" s="5"/>
      <c r="DJ641" s="5"/>
      <c r="DK641" s="5"/>
      <c r="DL641" s="5"/>
      <c r="DM641" s="5"/>
      <c r="DN641" s="5"/>
      <c r="DO641" s="5"/>
      <c r="DP641" s="5"/>
      <c r="DQ641" s="5"/>
      <c r="DR641" s="5"/>
      <c r="DS641" s="5"/>
      <c r="DT641" s="5"/>
      <c r="DU641" s="5"/>
      <c r="DV641" s="5"/>
      <c r="DW641" s="5"/>
      <c r="DX641" s="5"/>
      <c r="DY641" s="5"/>
      <c r="DZ641" s="5"/>
      <c r="EA641" s="5"/>
      <c r="EB641" s="5"/>
      <c r="EC641" s="5"/>
      <c r="ED641" s="5"/>
      <c r="EE641" s="5"/>
    </row>
    <row r="642" spans="1:135" ht="30" customHeight="1" x14ac:dyDescent="0.25">
      <c r="A642" s="578" t="s">
        <v>3088</v>
      </c>
      <c r="B642" s="8">
        <v>2760</v>
      </c>
      <c r="C642" s="72" t="s">
        <v>3085</v>
      </c>
      <c r="D642" s="10" t="s">
        <v>24</v>
      </c>
      <c r="E642" s="11" t="s">
        <v>25</v>
      </c>
      <c r="F642" s="20" t="s">
        <v>3086</v>
      </c>
      <c r="G642" s="15" t="s">
        <v>448</v>
      </c>
      <c r="H642" s="291" t="s">
        <v>3087</v>
      </c>
      <c r="I642" s="18" t="s">
        <v>117</v>
      </c>
      <c r="J642" s="18" t="s">
        <v>170</v>
      </c>
      <c r="K642" s="33" t="s">
        <v>3089</v>
      </c>
      <c r="L642" s="25" t="str">
        <f>"RUTL-"&amp;RIGHT(K642,8)</f>
        <v>RUTL-N0002812</v>
      </c>
      <c r="M642" s="34" t="s">
        <v>40</v>
      </c>
      <c r="N642" s="39" t="s">
        <v>414</v>
      </c>
      <c r="O642" s="23"/>
      <c r="P642" s="35" t="s">
        <v>46</v>
      </c>
      <c r="Q642" s="35" t="s">
        <v>3090</v>
      </c>
      <c r="R642" s="15" t="s">
        <v>56</v>
      </c>
      <c r="S642" s="37" t="s">
        <v>57</v>
      </c>
      <c r="T642" s="101" t="s">
        <v>96</v>
      </c>
      <c r="U642" s="39" t="s">
        <v>3091</v>
      </c>
      <c r="V642" s="115">
        <v>45989</v>
      </c>
      <c r="W642" s="23" t="s">
        <v>301</v>
      </c>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c r="DJ642" s="5"/>
      <c r="DK642" s="5"/>
      <c r="DL642" s="5"/>
      <c r="DM642" s="5"/>
      <c r="DN642" s="5"/>
      <c r="DO642" s="5"/>
      <c r="DP642" s="5"/>
      <c r="DQ642" s="5"/>
      <c r="DR642" s="5"/>
      <c r="DS642" s="5"/>
      <c r="DT642" s="5"/>
      <c r="DU642" s="5"/>
      <c r="DV642" s="5"/>
      <c r="DW642" s="5"/>
      <c r="DX642" s="5"/>
      <c r="DY642" s="5"/>
      <c r="DZ642" s="5"/>
      <c r="EA642" s="5"/>
      <c r="EB642" s="5"/>
      <c r="EC642" s="5"/>
      <c r="ED642" s="5"/>
      <c r="EE642" s="5"/>
    </row>
    <row r="643" spans="1:135" ht="30" customHeight="1" thickBot="1" x14ac:dyDescent="0.3">
      <c r="A643" s="578" t="s">
        <v>5298</v>
      </c>
      <c r="B643" s="8">
        <v>12546</v>
      </c>
      <c r="C643" s="52" t="s">
        <v>5295</v>
      </c>
      <c r="D643" s="10" t="s">
        <v>24</v>
      </c>
      <c r="E643" s="11" t="s">
        <v>25</v>
      </c>
      <c r="F643" s="20" t="s">
        <v>5296</v>
      </c>
      <c r="G643" s="15" t="s">
        <v>5297</v>
      </c>
      <c r="H643" s="17" t="s">
        <v>381</v>
      </c>
      <c r="I643" s="54" t="s">
        <v>135</v>
      </c>
      <c r="J643" s="18" t="s">
        <v>170</v>
      </c>
      <c r="K643" s="23" t="s">
        <v>5299</v>
      </c>
      <c r="L643" s="25" t="str">
        <f>"RUTL-"&amp;RIGHT(K643,8)</f>
        <v>RUTL-N0008328</v>
      </c>
      <c r="M643" s="34" t="s">
        <v>40</v>
      </c>
      <c r="N643" s="39" t="s">
        <v>414</v>
      </c>
      <c r="O643" s="23"/>
      <c r="P643" s="39" t="s">
        <v>46</v>
      </c>
      <c r="Q643" s="328"/>
      <c r="R643" s="15" t="s">
        <v>56</v>
      </c>
      <c r="S643" s="37" t="s">
        <v>57</v>
      </c>
      <c r="T643" s="107" t="s">
        <v>453</v>
      </c>
      <c r="U643" s="39" t="s">
        <v>1575</v>
      </c>
      <c r="V643" s="115">
        <v>45990</v>
      </c>
      <c r="W643" s="23"/>
      <c r="X643" s="30"/>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c r="DJ643" s="5"/>
      <c r="DK643" s="5"/>
      <c r="DL643" s="5"/>
      <c r="DM643" s="5"/>
      <c r="DN643" s="5"/>
      <c r="DO643" s="5"/>
      <c r="DP643" s="5"/>
      <c r="DQ643" s="5"/>
      <c r="DR643" s="5"/>
      <c r="DS643" s="5"/>
      <c r="DT643" s="5"/>
      <c r="DU643" s="5"/>
      <c r="DV643" s="5"/>
      <c r="DW643" s="5"/>
      <c r="DX643" s="5"/>
      <c r="DY643" s="5"/>
      <c r="DZ643" s="5"/>
      <c r="EA643" s="5"/>
      <c r="EB643" s="5"/>
      <c r="EC643" s="5"/>
      <c r="ED643" s="5"/>
      <c r="EE643" s="5"/>
    </row>
    <row r="644" spans="1:135" ht="30" customHeight="1" thickBot="1" x14ac:dyDescent="0.3">
      <c r="A644" s="578" t="s">
        <v>5747</v>
      </c>
      <c r="B644" s="8">
        <v>13684</v>
      </c>
      <c r="C644" s="72" t="s">
        <v>5745</v>
      </c>
      <c r="D644" s="10" t="s">
        <v>24</v>
      </c>
      <c r="E644" s="11" t="s">
        <v>25</v>
      </c>
      <c r="F644" s="20" t="s">
        <v>5746</v>
      </c>
      <c r="G644" s="15" t="s">
        <v>448</v>
      </c>
      <c r="H644" s="17" t="s">
        <v>714</v>
      </c>
      <c r="I644" s="54" t="s">
        <v>117</v>
      </c>
      <c r="J644" s="18" t="s">
        <v>170</v>
      </c>
      <c r="K644" s="23" t="s">
        <v>5748</v>
      </c>
      <c r="L644" s="25" t="str">
        <f>"RUTL-"&amp;RIGHT(K644,8)</f>
        <v>RUTL-N0008341</v>
      </c>
      <c r="M644" s="34" t="s">
        <v>40</v>
      </c>
      <c r="N644" s="39" t="s">
        <v>414</v>
      </c>
      <c r="O644" s="23"/>
      <c r="P644" s="35" t="s">
        <v>46</v>
      </c>
      <c r="Q644" s="35" t="s">
        <v>5749</v>
      </c>
      <c r="R644" s="15" t="s">
        <v>56</v>
      </c>
      <c r="S644" s="37" t="s">
        <v>57</v>
      </c>
      <c r="T644" s="108" t="s">
        <v>273</v>
      </c>
      <c r="U644" s="39" t="s">
        <v>476</v>
      </c>
      <c r="V644" s="23"/>
      <c r="W644" s="23"/>
      <c r="X644" s="384"/>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c r="DG644" s="5"/>
      <c r="DH644" s="5"/>
      <c r="DI644" s="5"/>
      <c r="DJ644" s="5"/>
      <c r="DK644" s="5"/>
      <c r="DL644" s="5"/>
      <c r="DM644" s="5"/>
      <c r="DN644" s="5"/>
      <c r="DO644" s="5"/>
      <c r="DP644" s="5"/>
      <c r="DQ644" s="5"/>
      <c r="DR644" s="5"/>
      <c r="DS644" s="5"/>
      <c r="DT644" s="5"/>
      <c r="DU644" s="5"/>
      <c r="DV644" s="5"/>
      <c r="DW644" s="5"/>
      <c r="DX644" s="5"/>
      <c r="DY644" s="5"/>
      <c r="DZ644" s="5"/>
      <c r="EA644" s="5"/>
      <c r="EB644" s="5"/>
      <c r="EC644" s="5"/>
      <c r="ED644" s="5"/>
      <c r="EE644" s="5"/>
    </row>
    <row r="645" spans="1:135" ht="30" customHeight="1" x14ac:dyDescent="0.25">
      <c r="A645" s="578" t="s">
        <v>471</v>
      </c>
      <c r="B645" s="8">
        <v>200</v>
      </c>
      <c r="C645" s="72" t="s">
        <v>467</v>
      </c>
      <c r="D645" s="15" t="s">
        <v>24</v>
      </c>
      <c r="E645" s="11" t="s">
        <v>25</v>
      </c>
      <c r="F645" s="20" t="s">
        <v>468</v>
      </c>
      <c r="G645" s="15" t="s">
        <v>469</v>
      </c>
      <c r="H645" s="17" t="s">
        <v>470</v>
      </c>
      <c r="I645" s="54" t="s">
        <v>198</v>
      </c>
      <c r="J645" s="18" t="s">
        <v>170</v>
      </c>
      <c r="K645" s="23" t="s">
        <v>472</v>
      </c>
      <c r="L645" s="25" t="str">
        <f>"RUTL-"&amp;RIGHT(K645,8)</f>
        <v>RUTL-N0008392</v>
      </c>
      <c r="M645" s="34" t="s">
        <v>40</v>
      </c>
      <c r="N645" s="90" t="s">
        <v>473</v>
      </c>
      <c r="O645" s="39" t="s">
        <v>474</v>
      </c>
      <c r="P645" s="35" t="s">
        <v>46</v>
      </c>
      <c r="Q645" s="36" t="s">
        <v>475</v>
      </c>
      <c r="R645" s="15" t="s">
        <v>56</v>
      </c>
      <c r="S645" s="37" t="s">
        <v>57</v>
      </c>
      <c r="T645" s="39" t="s">
        <v>148</v>
      </c>
      <c r="U645" s="39" t="s">
        <v>476</v>
      </c>
      <c r="V645" s="115">
        <v>45985</v>
      </c>
      <c r="W645" s="23" t="s">
        <v>301</v>
      </c>
      <c r="X645" s="30"/>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c r="DJ645" s="5"/>
      <c r="DK645" s="5"/>
      <c r="DL645" s="5"/>
      <c r="DM645" s="5"/>
      <c r="DN645" s="5"/>
      <c r="DO645" s="5"/>
      <c r="DP645" s="5"/>
      <c r="DQ645" s="5"/>
      <c r="DR645" s="5"/>
      <c r="DS645" s="5"/>
      <c r="DT645" s="5"/>
      <c r="DU645" s="5"/>
      <c r="DV645" s="5"/>
      <c r="DW645" s="5"/>
      <c r="DX645" s="5"/>
      <c r="DY645" s="5"/>
      <c r="DZ645" s="5"/>
      <c r="EA645" s="5"/>
      <c r="EB645" s="5"/>
      <c r="EC645" s="5"/>
      <c r="ED645" s="5"/>
      <c r="EE645" s="5"/>
    </row>
    <row r="646" spans="1:135" ht="30" customHeight="1" thickBot="1" x14ac:dyDescent="0.3">
      <c r="A646" s="578" t="s">
        <v>1163</v>
      </c>
      <c r="B646" s="574">
        <v>316</v>
      </c>
      <c r="C646" s="454" t="s">
        <v>1157</v>
      </c>
      <c r="D646" s="10" t="s">
        <v>24</v>
      </c>
      <c r="E646" s="467" t="s">
        <v>25</v>
      </c>
      <c r="F646" s="473" t="s">
        <v>1159</v>
      </c>
      <c r="G646" s="15" t="s">
        <v>448</v>
      </c>
      <c r="H646" s="487" t="s">
        <v>97</v>
      </c>
      <c r="I646" s="488" t="s">
        <v>1161</v>
      </c>
      <c r="J646" s="488" t="s">
        <v>170</v>
      </c>
      <c r="K646" s="493" t="s">
        <v>1164</v>
      </c>
      <c r="L646" s="21" t="s">
        <v>1165</v>
      </c>
      <c r="M646" s="34" t="s">
        <v>40</v>
      </c>
      <c r="N646" s="526" t="s">
        <v>87</v>
      </c>
      <c r="O646" s="495"/>
      <c r="P646" s="526" t="s">
        <v>46</v>
      </c>
      <c r="Q646" s="577" t="s">
        <v>1169</v>
      </c>
      <c r="R646" s="461" t="s">
        <v>235</v>
      </c>
      <c r="S646" s="572" t="s">
        <v>57</v>
      </c>
      <c r="T646" s="495" t="s">
        <v>96</v>
      </c>
      <c r="U646" s="83" t="s">
        <v>1176</v>
      </c>
      <c r="V646" s="565">
        <v>45987</v>
      </c>
      <c r="W646" s="495" t="s">
        <v>184</v>
      </c>
    </row>
    <row r="647" spans="1:135" ht="30" customHeight="1" thickBot="1" x14ac:dyDescent="0.3">
      <c r="A647" s="578" t="s">
        <v>5805</v>
      </c>
      <c r="B647" s="8">
        <v>14177</v>
      </c>
      <c r="C647" s="72" t="s">
        <v>5803</v>
      </c>
      <c r="D647" s="10" t="s">
        <v>24</v>
      </c>
      <c r="E647" s="11" t="s">
        <v>25</v>
      </c>
      <c r="F647" s="20" t="s">
        <v>5804</v>
      </c>
      <c r="G647" s="15" t="s">
        <v>2506</v>
      </c>
      <c r="H647" s="409" t="s">
        <v>2507</v>
      </c>
      <c r="I647" s="18" t="s">
        <v>117</v>
      </c>
      <c r="J647" s="24" t="s">
        <v>170</v>
      </c>
      <c r="K647" s="23" t="s">
        <v>5806</v>
      </c>
      <c r="L647" s="25" t="str">
        <f>"RUTL-"&amp;RIGHT(K647,8)</f>
        <v>RUTL-N0002817</v>
      </c>
      <c r="M647" s="34" t="s">
        <v>40</v>
      </c>
      <c r="N647" s="15" t="s">
        <v>473</v>
      </c>
      <c r="O647" s="23"/>
      <c r="P647" s="35" t="s">
        <v>46</v>
      </c>
      <c r="Q647" s="113"/>
      <c r="R647" s="15" t="s">
        <v>56</v>
      </c>
      <c r="S647" s="37" t="s">
        <v>57</v>
      </c>
      <c r="T647" s="108" t="s">
        <v>273</v>
      </c>
      <c r="U647" s="23" t="s">
        <v>5807</v>
      </c>
      <c r="V647" s="23"/>
      <c r="W647" s="23" t="s">
        <v>4092</v>
      </c>
      <c r="X647" s="24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c r="DG647" s="5"/>
      <c r="DH647" s="5"/>
      <c r="DI647" s="5"/>
      <c r="DJ647" s="5"/>
      <c r="DK647" s="5"/>
      <c r="DL647" s="5"/>
      <c r="DM647" s="5"/>
      <c r="DN647" s="5"/>
      <c r="DO647" s="5"/>
      <c r="DP647" s="5"/>
      <c r="DQ647" s="5"/>
      <c r="DR647" s="5"/>
      <c r="DS647" s="5"/>
      <c r="DT647" s="5"/>
      <c r="DU647" s="5"/>
      <c r="DV647" s="5"/>
      <c r="DW647" s="5"/>
      <c r="DX647" s="5"/>
      <c r="DY647" s="5"/>
      <c r="DZ647" s="5"/>
      <c r="EA647" s="5"/>
      <c r="EB647" s="5"/>
      <c r="EC647" s="5"/>
      <c r="ED647" s="5"/>
      <c r="EE647" s="5"/>
    </row>
    <row r="648" spans="1:135" ht="30" customHeight="1" x14ac:dyDescent="0.25">
      <c r="A648" s="578" t="s">
        <v>3512</v>
      </c>
      <c r="B648" s="8">
        <v>4209</v>
      </c>
      <c r="C648" s="72" t="s">
        <v>3510</v>
      </c>
      <c r="D648" s="15" t="s">
        <v>24</v>
      </c>
      <c r="E648" s="11" t="s">
        <v>25</v>
      </c>
      <c r="F648" s="20" t="s">
        <v>3511</v>
      </c>
      <c r="G648" s="15" t="s">
        <v>448</v>
      </c>
      <c r="H648" s="18" t="s">
        <v>2210</v>
      </c>
      <c r="I648" s="54" t="s">
        <v>135</v>
      </c>
      <c r="J648" s="18" t="s">
        <v>170</v>
      </c>
      <c r="K648" s="33" t="s">
        <v>3513</v>
      </c>
      <c r="L648" s="25" t="str">
        <f>"RUTL-"&amp;RIGHT(K648,8)</f>
        <v>RUTL-N0002604</v>
      </c>
      <c r="M648" s="34" t="s">
        <v>40</v>
      </c>
      <c r="N648" s="39" t="s">
        <v>414</v>
      </c>
      <c r="O648" s="23"/>
      <c r="P648" s="35" t="s">
        <v>46</v>
      </c>
      <c r="Q648" s="36" t="s">
        <v>3514</v>
      </c>
      <c r="R648" s="15" t="s">
        <v>56</v>
      </c>
      <c r="S648" s="23"/>
      <c r="T648" s="108" t="s">
        <v>1102</v>
      </c>
      <c r="U648" s="39" t="s">
        <v>2154</v>
      </c>
      <c r="V648" s="115">
        <v>45989</v>
      </c>
      <c r="W648" s="23" t="s">
        <v>2961</v>
      </c>
      <c r="X648" s="30"/>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row>
    <row r="649" spans="1:135" ht="30" customHeight="1" x14ac:dyDescent="0.25">
      <c r="A649" s="578" t="s">
        <v>6575</v>
      </c>
      <c r="B649" s="16">
        <v>16204</v>
      </c>
      <c r="C649" s="69" t="s">
        <v>6571</v>
      </c>
      <c r="D649" s="10" t="s">
        <v>24</v>
      </c>
      <c r="E649" s="11" t="s">
        <v>25</v>
      </c>
      <c r="F649" s="12" t="s">
        <v>6572</v>
      </c>
      <c r="G649" s="15" t="s">
        <v>6573</v>
      </c>
      <c r="H649" s="76" t="s">
        <v>2731</v>
      </c>
      <c r="I649" s="54" t="s">
        <v>6574</v>
      </c>
      <c r="J649" s="18" t="s">
        <v>170</v>
      </c>
      <c r="K649" s="23" t="s">
        <v>6576</v>
      </c>
      <c r="L649" s="25" t="str">
        <f>"RUTL-"&amp;RIGHT(K649,8)</f>
        <v>RUTL-N0008364</v>
      </c>
      <c r="M649" s="34" t="s">
        <v>40</v>
      </c>
      <c r="N649" s="23" t="s">
        <v>87</v>
      </c>
      <c r="O649" s="23"/>
      <c r="P649" s="35" t="s">
        <v>46</v>
      </c>
      <c r="Q649" s="35" t="s">
        <v>6577</v>
      </c>
      <c r="R649" s="15" t="s">
        <v>56</v>
      </c>
      <c r="S649" s="37" t="s">
        <v>57</v>
      </c>
      <c r="T649" s="101" t="s">
        <v>96</v>
      </c>
      <c r="U649" s="39" t="s">
        <v>478</v>
      </c>
      <c r="V649" s="48">
        <v>46010</v>
      </c>
      <c r="W649" s="23" t="s">
        <v>184</v>
      </c>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row>
    <row r="650" spans="1:135" ht="30" customHeight="1" x14ac:dyDescent="0.25">
      <c r="A650" s="578" t="s">
        <v>4975</v>
      </c>
      <c r="B650" s="436">
        <v>11219</v>
      </c>
      <c r="C650" s="52" t="s">
        <v>4972</v>
      </c>
      <c r="D650" s="10" t="s">
        <v>24</v>
      </c>
      <c r="E650" s="10" t="s">
        <v>25</v>
      </c>
      <c r="F650" s="378" t="s">
        <v>4973</v>
      </c>
      <c r="G650" s="59" t="s">
        <v>1043</v>
      </c>
      <c r="H650" s="53" t="s">
        <v>609</v>
      </c>
      <c r="I650" s="142" t="s">
        <v>4974</v>
      </c>
      <c r="J650" s="18" t="s">
        <v>170</v>
      </c>
      <c r="K650" s="33" t="s">
        <v>4976</v>
      </c>
      <c r="L650" s="25" t="str">
        <f>"RUTL-"&amp;RIGHT(K650,8)</f>
        <v>RUTL-N0002866</v>
      </c>
      <c r="M650" s="34" t="s">
        <v>40</v>
      </c>
      <c r="N650" s="23"/>
      <c r="O650" s="23"/>
      <c r="P650" s="45" t="s">
        <v>46</v>
      </c>
      <c r="Q650" s="113"/>
      <c r="R650" s="15" t="s">
        <v>56</v>
      </c>
      <c r="S650" s="37" t="s">
        <v>57</v>
      </c>
      <c r="T650" s="96" t="s">
        <v>148</v>
      </c>
      <c r="U650" s="39" t="s">
        <v>3756</v>
      </c>
      <c r="V650" s="48">
        <v>46010</v>
      </c>
      <c r="W650" s="23" t="s">
        <v>184</v>
      </c>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c r="BO650" s="30"/>
      <c r="BP650" s="30"/>
      <c r="BQ650" s="30"/>
      <c r="BR650" s="30"/>
      <c r="BS650" s="30"/>
      <c r="BT650" s="30"/>
      <c r="BU650" s="30"/>
      <c r="BV650" s="30"/>
      <c r="BW650" s="30"/>
      <c r="BX650" s="30"/>
      <c r="BY650" s="30"/>
      <c r="BZ650" s="30"/>
      <c r="CA650" s="30"/>
      <c r="CB650" s="30"/>
      <c r="CC650" s="30"/>
      <c r="CD650" s="30"/>
      <c r="CE650" s="30"/>
      <c r="CF650" s="30"/>
      <c r="CG650" s="30"/>
      <c r="CH650" s="30"/>
      <c r="CI650" s="30"/>
      <c r="CJ650" s="30"/>
      <c r="CK650" s="30"/>
      <c r="CL650" s="30"/>
      <c r="CM650" s="30"/>
      <c r="CN650" s="30"/>
      <c r="CO650" s="30"/>
      <c r="CP650" s="30"/>
      <c r="CQ650" s="30"/>
      <c r="CR650" s="30"/>
      <c r="CS650" s="30"/>
      <c r="CT650" s="30"/>
      <c r="CU650" s="30"/>
      <c r="CV650" s="30"/>
      <c r="CW650" s="30"/>
      <c r="CX650" s="30"/>
      <c r="CY650" s="30"/>
      <c r="CZ650" s="30"/>
      <c r="DA650" s="30"/>
      <c r="DB650" s="30"/>
      <c r="DC650" s="30"/>
      <c r="DD650" s="30"/>
      <c r="DE650" s="30"/>
      <c r="DF650" s="30"/>
      <c r="DG650" s="30"/>
      <c r="DH650" s="30"/>
      <c r="DI650" s="30"/>
      <c r="DJ650" s="30"/>
      <c r="DK650" s="30"/>
      <c r="DL650" s="30"/>
      <c r="DM650" s="30"/>
      <c r="DN650" s="30"/>
      <c r="DO650" s="30"/>
      <c r="DP650" s="30"/>
      <c r="DQ650" s="30"/>
      <c r="DR650" s="30"/>
      <c r="DS650" s="30"/>
      <c r="DT650" s="30"/>
      <c r="DU650" s="30"/>
      <c r="DV650" s="30"/>
      <c r="DW650" s="30"/>
      <c r="DX650" s="30"/>
      <c r="DY650" s="30"/>
      <c r="DZ650" s="30"/>
      <c r="EA650" s="30"/>
      <c r="EB650" s="30"/>
      <c r="EC650" s="30"/>
      <c r="ED650" s="30"/>
      <c r="EE650" s="30"/>
    </row>
    <row r="651" spans="1:135" ht="30" customHeight="1" x14ac:dyDescent="0.25">
      <c r="A651" s="578" t="s">
        <v>3999</v>
      </c>
      <c r="B651" s="438">
        <v>6792</v>
      </c>
      <c r="C651" s="72" t="s">
        <v>3997</v>
      </c>
      <c r="D651" s="15" t="s">
        <v>24</v>
      </c>
      <c r="E651" s="11" t="s">
        <v>25</v>
      </c>
      <c r="F651" s="20" t="s">
        <v>3998</v>
      </c>
      <c r="G651" s="15" t="s">
        <v>448</v>
      </c>
      <c r="H651" s="18" t="s">
        <v>1398</v>
      </c>
      <c r="I651" s="54" t="s">
        <v>772</v>
      </c>
      <c r="J651" s="18" t="s">
        <v>170</v>
      </c>
      <c r="K651" s="33" t="s">
        <v>4000</v>
      </c>
      <c r="L651" s="25" t="str">
        <f>"RUTL-"&amp;RIGHT(K651,8)</f>
        <v>RUTL-N0002619</v>
      </c>
      <c r="M651" s="34" t="s">
        <v>40</v>
      </c>
      <c r="N651" s="39" t="s">
        <v>4001</v>
      </c>
      <c r="O651" s="23"/>
      <c r="P651" s="35" t="s">
        <v>46</v>
      </c>
      <c r="Q651" s="243"/>
      <c r="R651" s="15" t="s">
        <v>56</v>
      </c>
      <c r="S651" s="37" t="s">
        <v>57</v>
      </c>
      <c r="T651" s="87" t="s">
        <v>273</v>
      </c>
      <c r="U651" s="39" t="s">
        <v>843</v>
      </c>
      <c r="V651" s="115">
        <v>45990</v>
      </c>
      <c r="W651" s="23" t="s">
        <v>301</v>
      </c>
      <c r="X651" s="30"/>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c r="DG651" s="5"/>
      <c r="DH651" s="5"/>
      <c r="DI651" s="5"/>
      <c r="DJ651" s="5"/>
      <c r="DK651" s="5"/>
      <c r="DL651" s="5"/>
      <c r="DM651" s="5"/>
      <c r="DN651" s="5"/>
      <c r="DO651" s="5"/>
      <c r="DP651" s="5"/>
      <c r="DQ651" s="5"/>
      <c r="DR651" s="5"/>
      <c r="DS651" s="5"/>
      <c r="DT651" s="5"/>
      <c r="DU651" s="5"/>
      <c r="DV651" s="5"/>
      <c r="DW651" s="5"/>
      <c r="DX651" s="5"/>
      <c r="DY651" s="5"/>
      <c r="DZ651" s="5"/>
      <c r="EA651" s="5"/>
      <c r="EB651" s="5"/>
      <c r="EC651" s="5"/>
      <c r="ED651" s="5"/>
      <c r="EE651" s="5"/>
    </row>
    <row r="652" spans="1:135" ht="30" customHeight="1" x14ac:dyDescent="0.25">
      <c r="A652" s="578" t="s">
        <v>3428</v>
      </c>
      <c r="B652" s="438">
        <v>3875</v>
      </c>
      <c r="C652" s="72" t="s">
        <v>3426</v>
      </c>
      <c r="D652" s="10" t="s">
        <v>24</v>
      </c>
      <c r="E652" s="11" t="s">
        <v>25</v>
      </c>
      <c r="F652" s="20" t="s">
        <v>3427</v>
      </c>
      <c r="G652" s="15" t="s">
        <v>224</v>
      </c>
      <c r="H652" s="147" t="s">
        <v>1477</v>
      </c>
      <c r="I652" s="54" t="s">
        <v>135</v>
      </c>
      <c r="J652" s="18" t="s">
        <v>170</v>
      </c>
      <c r="K652" s="33" t="s">
        <v>3429</v>
      </c>
      <c r="L652" s="25" t="str">
        <f>"RUTL-"&amp;RIGHT(K652,8)</f>
        <v>RUTL-N0008366</v>
      </c>
      <c r="M652" s="34" t="s">
        <v>40</v>
      </c>
      <c r="N652" s="39" t="s">
        <v>87</v>
      </c>
      <c r="O652" s="32"/>
      <c r="P652" s="35" t="s">
        <v>46</v>
      </c>
      <c r="Q652" s="36" t="s">
        <v>3430</v>
      </c>
      <c r="R652" s="15" t="s">
        <v>56</v>
      </c>
      <c r="S652" s="21" t="s">
        <v>57</v>
      </c>
      <c r="T652" s="101" t="s">
        <v>96</v>
      </c>
      <c r="U652" s="23" t="s">
        <v>1406</v>
      </c>
      <c r="V652" s="115">
        <v>45989</v>
      </c>
      <c r="W652" s="23" t="s">
        <v>301</v>
      </c>
      <c r="X652" s="30"/>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c r="DG652" s="5"/>
      <c r="DH652" s="5"/>
      <c r="DI652" s="5"/>
      <c r="DJ652" s="5"/>
      <c r="DK652" s="5"/>
      <c r="DL652" s="5"/>
      <c r="DM652" s="5"/>
      <c r="DN652" s="5"/>
      <c r="DO652" s="5"/>
      <c r="DP652" s="5"/>
      <c r="DQ652" s="5"/>
      <c r="DR652" s="5"/>
      <c r="DS652" s="5"/>
      <c r="DT652" s="5"/>
      <c r="DU652" s="5"/>
      <c r="DV652" s="5"/>
      <c r="DW652" s="5"/>
      <c r="DX652" s="5"/>
      <c r="DY652" s="5"/>
      <c r="DZ652" s="5"/>
      <c r="EA652" s="5"/>
      <c r="EB652" s="5"/>
      <c r="EC652" s="5"/>
      <c r="ED652" s="5"/>
      <c r="EE652" s="5"/>
    </row>
    <row r="653" spans="1:135" ht="30" customHeight="1" x14ac:dyDescent="0.25">
      <c r="A653" s="578" t="s">
        <v>5692</v>
      </c>
      <c r="B653" s="438">
        <v>13568</v>
      </c>
      <c r="C653" s="52" t="s">
        <v>5690</v>
      </c>
      <c r="D653" s="10" t="s">
        <v>24</v>
      </c>
      <c r="E653" s="11" t="s">
        <v>25</v>
      </c>
      <c r="F653" s="378" t="s">
        <v>5691</v>
      </c>
      <c r="G653" s="15" t="s">
        <v>2506</v>
      </c>
      <c r="H653" s="156" t="s">
        <v>2507</v>
      </c>
      <c r="I653" s="54" t="s">
        <v>30</v>
      </c>
      <c r="J653" s="18" t="s">
        <v>170</v>
      </c>
      <c r="K653" s="23" t="s">
        <v>5693</v>
      </c>
      <c r="L653" s="25" t="str">
        <f>"RUTL-"&amp;RIGHT(K653,8)</f>
        <v>RUTL-N0002668</v>
      </c>
      <c r="M653" s="34" t="s">
        <v>40</v>
      </c>
      <c r="N653" s="90" t="s">
        <v>473</v>
      </c>
      <c r="O653" s="39" t="s">
        <v>5694</v>
      </c>
      <c r="P653" s="35" t="s">
        <v>46</v>
      </c>
      <c r="Q653" s="36" t="s">
        <v>5695</v>
      </c>
      <c r="R653" s="15" t="s">
        <v>56</v>
      </c>
      <c r="S653" s="37" t="s">
        <v>57</v>
      </c>
      <c r="T653" s="105" t="s">
        <v>148</v>
      </c>
      <c r="U653" s="39" t="s">
        <v>5696</v>
      </c>
      <c r="V653" s="115"/>
      <c r="W653" s="23"/>
      <c r="X653" s="30"/>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c r="DJ653" s="5"/>
      <c r="DK653" s="5"/>
      <c r="DL653" s="5"/>
      <c r="DM653" s="5"/>
      <c r="DN653" s="5"/>
      <c r="DO653" s="5"/>
      <c r="DP653" s="5"/>
      <c r="DQ653" s="5"/>
      <c r="DR653" s="5"/>
      <c r="DS653" s="5"/>
      <c r="DT653" s="5"/>
      <c r="DU653" s="5"/>
      <c r="DV653" s="5"/>
      <c r="DW653" s="5"/>
      <c r="DX653" s="5"/>
      <c r="DY653" s="5"/>
      <c r="DZ653" s="5"/>
      <c r="EA653" s="5"/>
      <c r="EB653" s="5"/>
      <c r="EC653" s="5"/>
      <c r="ED653" s="5"/>
      <c r="EE653" s="5"/>
    </row>
    <row r="654" spans="1:135" ht="30" customHeight="1" thickBot="1" x14ac:dyDescent="0.3">
      <c r="A654" s="578" t="s">
        <v>871</v>
      </c>
      <c r="B654" s="442">
        <v>335</v>
      </c>
      <c r="C654" s="72" t="s">
        <v>857</v>
      </c>
      <c r="D654" s="15" t="s">
        <v>24</v>
      </c>
      <c r="E654" s="11" t="s">
        <v>25</v>
      </c>
      <c r="F654" s="20" t="s">
        <v>863</v>
      </c>
      <c r="G654" s="15" t="s">
        <v>469</v>
      </c>
      <c r="H654" s="17" t="s">
        <v>682</v>
      </c>
      <c r="I654" s="18" t="s">
        <v>869</v>
      </c>
      <c r="J654" s="18" t="s">
        <v>170</v>
      </c>
      <c r="K654" s="23" t="s">
        <v>873</v>
      </c>
      <c r="L654" s="25" t="str">
        <f>"RUTL-"&amp;RIGHT(K654,8)</f>
        <v>RUTL-N0003035</v>
      </c>
      <c r="M654" s="34" t="s">
        <v>40</v>
      </c>
      <c r="N654" s="39" t="s">
        <v>87</v>
      </c>
      <c r="O654" s="396"/>
      <c r="P654" s="35" t="s">
        <v>46</v>
      </c>
      <c r="Q654" s="397" t="s">
        <v>877</v>
      </c>
      <c r="R654" s="15" t="s">
        <v>56</v>
      </c>
      <c r="S654" s="37" t="s">
        <v>57</v>
      </c>
      <c r="T654" s="101" t="s">
        <v>96</v>
      </c>
      <c r="U654" s="39" t="s">
        <v>882</v>
      </c>
      <c r="V654" s="568">
        <v>45989</v>
      </c>
      <c r="W654" s="23" t="s">
        <v>847</v>
      </c>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c r="BO654" s="30"/>
      <c r="BP654" s="30"/>
      <c r="BQ654" s="30"/>
      <c r="BR654" s="30"/>
      <c r="BS654" s="30"/>
      <c r="BT654" s="30"/>
      <c r="BU654" s="30"/>
      <c r="BV654" s="30"/>
      <c r="BW654" s="30"/>
      <c r="BX654" s="30"/>
      <c r="BY654" s="30"/>
      <c r="BZ654" s="30"/>
      <c r="CA654" s="30"/>
      <c r="CB654" s="30"/>
      <c r="CC654" s="30"/>
      <c r="CD654" s="30"/>
      <c r="CE654" s="30"/>
      <c r="CF654" s="30"/>
      <c r="CG654" s="30"/>
      <c r="CH654" s="30"/>
      <c r="CI654" s="30"/>
      <c r="CJ654" s="30"/>
      <c r="CK654" s="30"/>
      <c r="CL654" s="30"/>
      <c r="CM654" s="30"/>
      <c r="CN654" s="30"/>
      <c r="CO654" s="30"/>
      <c r="CP654" s="30"/>
      <c r="CQ654" s="30"/>
      <c r="CR654" s="30"/>
      <c r="CS654" s="30"/>
      <c r="CT654" s="30"/>
      <c r="CU654" s="30"/>
      <c r="CV654" s="30"/>
      <c r="CW654" s="30"/>
      <c r="CX654" s="30"/>
      <c r="CY654" s="30"/>
      <c r="CZ654" s="30"/>
      <c r="DA654" s="30"/>
      <c r="DB654" s="30"/>
      <c r="DC654" s="30"/>
      <c r="DD654" s="30"/>
      <c r="DE654" s="30"/>
      <c r="DF654" s="30"/>
      <c r="DG654" s="30"/>
      <c r="DH654" s="30"/>
      <c r="DI654" s="30"/>
      <c r="DJ654" s="30"/>
      <c r="DK654" s="30"/>
      <c r="DL654" s="30"/>
      <c r="DM654" s="30"/>
      <c r="DN654" s="30"/>
      <c r="DO654" s="30"/>
      <c r="DP654" s="30"/>
      <c r="DQ654" s="30"/>
      <c r="DR654" s="30"/>
      <c r="DS654" s="30"/>
      <c r="DT654" s="30"/>
      <c r="DU654" s="30"/>
      <c r="DV654" s="30"/>
      <c r="DW654" s="30"/>
      <c r="DX654" s="30"/>
      <c r="DY654" s="30"/>
      <c r="DZ654" s="30"/>
      <c r="EA654" s="30"/>
      <c r="EB654" s="30"/>
      <c r="EC654" s="30"/>
      <c r="ED654" s="30"/>
      <c r="EE654" s="30"/>
    </row>
    <row r="655" spans="1:135" ht="30" customHeight="1" x14ac:dyDescent="0.25">
      <c r="A655" s="578" t="s">
        <v>3270</v>
      </c>
      <c r="B655" s="8">
        <v>3317</v>
      </c>
      <c r="C655" s="72" t="s">
        <v>3265</v>
      </c>
      <c r="D655" s="15" t="s">
        <v>24</v>
      </c>
      <c r="E655" s="11" t="s">
        <v>25</v>
      </c>
      <c r="F655" s="12" t="s">
        <v>3266</v>
      </c>
      <c r="G655" s="15" t="s">
        <v>3267</v>
      </c>
      <c r="H655" s="291" t="s">
        <v>3268</v>
      </c>
      <c r="I655" s="54" t="s">
        <v>3269</v>
      </c>
      <c r="J655" s="18" t="s">
        <v>170</v>
      </c>
      <c r="K655" s="33" t="s">
        <v>3271</v>
      </c>
      <c r="L655" s="25" t="str">
        <f>"RUTL-"&amp;RIGHT(K655,8)</f>
        <v>RUTL-N0008343</v>
      </c>
      <c r="M655" s="34" t="s">
        <v>40</v>
      </c>
      <c r="N655" s="39" t="s">
        <v>87</v>
      </c>
      <c r="O655" s="23"/>
      <c r="P655" s="35" t="s">
        <v>46</v>
      </c>
      <c r="Q655" s="36" t="s">
        <v>3272</v>
      </c>
      <c r="R655" s="15" t="s">
        <v>56</v>
      </c>
      <c r="S655" s="40" t="s">
        <v>57</v>
      </c>
      <c r="T655" s="23" t="s">
        <v>2960</v>
      </c>
      <c r="U655" s="39" t="s">
        <v>3043</v>
      </c>
      <c r="V655" s="48">
        <v>46010</v>
      </c>
      <c r="W655" s="23" t="s">
        <v>184</v>
      </c>
      <c r="X655" s="30"/>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c r="DJ655" s="5"/>
      <c r="DK655" s="5"/>
      <c r="DL655" s="5"/>
      <c r="DM655" s="5"/>
      <c r="DN655" s="5"/>
      <c r="DO655" s="5"/>
      <c r="DP655" s="5"/>
      <c r="DQ655" s="5"/>
      <c r="DR655" s="5"/>
      <c r="DS655" s="5"/>
      <c r="DT655" s="5"/>
      <c r="DU655" s="5"/>
      <c r="DV655" s="5"/>
      <c r="DW655" s="5"/>
      <c r="DX655" s="5"/>
      <c r="DY655" s="5"/>
      <c r="DZ655" s="5"/>
      <c r="EA655" s="5"/>
      <c r="EB655" s="5"/>
      <c r="EC655" s="5"/>
      <c r="ED655" s="5"/>
      <c r="EE655" s="5"/>
    </row>
    <row r="656" spans="1:135" ht="30" customHeight="1" thickBot="1" x14ac:dyDescent="0.3">
      <c r="A656" s="578" t="s">
        <v>5112</v>
      </c>
      <c r="B656" s="16">
        <v>11955</v>
      </c>
      <c r="C656" s="72" t="s">
        <v>5110</v>
      </c>
      <c r="D656" s="10" t="s">
        <v>24</v>
      </c>
      <c r="E656" s="11" t="s">
        <v>25</v>
      </c>
      <c r="F656" s="12" t="s">
        <v>5111</v>
      </c>
      <c r="G656" s="15" t="s">
        <v>224</v>
      </c>
      <c r="H656" s="313" t="s">
        <v>4070</v>
      </c>
      <c r="I656" s="54" t="s">
        <v>117</v>
      </c>
      <c r="J656" s="18" t="s">
        <v>170</v>
      </c>
      <c r="K656" s="23" t="s">
        <v>5113</v>
      </c>
      <c r="L656" s="25" t="str">
        <f>"RUTL-"&amp;RIGHT(K656,8)</f>
        <v>RUTL-N0002841</v>
      </c>
      <c r="M656" s="34" t="s">
        <v>40</v>
      </c>
      <c r="N656" s="39" t="s">
        <v>414</v>
      </c>
      <c r="O656" s="39" t="s">
        <v>5114</v>
      </c>
      <c r="P656" s="35" t="s">
        <v>46</v>
      </c>
      <c r="Q656" s="36" t="s">
        <v>5115</v>
      </c>
      <c r="R656" s="15" t="s">
        <v>56</v>
      </c>
      <c r="S656" s="37" t="s">
        <v>57</v>
      </c>
      <c r="T656" s="105" t="s">
        <v>148</v>
      </c>
      <c r="U656" s="39" t="s">
        <v>3163</v>
      </c>
      <c r="V656" s="115">
        <v>45989</v>
      </c>
      <c r="W656" s="23" t="s">
        <v>301</v>
      </c>
      <c r="X656" s="30"/>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c r="DG656" s="5"/>
      <c r="DH656" s="5"/>
      <c r="DI656" s="5"/>
      <c r="DJ656" s="5"/>
      <c r="DK656" s="5"/>
      <c r="DL656" s="5"/>
      <c r="DM656" s="5"/>
      <c r="DN656" s="5"/>
      <c r="DO656" s="5"/>
      <c r="DP656" s="5"/>
      <c r="DQ656" s="5"/>
      <c r="DR656" s="5"/>
      <c r="DS656" s="5"/>
      <c r="DT656" s="5"/>
      <c r="DU656" s="5"/>
      <c r="DV656" s="5"/>
      <c r="DW656" s="5"/>
      <c r="DX656" s="5"/>
      <c r="DY656" s="5"/>
      <c r="DZ656" s="5"/>
      <c r="EA656" s="5"/>
      <c r="EB656" s="5"/>
      <c r="EC656" s="5"/>
      <c r="ED656" s="5"/>
      <c r="EE656" s="5"/>
    </row>
    <row r="657" spans="1:135" ht="30" customHeight="1" thickBot="1" x14ac:dyDescent="0.3">
      <c r="A657" s="578" t="s">
        <v>343</v>
      </c>
      <c r="B657" s="49" t="s">
        <v>341</v>
      </c>
      <c r="C657" s="56" t="s">
        <v>342</v>
      </c>
      <c r="D657" s="10" t="s">
        <v>24</v>
      </c>
      <c r="E657" s="28" t="s">
        <v>25</v>
      </c>
      <c r="F657" s="15"/>
      <c r="G657" s="15"/>
      <c r="H657" s="102" t="s">
        <v>97</v>
      </c>
      <c r="I657" s="18" t="s">
        <v>185</v>
      </c>
      <c r="J657" s="18" t="s">
        <v>170</v>
      </c>
      <c r="K657" s="33" t="s">
        <v>345</v>
      </c>
      <c r="L657" s="25" t="str">
        <f>"RUTL-"&amp;RIGHT(K657,8)</f>
        <v>RUTL-N0002908</v>
      </c>
      <c r="M657" s="109"/>
      <c r="N657" s="23"/>
      <c r="O657" s="23"/>
      <c r="P657" s="45" t="s">
        <v>46</v>
      </c>
      <c r="Q657" s="39"/>
      <c r="R657" s="46" t="s">
        <v>56</v>
      </c>
      <c r="S657" s="37"/>
      <c r="T657" s="64"/>
      <c r="U657" s="23"/>
      <c r="V657" s="82">
        <v>46010</v>
      </c>
      <c r="W657" s="23" t="s">
        <v>184</v>
      </c>
      <c r="X657" s="30"/>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row>
    <row r="658" spans="1:135" ht="30" customHeight="1" thickBot="1" x14ac:dyDescent="0.3">
      <c r="A658" s="578" t="s">
        <v>362</v>
      </c>
      <c r="B658" s="49" t="s">
        <v>357</v>
      </c>
      <c r="C658" s="56" t="s">
        <v>358</v>
      </c>
      <c r="D658" s="10" t="s">
        <v>24</v>
      </c>
      <c r="E658" s="28" t="s">
        <v>25</v>
      </c>
      <c r="F658" s="15"/>
      <c r="G658" s="15"/>
      <c r="H658" s="102" t="s">
        <v>97</v>
      </c>
      <c r="I658" s="18" t="s">
        <v>185</v>
      </c>
      <c r="J658" s="18" t="s">
        <v>170</v>
      </c>
      <c r="K658" s="33" t="s">
        <v>363</v>
      </c>
      <c r="L658" s="25" t="str">
        <f>"RUTL-"&amp;RIGHT(K658,8)</f>
        <v>RUTL-N0002550</v>
      </c>
      <c r="M658" s="109"/>
      <c r="N658" s="23"/>
      <c r="O658" s="23"/>
      <c r="P658" s="45" t="s">
        <v>46</v>
      </c>
      <c r="Q658" s="39"/>
      <c r="R658" s="46" t="s">
        <v>56</v>
      </c>
      <c r="S658" s="37"/>
      <c r="T658" s="64"/>
      <c r="U658" s="23"/>
      <c r="V658" s="48">
        <v>46010</v>
      </c>
      <c r="W658" s="23" t="s">
        <v>184</v>
      </c>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row>
    <row r="659" spans="1:135" ht="30" customHeight="1" thickBot="1" x14ac:dyDescent="0.3">
      <c r="A659" s="578" t="s">
        <v>7104</v>
      </c>
      <c r="B659" s="51">
        <v>17456</v>
      </c>
      <c r="C659" s="315" t="s">
        <v>7101</v>
      </c>
      <c r="D659" s="10" t="s">
        <v>24</v>
      </c>
      <c r="E659" s="28" t="s">
        <v>25</v>
      </c>
      <c r="F659" s="20" t="s">
        <v>7102</v>
      </c>
      <c r="G659" s="15" t="s">
        <v>7103</v>
      </c>
      <c r="H659" s="486" t="s">
        <v>2182</v>
      </c>
      <c r="I659" s="18" t="s">
        <v>117</v>
      </c>
      <c r="J659" s="18" t="s">
        <v>170</v>
      </c>
      <c r="K659" s="23" t="s">
        <v>7105</v>
      </c>
      <c r="L659" s="25" t="str">
        <f>"RUTL-"&amp;RIGHT(K659,8)</f>
        <v>RUTL-N0008367</v>
      </c>
      <c r="M659" s="34" t="s">
        <v>40</v>
      </c>
      <c r="N659" s="39" t="s">
        <v>473</v>
      </c>
      <c r="O659" s="23"/>
      <c r="P659" s="45" t="s">
        <v>46</v>
      </c>
      <c r="Q659" s="39"/>
      <c r="R659" s="15" t="s">
        <v>56</v>
      </c>
      <c r="S659" s="37" t="s">
        <v>57</v>
      </c>
      <c r="T659" s="68" t="s">
        <v>148</v>
      </c>
      <c r="U659" s="39" t="s">
        <v>7106</v>
      </c>
      <c r="V659" s="48">
        <v>46010</v>
      </c>
      <c r="W659" s="23" t="s">
        <v>184</v>
      </c>
      <c r="X659" s="71"/>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row>
    <row r="660" spans="1:135" ht="30" customHeight="1" thickBot="1" x14ac:dyDescent="0.3">
      <c r="A660" s="578" t="s">
        <v>171</v>
      </c>
      <c r="B660" s="8">
        <v>52</v>
      </c>
      <c r="C660" s="315" t="s">
        <v>163</v>
      </c>
      <c r="D660" s="10" t="s">
        <v>24</v>
      </c>
      <c r="E660" s="11" t="s">
        <v>25</v>
      </c>
      <c r="F660" s="29" t="s">
        <v>164</v>
      </c>
      <c r="G660" s="15" t="s">
        <v>165</v>
      </c>
      <c r="H660" s="478" t="s">
        <v>166</v>
      </c>
      <c r="I660" s="18" t="s">
        <v>30</v>
      </c>
      <c r="J660" s="24" t="s">
        <v>170</v>
      </c>
      <c r="K660" s="23" t="s">
        <v>174</v>
      </c>
      <c r="L660" s="25" t="str">
        <f>"RUTL-"&amp;RIGHT(K660,8)</f>
        <v>RUTL-N0002971</v>
      </c>
      <c r="M660" s="34" t="s">
        <v>40</v>
      </c>
      <c r="N660" s="90" t="s">
        <v>87</v>
      </c>
      <c r="O660" s="32"/>
      <c r="P660" s="35" t="s">
        <v>46</v>
      </c>
      <c r="Q660" s="100" t="s">
        <v>178</v>
      </c>
      <c r="R660" s="15" t="s">
        <v>56</v>
      </c>
      <c r="S660" s="37" t="s">
        <v>180</v>
      </c>
      <c r="T660" s="101" t="s">
        <v>96</v>
      </c>
      <c r="U660" s="39" t="s">
        <v>182</v>
      </c>
      <c r="V660" s="48">
        <v>45987</v>
      </c>
      <c r="W660" s="32" t="s">
        <v>184</v>
      </c>
      <c r="X660" s="30"/>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row>
    <row r="661" spans="1:135" ht="30" customHeight="1" thickBot="1" x14ac:dyDescent="0.3">
      <c r="A661" s="578" t="s">
        <v>5544</v>
      </c>
      <c r="B661" s="8">
        <v>13214</v>
      </c>
      <c r="C661" s="52" t="s">
        <v>5542</v>
      </c>
      <c r="D661" s="10" t="s">
        <v>24</v>
      </c>
      <c r="E661" s="11" t="s">
        <v>25</v>
      </c>
      <c r="F661" s="20" t="s">
        <v>5543</v>
      </c>
      <c r="G661" s="15" t="s">
        <v>224</v>
      </c>
      <c r="H661" s="409" t="s">
        <v>2507</v>
      </c>
      <c r="I661" s="18" t="s">
        <v>198</v>
      </c>
      <c r="J661" s="18" t="s">
        <v>170</v>
      </c>
      <c r="K661" s="23" t="s">
        <v>5545</v>
      </c>
      <c r="L661" s="25" t="str">
        <f>"RUTL-"&amp;RIGHT(K661,8)</f>
        <v>RUTL-N0003099</v>
      </c>
      <c r="M661" s="34" t="s">
        <v>40</v>
      </c>
      <c r="N661" s="90" t="s">
        <v>3834</v>
      </c>
      <c r="O661" s="39" t="s">
        <v>5546</v>
      </c>
      <c r="P661" s="35" t="s">
        <v>46</v>
      </c>
      <c r="Q661" s="36" t="s">
        <v>5547</v>
      </c>
      <c r="R661" s="15" t="s">
        <v>56</v>
      </c>
      <c r="S661" s="37" t="s">
        <v>57</v>
      </c>
      <c r="T661" s="105" t="s">
        <v>148</v>
      </c>
      <c r="U661" s="39" t="s">
        <v>2187</v>
      </c>
      <c r="V661" s="23"/>
      <c r="W661" s="23"/>
      <c r="X661" s="71"/>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row>
    <row r="662" spans="1:135" ht="30" customHeight="1" x14ac:dyDescent="0.25">
      <c r="A662" s="578" t="s">
        <v>3832</v>
      </c>
      <c r="B662" s="8">
        <v>6078</v>
      </c>
      <c r="C662" s="72" t="s">
        <v>3830</v>
      </c>
      <c r="D662" s="10" t="s">
        <v>24</v>
      </c>
      <c r="E662" s="11" t="s">
        <v>25</v>
      </c>
      <c r="F662" s="20" t="s">
        <v>3831</v>
      </c>
      <c r="G662" s="15" t="s">
        <v>448</v>
      </c>
      <c r="H662" s="476" t="s">
        <v>3573</v>
      </c>
      <c r="I662" s="18" t="s">
        <v>198</v>
      </c>
      <c r="J662" s="18" t="s">
        <v>170</v>
      </c>
      <c r="K662" s="33" t="s">
        <v>3833</v>
      </c>
      <c r="L662" s="25" t="str">
        <f>"RUTL-"&amp;RIGHT(K662,8)</f>
        <v>RUTL-N0003134</v>
      </c>
      <c r="M662" s="34" t="s">
        <v>40</v>
      </c>
      <c r="N662" s="90" t="s">
        <v>3834</v>
      </c>
      <c r="O662" s="39" t="s">
        <v>3835</v>
      </c>
      <c r="P662" s="35" t="s">
        <v>46</v>
      </c>
      <c r="Q662" s="36" t="s">
        <v>3836</v>
      </c>
      <c r="R662" s="15" t="s">
        <v>56</v>
      </c>
      <c r="S662" s="37" t="s">
        <v>57</v>
      </c>
      <c r="T662" s="105" t="s">
        <v>148</v>
      </c>
      <c r="U662" s="39" t="s">
        <v>3837</v>
      </c>
      <c r="V662" s="23"/>
      <c r="W662" s="23"/>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c r="DG662" s="5"/>
      <c r="DH662" s="5"/>
      <c r="DI662" s="5"/>
      <c r="DJ662" s="5"/>
      <c r="DK662" s="5"/>
      <c r="DL662" s="5"/>
      <c r="DM662" s="5"/>
      <c r="DN662" s="5"/>
      <c r="DO662" s="5"/>
      <c r="DP662" s="5"/>
      <c r="DQ662" s="5"/>
      <c r="DR662" s="5"/>
      <c r="DS662" s="5"/>
      <c r="DT662" s="5"/>
      <c r="DU662" s="5"/>
      <c r="DV662" s="5"/>
      <c r="DW662" s="5"/>
      <c r="DX662" s="5"/>
      <c r="DY662" s="5"/>
      <c r="DZ662" s="5"/>
      <c r="EA662" s="5"/>
      <c r="EB662" s="5"/>
      <c r="EC662" s="5"/>
      <c r="ED662" s="5"/>
      <c r="EE662" s="5"/>
    </row>
    <row r="663" spans="1:135" ht="30" customHeight="1" x14ac:dyDescent="0.25">
      <c r="A663" s="578" t="s">
        <v>3190</v>
      </c>
      <c r="B663" s="438">
        <v>3026</v>
      </c>
      <c r="C663" s="72" t="s">
        <v>3186</v>
      </c>
      <c r="D663" s="10" t="s">
        <v>24</v>
      </c>
      <c r="E663" s="11" t="s">
        <v>25</v>
      </c>
      <c r="F663" s="20" t="s">
        <v>3187</v>
      </c>
      <c r="G663" s="15" t="s">
        <v>109</v>
      </c>
      <c r="H663" s="65" t="s">
        <v>3188</v>
      </c>
      <c r="I663" s="18" t="s">
        <v>3189</v>
      </c>
      <c r="J663" s="18" t="s">
        <v>170</v>
      </c>
      <c r="K663" s="33" t="s">
        <v>3191</v>
      </c>
      <c r="L663" s="25" t="str">
        <f>"RUTL-"&amp;RIGHT(K663,8)</f>
        <v>RUTL-N0008359</v>
      </c>
      <c r="M663" s="34" t="s">
        <v>40</v>
      </c>
      <c r="N663" s="23"/>
      <c r="O663" s="23"/>
      <c r="P663" s="35" t="s">
        <v>46</v>
      </c>
      <c r="Q663" s="35" t="s">
        <v>3192</v>
      </c>
      <c r="R663" s="15" t="s">
        <v>56</v>
      </c>
      <c r="S663" s="232" t="s">
        <v>296</v>
      </c>
      <c r="T663" s="101" t="s">
        <v>96</v>
      </c>
      <c r="U663" s="23" t="s">
        <v>3193</v>
      </c>
      <c r="V663" s="48">
        <v>46010</v>
      </c>
      <c r="W663" s="23" t="s">
        <v>184</v>
      </c>
      <c r="X663" s="30"/>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c r="DG663" s="5"/>
      <c r="DH663" s="5"/>
      <c r="DI663" s="5"/>
      <c r="DJ663" s="5"/>
      <c r="DK663" s="5"/>
      <c r="DL663" s="5"/>
      <c r="DM663" s="5"/>
      <c r="DN663" s="5"/>
      <c r="DO663" s="5"/>
      <c r="DP663" s="5"/>
      <c r="DQ663" s="5"/>
      <c r="DR663" s="5"/>
      <c r="DS663" s="5"/>
      <c r="DT663" s="5"/>
      <c r="DU663" s="5"/>
      <c r="DV663" s="5"/>
      <c r="DW663" s="5"/>
      <c r="DX663" s="5"/>
      <c r="DY663" s="5"/>
      <c r="DZ663" s="5"/>
      <c r="EA663" s="5"/>
      <c r="EB663" s="5"/>
      <c r="EC663" s="5"/>
      <c r="ED663" s="5"/>
      <c r="EE663" s="5"/>
    </row>
    <row r="664" spans="1:135" ht="30" customHeight="1" x14ac:dyDescent="0.25">
      <c r="A664" s="578" t="s">
        <v>375</v>
      </c>
      <c r="B664" s="139" t="s">
        <v>372</v>
      </c>
      <c r="C664" s="56" t="s">
        <v>358</v>
      </c>
      <c r="D664" s="10" t="s">
        <v>24</v>
      </c>
      <c r="E664" s="28" t="s">
        <v>25</v>
      </c>
      <c r="F664" s="15"/>
      <c r="G664" s="15"/>
      <c r="H664" s="65" t="s">
        <v>97</v>
      </c>
      <c r="I664" s="54" t="s">
        <v>185</v>
      </c>
      <c r="J664" s="18" t="s">
        <v>170</v>
      </c>
      <c r="K664" s="33" t="s">
        <v>376</v>
      </c>
      <c r="L664" s="25" t="str">
        <f>"RUTL-"&amp;RIGHT(K664,8)</f>
        <v>RUTL-N0008337</v>
      </c>
      <c r="M664" s="109"/>
      <c r="N664" s="23"/>
      <c r="O664" s="23"/>
      <c r="P664" s="45" t="s">
        <v>46</v>
      </c>
      <c r="Q664" s="39"/>
      <c r="R664" s="46" t="s">
        <v>56</v>
      </c>
      <c r="S664" s="37"/>
      <c r="T664" s="64"/>
      <c r="U664" s="23"/>
      <c r="V664" s="48">
        <v>46010</v>
      </c>
      <c r="W664" s="23" t="s">
        <v>184</v>
      </c>
      <c r="X664" s="30"/>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c r="DG664" s="5"/>
      <c r="DH664" s="5"/>
      <c r="DI664" s="5"/>
      <c r="DJ664" s="5"/>
      <c r="DK664" s="5"/>
      <c r="DL664" s="5"/>
      <c r="DM664" s="5"/>
      <c r="DN664" s="5"/>
      <c r="DO664" s="5"/>
      <c r="DP664" s="5"/>
      <c r="DQ664" s="5"/>
      <c r="DR664" s="5"/>
      <c r="DS664" s="5"/>
      <c r="DT664" s="5"/>
      <c r="DU664" s="5"/>
      <c r="DV664" s="5"/>
      <c r="DW664" s="5"/>
      <c r="DX664" s="5"/>
      <c r="DY664" s="5"/>
      <c r="DZ664" s="5"/>
      <c r="EA664" s="5"/>
      <c r="EB664" s="5"/>
      <c r="EC664" s="5"/>
      <c r="ED664" s="5"/>
      <c r="EE664" s="5"/>
    </row>
    <row r="665" spans="1:135" ht="30" customHeight="1" x14ac:dyDescent="0.25">
      <c r="A665" s="578" t="s">
        <v>5042</v>
      </c>
      <c r="B665" s="436">
        <v>11463</v>
      </c>
      <c r="C665" s="72" t="s">
        <v>5041</v>
      </c>
      <c r="D665" s="10" t="s">
        <v>24</v>
      </c>
      <c r="E665" s="28" t="s">
        <v>25</v>
      </c>
      <c r="F665" s="20" t="s">
        <v>2494</v>
      </c>
      <c r="G665" s="15" t="s">
        <v>469</v>
      </c>
      <c r="H665" s="370" t="s">
        <v>1547</v>
      </c>
      <c r="I665" s="54" t="s">
        <v>198</v>
      </c>
      <c r="J665" s="18" t="s">
        <v>170</v>
      </c>
      <c r="K665" s="23" t="s">
        <v>5043</v>
      </c>
      <c r="L665" s="25" t="str">
        <f>"RUTL-"&amp;RIGHT(K665,8)</f>
        <v>RUTL-N0008342</v>
      </c>
      <c r="M665" s="34" t="s">
        <v>40</v>
      </c>
      <c r="N665" s="39" t="s">
        <v>87</v>
      </c>
      <c r="O665" s="23"/>
      <c r="P665" s="39" t="s">
        <v>46</v>
      </c>
      <c r="Q665" s="113" t="s">
        <v>5044</v>
      </c>
      <c r="R665" s="15" t="s">
        <v>56</v>
      </c>
      <c r="S665" s="37" t="s">
        <v>57</v>
      </c>
      <c r="T665" s="107" t="s">
        <v>453</v>
      </c>
      <c r="U665" s="39" t="s">
        <v>5045</v>
      </c>
      <c r="V665" s="23"/>
      <c r="W665" s="23"/>
      <c r="X665" s="30"/>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c r="DJ665" s="5"/>
      <c r="DK665" s="5"/>
      <c r="DL665" s="5"/>
      <c r="DM665" s="5"/>
      <c r="DN665" s="5"/>
      <c r="DO665" s="5"/>
      <c r="DP665" s="5"/>
      <c r="DQ665" s="5"/>
      <c r="DR665" s="5"/>
      <c r="DS665" s="5"/>
      <c r="DT665" s="5"/>
      <c r="DU665" s="5"/>
      <c r="DV665" s="5"/>
      <c r="DW665" s="5"/>
      <c r="DX665" s="5"/>
      <c r="DY665" s="5"/>
      <c r="DZ665" s="5"/>
      <c r="EA665" s="5"/>
      <c r="EB665" s="5"/>
      <c r="EC665" s="5"/>
      <c r="ED665" s="5"/>
      <c r="EE665" s="5"/>
    </row>
    <row r="666" spans="1:135" ht="30" customHeight="1" x14ac:dyDescent="0.25">
      <c r="A666" s="578" t="s">
        <v>534</v>
      </c>
      <c r="B666" s="438">
        <v>239</v>
      </c>
      <c r="C666" s="72" t="s">
        <v>530</v>
      </c>
      <c r="D666" s="10" t="s">
        <v>24</v>
      </c>
      <c r="E666" s="11" t="s">
        <v>25</v>
      </c>
      <c r="F666" s="20" t="s">
        <v>531</v>
      </c>
      <c r="G666" s="15" t="s">
        <v>109</v>
      </c>
      <c r="H666" s="22" t="s">
        <v>532</v>
      </c>
      <c r="I666" s="54" t="s">
        <v>198</v>
      </c>
      <c r="J666" s="18" t="s">
        <v>170</v>
      </c>
      <c r="K666" s="23" t="s">
        <v>535</v>
      </c>
      <c r="L666" s="25" t="str">
        <f>"RUTL-"&amp;RIGHT(K666,8)</f>
        <v>RUTL-N0002782</v>
      </c>
      <c r="M666" s="34" t="s">
        <v>40</v>
      </c>
      <c r="N666" s="39" t="s">
        <v>414</v>
      </c>
      <c r="O666" s="23"/>
      <c r="P666" s="35" t="s">
        <v>46</v>
      </c>
      <c r="Q666" s="36" t="s">
        <v>537</v>
      </c>
      <c r="R666" s="15" t="s">
        <v>56</v>
      </c>
      <c r="S666" s="40" t="s">
        <v>57</v>
      </c>
      <c r="T666" s="105" t="s">
        <v>148</v>
      </c>
      <c r="U666" s="39" t="s">
        <v>538</v>
      </c>
      <c r="V666" s="115">
        <v>45989</v>
      </c>
      <c r="W666" s="23" t="s">
        <v>301</v>
      </c>
      <c r="X666" s="30"/>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c r="DG666" s="5"/>
      <c r="DH666" s="5"/>
      <c r="DI666" s="5"/>
      <c r="DJ666" s="5"/>
      <c r="DK666" s="5"/>
      <c r="DL666" s="5"/>
      <c r="DM666" s="5"/>
      <c r="DN666" s="5"/>
      <c r="DO666" s="5"/>
      <c r="DP666" s="5"/>
      <c r="DQ666" s="5"/>
      <c r="DR666" s="5"/>
      <c r="DS666" s="5"/>
      <c r="DT666" s="5"/>
      <c r="DU666" s="5"/>
      <c r="DV666" s="5"/>
      <c r="DW666" s="5"/>
      <c r="DX666" s="5"/>
      <c r="DY666" s="5"/>
      <c r="DZ666" s="5"/>
      <c r="EA666" s="5"/>
      <c r="EB666" s="5"/>
      <c r="EC666" s="5"/>
      <c r="ED666" s="5"/>
      <c r="EE666" s="5"/>
    </row>
    <row r="667" spans="1:135" ht="30" customHeight="1" thickBot="1" x14ac:dyDescent="0.3">
      <c r="A667" s="578" t="s">
        <v>5058</v>
      </c>
      <c r="B667" s="381">
        <v>11532</v>
      </c>
      <c r="C667" s="72" t="s">
        <v>5055</v>
      </c>
      <c r="D667" s="10" t="s">
        <v>24</v>
      </c>
      <c r="E667" s="11" t="s">
        <v>25</v>
      </c>
      <c r="F667" s="20" t="s">
        <v>5056</v>
      </c>
      <c r="G667" s="15" t="s">
        <v>2506</v>
      </c>
      <c r="H667" s="156" t="s">
        <v>5057</v>
      </c>
      <c r="I667" s="54" t="s">
        <v>30</v>
      </c>
      <c r="J667" s="18" t="s">
        <v>170</v>
      </c>
      <c r="K667" s="23" t="s">
        <v>5059</v>
      </c>
      <c r="L667" s="25" t="str">
        <f>"RUTL-"&amp;RIGHT(K667,8)</f>
        <v>RUTL-N0008385</v>
      </c>
      <c r="M667" s="34" t="s">
        <v>40</v>
      </c>
      <c r="N667" s="90" t="s">
        <v>473</v>
      </c>
      <c r="O667" s="39" t="s">
        <v>5060</v>
      </c>
      <c r="P667" s="35" t="s">
        <v>46</v>
      </c>
      <c r="Q667" s="36" t="s">
        <v>5061</v>
      </c>
      <c r="R667" s="15" t="s">
        <v>56</v>
      </c>
      <c r="S667" s="37" t="s">
        <v>57</v>
      </c>
      <c r="T667" s="105" t="s">
        <v>148</v>
      </c>
      <c r="U667" s="39" t="s">
        <v>2187</v>
      </c>
      <c r="V667" s="115">
        <v>45986</v>
      </c>
      <c r="W667" s="23" t="s">
        <v>301</v>
      </c>
      <c r="X667" s="30"/>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row>
    <row r="668" spans="1:135" ht="30" customHeight="1" thickBot="1" x14ac:dyDescent="0.3">
      <c r="A668" s="578" t="s">
        <v>4632</v>
      </c>
      <c r="B668" s="381">
        <v>9574</v>
      </c>
      <c r="C668" s="52" t="s">
        <v>4629</v>
      </c>
      <c r="D668" s="10" t="s">
        <v>24</v>
      </c>
      <c r="E668" s="11" t="s">
        <v>25</v>
      </c>
      <c r="F668" s="20" t="s">
        <v>4630</v>
      </c>
      <c r="G668" s="15" t="s">
        <v>224</v>
      </c>
      <c r="H668" s="119" t="s">
        <v>852</v>
      </c>
      <c r="I668" s="18" t="s">
        <v>4631</v>
      </c>
      <c r="J668" s="18" t="s">
        <v>170</v>
      </c>
      <c r="K668" s="33" t="s">
        <v>4633</v>
      </c>
      <c r="L668" s="25" t="str">
        <f>"RUTL-"&amp;RIGHT(K668,8)</f>
        <v>RUTL-N0008353</v>
      </c>
      <c r="M668" s="34" t="s">
        <v>40</v>
      </c>
      <c r="N668" s="90" t="s">
        <v>473</v>
      </c>
      <c r="O668" s="39" t="s">
        <v>4634</v>
      </c>
      <c r="P668" s="35" t="s">
        <v>46</v>
      </c>
      <c r="Q668" s="36" t="s">
        <v>4635</v>
      </c>
      <c r="R668" s="15" t="s">
        <v>56</v>
      </c>
      <c r="S668" s="146" t="s">
        <v>57</v>
      </c>
      <c r="T668" s="105" t="s">
        <v>148</v>
      </c>
      <c r="U668" s="39" t="s">
        <v>4636</v>
      </c>
      <c r="V668" s="242"/>
      <c r="W668" s="23"/>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c r="DG668" s="5"/>
      <c r="DH668" s="5"/>
      <c r="DI668" s="5"/>
      <c r="DJ668" s="5"/>
      <c r="DK668" s="5"/>
      <c r="DL668" s="5"/>
      <c r="DM668" s="5"/>
      <c r="DN668" s="5"/>
      <c r="DO668" s="5"/>
      <c r="DP668" s="5"/>
      <c r="DQ668" s="5"/>
      <c r="DR668" s="5"/>
      <c r="DS668" s="5"/>
      <c r="DT668" s="5"/>
      <c r="DU668" s="5"/>
      <c r="DV668" s="5"/>
      <c r="DW668" s="5"/>
      <c r="DX668" s="5"/>
      <c r="DY668" s="5"/>
      <c r="DZ668" s="5"/>
      <c r="EA668" s="5"/>
      <c r="EB668" s="5"/>
      <c r="EC668" s="5"/>
      <c r="ED668" s="5"/>
      <c r="EE668" s="5"/>
    </row>
    <row r="669" spans="1:135" ht="30" customHeight="1" thickBot="1" x14ac:dyDescent="0.3">
      <c r="A669" s="578" t="s">
        <v>4143</v>
      </c>
      <c r="B669" s="438">
        <v>7388</v>
      </c>
      <c r="C669" s="72" t="s">
        <v>4141</v>
      </c>
      <c r="D669" s="10" t="s">
        <v>24</v>
      </c>
      <c r="E669" s="11" t="s">
        <v>25</v>
      </c>
      <c r="F669" s="20" t="s">
        <v>1570</v>
      </c>
      <c r="G669" s="15" t="s">
        <v>1571</v>
      </c>
      <c r="H669" s="156" t="s">
        <v>1573</v>
      </c>
      <c r="I669" s="18" t="s">
        <v>4142</v>
      </c>
      <c r="J669" s="24" t="s">
        <v>170</v>
      </c>
      <c r="K669" s="23" t="s">
        <v>4144</v>
      </c>
      <c r="L669" s="21" t="str">
        <f>"RUTL-"&amp;RIGHT(K669,8)</f>
        <v>RUTL-N0002754</v>
      </c>
      <c r="M669" s="34" t="s">
        <v>40</v>
      </c>
      <c r="N669" s="15" t="s">
        <v>473</v>
      </c>
      <c r="O669" s="23"/>
      <c r="P669" s="35" t="s">
        <v>46</v>
      </c>
      <c r="Q669" s="113"/>
      <c r="R669" s="15" t="s">
        <v>56</v>
      </c>
      <c r="S669" s="37" t="s">
        <v>57</v>
      </c>
      <c r="T669" s="35" t="s">
        <v>65</v>
      </c>
      <c r="U669" s="39" t="s">
        <v>3509</v>
      </c>
      <c r="V669" s="23"/>
      <c r="W669" s="23" t="s">
        <v>4145</v>
      </c>
      <c r="X669" s="24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c r="DG669" s="5"/>
      <c r="DH669" s="5"/>
      <c r="DI669" s="5"/>
      <c r="DJ669" s="5"/>
      <c r="DK669" s="5"/>
      <c r="DL669" s="5"/>
      <c r="DM669" s="5"/>
      <c r="DN669" s="5"/>
      <c r="DO669" s="5"/>
      <c r="DP669" s="5"/>
      <c r="DQ669" s="5"/>
      <c r="DR669" s="5"/>
      <c r="DS669" s="5"/>
      <c r="DT669" s="5"/>
      <c r="DU669" s="5"/>
      <c r="DV669" s="5"/>
      <c r="DW669" s="5"/>
      <c r="DX669" s="5"/>
      <c r="DY669" s="5"/>
      <c r="DZ669" s="5"/>
      <c r="EA669" s="5"/>
      <c r="EB669" s="5"/>
      <c r="EC669" s="5"/>
      <c r="ED669" s="5"/>
      <c r="EE669" s="5"/>
    </row>
    <row r="670" spans="1:135" ht="30" customHeight="1" thickBot="1" x14ac:dyDescent="0.3">
      <c r="A670" s="578" t="s">
        <v>3545</v>
      </c>
      <c r="B670" s="438">
        <v>4304</v>
      </c>
      <c r="C670" s="72" t="s">
        <v>3541</v>
      </c>
      <c r="D670" s="15" t="s">
        <v>24</v>
      </c>
      <c r="E670" s="11" t="s">
        <v>25</v>
      </c>
      <c r="F670" s="12" t="s">
        <v>3542</v>
      </c>
      <c r="G670" s="15" t="s">
        <v>448</v>
      </c>
      <c r="H670" s="76" t="s">
        <v>3543</v>
      </c>
      <c r="I670" s="54" t="s">
        <v>3544</v>
      </c>
      <c r="J670" s="18" t="s">
        <v>170</v>
      </c>
      <c r="K670" s="33" t="s">
        <v>3546</v>
      </c>
      <c r="L670" s="25" t="str">
        <f>"RUTL-"&amp;RIGHT(K670,8)</f>
        <v>RUTL-N0002693</v>
      </c>
      <c r="M670" s="34" t="s">
        <v>40</v>
      </c>
      <c r="N670" s="39" t="s">
        <v>414</v>
      </c>
      <c r="O670" s="32"/>
      <c r="P670" s="35" t="s">
        <v>46</v>
      </c>
      <c r="Q670" s="36" t="s">
        <v>3547</v>
      </c>
      <c r="R670" s="15" t="s">
        <v>56</v>
      </c>
      <c r="S670" s="37" t="s">
        <v>57</v>
      </c>
      <c r="T670" s="350" t="s">
        <v>96</v>
      </c>
      <c r="U670" s="23" t="s">
        <v>2709</v>
      </c>
      <c r="V670" s="115">
        <v>45989</v>
      </c>
      <c r="W670" s="23" t="s">
        <v>301</v>
      </c>
      <c r="X670" s="30"/>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c r="DJ670" s="5"/>
      <c r="DK670" s="5"/>
      <c r="DL670" s="5"/>
      <c r="DM670" s="5"/>
      <c r="DN670" s="5"/>
      <c r="DO670" s="5"/>
      <c r="DP670" s="5"/>
      <c r="DQ670" s="5"/>
      <c r="DR670" s="5"/>
      <c r="DS670" s="5"/>
      <c r="DT670" s="5"/>
      <c r="DU670" s="5"/>
      <c r="DV670" s="5"/>
      <c r="DW670" s="5"/>
      <c r="DX670" s="5"/>
      <c r="DY670" s="5"/>
      <c r="DZ670" s="5"/>
      <c r="EA670" s="5"/>
      <c r="EB670" s="5"/>
      <c r="EC670" s="5"/>
      <c r="ED670" s="5"/>
      <c r="EE670" s="5"/>
    </row>
    <row r="671" spans="1:135" ht="30" customHeight="1" thickBot="1" x14ac:dyDescent="0.3">
      <c r="A671" s="578" t="s">
        <v>3790</v>
      </c>
      <c r="B671" s="438">
        <v>5692</v>
      </c>
      <c r="C671" s="72" t="s">
        <v>3788</v>
      </c>
      <c r="D671" s="15" t="s">
        <v>24</v>
      </c>
      <c r="E671" s="11" t="s">
        <v>25</v>
      </c>
      <c r="F671" s="20" t="s">
        <v>3789</v>
      </c>
      <c r="G671" s="59" t="s">
        <v>3276</v>
      </c>
      <c r="H671" s="119" t="s">
        <v>960</v>
      </c>
      <c r="I671" s="54" t="s">
        <v>30</v>
      </c>
      <c r="J671" s="18" t="s">
        <v>170</v>
      </c>
      <c r="K671" s="33" t="s">
        <v>3791</v>
      </c>
      <c r="L671" s="25" t="str">
        <f>"RUTL-"&amp;RIGHT(K671,8)</f>
        <v>RUTL-N0002625</v>
      </c>
      <c r="M671" s="34" t="s">
        <v>40</v>
      </c>
      <c r="N671" s="39" t="s">
        <v>414</v>
      </c>
      <c r="O671" s="39" t="s">
        <v>3792</v>
      </c>
      <c r="P671" s="35" t="s">
        <v>46</v>
      </c>
      <c r="Q671" s="36" t="s">
        <v>3793</v>
      </c>
      <c r="R671" s="15" t="s">
        <v>56</v>
      </c>
      <c r="S671" s="232" t="s">
        <v>296</v>
      </c>
      <c r="T671" s="105" t="s">
        <v>148</v>
      </c>
      <c r="U671" s="39" t="s">
        <v>3794</v>
      </c>
      <c r="V671" s="242"/>
      <c r="W671" s="23"/>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c r="BO671" s="30"/>
      <c r="BP671" s="30"/>
      <c r="BQ671" s="30"/>
      <c r="BR671" s="30"/>
      <c r="BS671" s="30"/>
      <c r="BT671" s="30"/>
      <c r="BU671" s="30"/>
      <c r="BV671" s="30"/>
      <c r="BW671" s="30"/>
      <c r="BX671" s="30"/>
      <c r="BY671" s="30"/>
      <c r="BZ671" s="30"/>
      <c r="CA671" s="30"/>
      <c r="CB671" s="30"/>
      <c r="CC671" s="30"/>
      <c r="CD671" s="30"/>
      <c r="CE671" s="30"/>
      <c r="CF671" s="30"/>
      <c r="CG671" s="30"/>
      <c r="CH671" s="30"/>
      <c r="CI671" s="30"/>
      <c r="CJ671" s="30"/>
      <c r="CK671" s="30"/>
      <c r="CL671" s="30"/>
      <c r="CM671" s="30"/>
      <c r="CN671" s="30"/>
      <c r="CO671" s="30"/>
      <c r="CP671" s="30"/>
      <c r="CQ671" s="30"/>
      <c r="CR671" s="30"/>
      <c r="CS671" s="30"/>
      <c r="CT671" s="30"/>
      <c r="CU671" s="30"/>
      <c r="CV671" s="30"/>
      <c r="CW671" s="30"/>
      <c r="CX671" s="30"/>
      <c r="CY671" s="30"/>
      <c r="CZ671" s="30"/>
      <c r="DA671" s="30"/>
      <c r="DB671" s="30"/>
      <c r="DC671" s="30"/>
      <c r="DD671" s="30"/>
      <c r="DE671" s="30"/>
      <c r="DF671" s="30"/>
      <c r="DG671" s="30"/>
      <c r="DH671" s="30"/>
      <c r="DI671" s="30"/>
      <c r="DJ671" s="30"/>
      <c r="DK671" s="30"/>
      <c r="DL671" s="30"/>
      <c r="DM671" s="30"/>
      <c r="DN671" s="30"/>
      <c r="DO671" s="30"/>
      <c r="DP671" s="30"/>
      <c r="DQ671" s="30"/>
      <c r="DR671" s="30"/>
      <c r="DS671" s="30"/>
      <c r="DT671" s="30"/>
      <c r="DU671" s="30"/>
      <c r="DV671" s="30"/>
      <c r="DW671" s="30"/>
      <c r="DX671" s="30"/>
      <c r="DY671" s="30"/>
      <c r="DZ671" s="30"/>
      <c r="EA671" s="30"/>
      <c r="EB671" s="30"/>
      <c r="EC671" s="30"/>
      <c r="ED671" s="30"/>
      <c r="EE671" s="30"/>
    </row>
    <row r="672" spans="1:135" ht="30" customHeight="1" x14ac:dyDescent="0.25">
      <c r="A672" s="578" t="s">
        <v>5137</v>
      </c>
      <c r="B672" s="436">
        <v>12022</v>
      </c>
      <c r="C672" s="72" t="s">
        <v>5134</v>
      </c>
      <c r="D672" s="10" t="s">
        <v>24</v>
      </c>
      <c r="E672" s="11" t="s">
        <v>25</v>
      </c>
      <c r="F672" s="12" t="s">
        <v>5135</v>
      </c>
      <c r="G672" s="15" t="s">
        <v>5136</v>
      </c>
      <c r="H672" s="148" t="s">
        <v>1835</v>
      </c>
      <c r="I672" s="54" t="s">
        <v>117</v>
      </c>
      <c r="J672" s="18" t="s">
        <v>170</v>
      </c>
      <c r="K672" s="23" t="s">
        <v>5138</v>
      </c>
      <c r="L672" s="25" t="str">
        <f>"RUTL-"&amp;RIGHT(K672,8)</f>
        <v>RUTL-N0008349</v>
      </c>
      <c r="M672" s="34" t="s">
        <v>40</v>
      </c>
      <c r="N672" s="39" t="s">
        <v>414</v>
      </c>
      <c r="O672" s="23"/>
      <c r="P672" s="35" t="s">
        <v>46</v>
      </c>
      <c r="Q672" s="63" t="s">
        <v>5139</v>
      </c>
      <c r="R672" s="15" t="s">
        <v>56</v>
      </c>
      <c r="S672" s="40" t="s">
        <v>57</v>
      </c>
      <c r="T672" s="101" t="s">
        <v>96</v>
      </c>
      <c r="U672" s="39" t="s">
        <v>5140</v>
      </c>
      <c r="V672" s="48">
        <v>46010</v>
      </c>
      <c r="W672" s="23" t="s">
        <v>184</v>
      </c>
      <c r="X672" s="30"/>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c r="DJ672" s="5"/>
      <c r="DK672" s="5"/>
      <c r="DL672" s="5"/>
      <c r="DM672" s="5"/>
      <c r="DN672" s="5"/>
      <c r="DO672" s="5"/>
      <c r="DP672" s="5"/>
      <c r="DQ672" s="5"/>
      <c r="DR672" s="5"/>
      <c r="DS672" s="5"/>
      <c r="DT672" s="5"/>
      <c r="DU672" s="5"/>
      <c r="DV672" s="5"/>
      <c r="DW672" s="5"/>
      <c r="DX672" s="5"/>
      <c r="DY672" s="5"/>
      <c r="DZ672" s="5"/>
      <c r="EA672" s="5"/>
      <c r="EB672" s="5"/>
      <c r="EC672" s="5"/>
      <c r="ED672" s="5"/>
      <c r="EE672" s="5"/>
    </row>
    <row r="673" spans="1:135" ht="30" customHeight="1" x14ac:dyDescent="0.25">
      <c r="A673" s="578" t="s">
        <v>715</v>
      </c>
      <c r="B673" s="438">
        <v>293</v>
      </c>
      <c r="C673" s="72" t="s">
        <v>710</v>
      </c>
      <c r="D673" s="15" t="s">
        <v>24</v>
      </c>
      <c r="E673" s="11" t="s">
        <v>25</v>
      </c>
      <c r="F673" s="20" t="s">
        <v>713</v>
      </c>
      <c r="G673" s="15" t="s">
        <v>224</v>
      </c>
      <c r="H673" s="17" t="s">
        <v>714</v>
      </c>
      <c r="I673" s="54" t="s">
        <v>117</v>
      </c>
      <c r="J673" s="18" t="s">
        <v>170</v>
      </c>
      <c r="K673" s="23" t="s">
        <v>716</v>
      </c>
      <c r="L673" s="25" t="str">
        <f>"RUTL-"&amp;RIGHT(K673,8)</f>
        <v>RUTL-N0008330</v>
      </c>
      <c r="M673" s="34" t="s">
        <v>40</v>
      </c>
      <c r="N673" s="23"/>
      <c r="O673" s="23"/>
      <c r="P673" s="39" t="s">
        <v>90</v>
      </c>
      <c r="Q673" s="113"/>
      <c r="R673" s="15" t="s">
        <v>56</v>
      </c>
      <c r="S673" s="37" t="s">
        <v>57</v>
      </c>
      <c r="T673" s="114" t="s">
        <v>273</v>
      </c>
      <c r="U673" s="23" t="s">
        <v>718</v>
      </c>
      <c r="V673" s="23"/>
      <c r="W673" s="23"/>
      <c r="X673" s="30"/>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c r="DG673" s="5"/>
      <c r="DH673" s="5"/>
      <c r="DI673" s="5"/>
      <c r="DJ673" s="5"/>
      <c r="DK673" s="5"/>
      <c r="DL673" s="5"/>
      <c r="DM673" s="5"/>
      <c r="DN673" s="5"/>
      <c r="DO673" s="5"/>
      <c r="DP673" s="5"/>
      <c r="DQ673" s="5"/>
      <c r="DR673" s="5"/>
      <c r="DS673" s="5"/>
      <c r="DT673" s="5"/>
      <c r="DU673" s="5"/>
      <c r="DV673" s="5"/>
      <c r="DW673" s="5"/>
      <c r="DX673" s="5"/>
      <c r="DY673" s="5"/>
      <c r="DZ673" s="5"/>
      <c r="EA673" s="5"/>
      <c r="EB673" s="5"/>
      <c r="EC673" s="5"/>
      <c r="ED673" s="5"/>
      <c r="EE673" s="5"/>
    </row>
    <row r="674" spans="1:135" ht="30" customHeight="1" x14ac:dyDescent="0.25">
      <c r="A674" s="578" t="s">
        <v>278</v>
      </c>
      <c r="B674" s="139" t="s">
        <v>276</v>
      </c>
      <c r="C674" s="56" t="s">
        <v>179</v>
      </c>
      <c r="D674" s="10" t="s">
        <v>24</v>
      </c>
      <c r="E674" s="28" t="s">
        <v>25</v>
      </c>
      <c r="F674" s="15"/>
      <c r="G674" s="15"/>
      <c r="H674" s="102" t="s">
        <v>97</v>
      </c>
      <c r="I674" s="54" t="s">
        <v>185</v>
      </c>
      <c r="J674" s="18" t="s">
        <v>170</v>
      </c>
      <c r="K674" s="33" t="s">
        <v>279</v>
      </c>
      <c r="L674" s="25" t="str">
        <f>"RUTL-"&amp;RIGHT(K674,8)</f>
        <v>RUTL-N0002749</v>
      </c>
      <c r="M674" s="109"/>
      <c r="N674" s="23"/>
      <c r="O674" s="23"/>
      <c r="P674" s="45" t="s">
        <v>46</v>
      </c>
      <c r="Q674" s="39"/>
      <c r="R674" s="46" t="s">
        <v>56</v>
      </c>
      <c r="S674" s="37"/>
      <c r="T674" s="64"/>
      <c r="U674" s="23"/>
      <c r="V674" s="48">
        <v>45989</v>
      </c>
      <c r="W674" s="23" t="s">
        <v>184</v>
      </c>
      <c r="X674" s="30"/>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c r="DG674" s="5"/>
      <c r="DH674" s="5"/>
      <c r="DI674" s="5"/>
      <c r="DJ674" s="5"/>
      <c r="DK674" s="5"/>
      <c r="DL674" s="5"/>
      <c r="DM674" s="5"/>
      <c r="DN674" s="5"/>
      <c r="DO674" s="5"/>
      <c r="DP674" s="5"/>
      <c r="DQ674" s="5"/>
      <c r="DR674" s="5"/>
      <c r="DS674" s="5"/>
      <c r="DT674" s="5"/>
      <c r="DU674" s="5"/>
      <c r="DV674" s="5"/>
      <c r="DW674" s="5"/>
      <c r="DX674" s="5"/>
      <c r="DY674" s="5"/>
      <c r="DZ674" s="5"/>
      <c r="EA674" s="5"/>
      <c r="EB674" s="5"/>
      <c r="EC674" s="5"/>
      <c r="ED674" s="5"/>
      <c r="EE674" s="5"/>
    </row>
    <row r="675" spans="1:135" ht="30" customHeight="1" x14ac:dyDescent="0.25">
      <c r="A675" s="578" t="s">
        <v>352</v>
      </c>
      <c r="B675" s="241"/>
      <c r="C675" s="99" t="s">
        <v>346</v>
      </c>
      <c r="D675" s="59" t="s">
        <v>24</v>
      </c>
      <c r="E675" s="11" t="s">
        <v>25</v>
      </c>
      <c r="F675" s="29" t="s">
        <v>347</v>
      </c>
      <c r="G675" s="15" t="s">
        <v>348</v>
      </c>
      <c r="H675" s="104" t="s">
        <v>349</v>
      </c>
      <c r="I675" s="54" t="s">
        <v>350</v>
      </c>
      <c r="J675" s="18" t="s">
        <v>351</v>
      </c>
      <c r="K675" s="23" t="s">
        <v>365</v>
      </c>
      <c r="L675" s="21" t="str">
        <f>"RUTL-"&amp;RIGHT(K675,8)</f>
        <v>RUTL-K0127434</v>
      </c>
      <c r="M675" s="135"/>
      <c r="N675" s="136"/>
      <c r="O675" s="136"/>
      <c r="P675" s="135"/>
      <c r="Q675" s="39"/>
      <c r="R675" s="15" t="s">
        <v>56</v>
      </c>
      <c r="S675" s="545" t="s">
        <v>57</v>
      </c>
      <c r="T675" s="108" t="s">
        <v>142</v>
      </c>
      <c r="U675" s="47" t="s">
        <v>378</v>
      </c>
      <c r="V675" s="23"/>
      <c r="W675" s="23"/>
      <c r="X675" s="30"/>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c r="DG675" s="5"/>
      <c r="DH675" s="5"/>
      <c r="DI675" s="5"/>
      <c r="DJ675" s="5"/>
      <c r="DK675" s="5"/>
      <c r="DL675" s="5"/>
      <c r="DM675" s="5"/>
      <c r="DN675" s="5"/>
      <c r="DO675" s="5"/>
      <c r="DP675" s="5"/>
      <c r="DQ675" s="5"/>
      <c r="DR675" s="5"/>
      <c r="DS675" s="5"/>
      <c r="DT675" s="5"/>
      <c r="DU675" s="5"/>
      <c r="DV675" s="5"/>
      <c r="DW675" s="5"/>
      <c r="DX675" s="5"/>
      <c r="DY675" s="5"/>
      <c r="DZ675" s="5"/>
      <c r="EA675" s="5"/>
      <c r="EB675" s="5"/>
      <c r="EC675" s="5"/>
      <c r="ED675" s="5"/>
      <c r="EE675" s="5"/>
    </row>
    <row r="676" spans="1:135" ht="30" customHeight="1" x14ac:dyDescent="0.25">
      <c r="A676" s="578" t="s">
        <v>879</v>
      </c>
      <c r="B676" s="159"/>
      <c r="C676" s="56" t="s">
        <v>874</v>
      </c>
      <c r="D676" s="10" t="s">
        <v>24</v>
      </c>
      <c r="E676" s="28" t="s">
        <v>25</v>
      </c>
      <c r="F676" s="29" t="s">
        <v>875</v>
      </c>
      <c r="G676" s="157" t="s">
        <v>876</v>
      </c>
      <c r="H676" s="119" t="s">
        <v>852</v>
      </c>
      <c r="I676" s="18" t="s">
        <v>878</v>
      </c>
      <c r="J676" s="18" t="s">
        <v>102</v>
      </c>
      <c r="K676" s="33" t="s">
        <v>880</v>
      </c>
      <c r="L676" s="25" t="str">
        <f>"RUTL-"&amp;RIGHT(K676,8)</f>
        <v>RUTL-K0127438</v>
      </c>
      <c r="M676" s="109"/>
      <c r="N676" s="23"/>
      <c r="O676" s="23"/>
      <c r="P676" s="45" t="s">
        <v>46</v>
      </c>
      <c r="Q676" s="39" t="s">
        <v>881</v>
      </c>
      <c r="R676" s="46" t="s">
        <v>56</v>
      </c>
      <c r="S676" s="37"/>
      <c r="T676" s="64"/>
      <c r="U676" s="23" t="s">
        <v>883</v>
      </c>
      <c r="V676" s="48">
        <v>46010</v>
      </c>
      <c r="W676" s="23"/>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row>
    <row r="677" spans="1:135" ht="30" customHeight="1" x14ac:dyDescent="0.25">
      <c r="A677" s="578" t="s">
        <v>6205</v>
      </c>
      <c r="B677" s="438">
        <v>15370</v>
      </c>
      <c r="C677" s="72" t="s">
        <v>6202</v>
      </c>
      <c r="D677" s="10" t="s">
        <v>24</v>
      </c>
      <c r="E677" s="11" t="s">
        <v>25</v>
      </c>
      <c r="F677" s="12" t="s">
        <v>6204</v>
      </c>
      <c r="G677" s="59" t="s">
        <v>6056</v>
      </c>
      <c r="H677" s="102" t="s">
        <v>5343</v>
      </c>
      <c r="I677" s="54" t="s">
        <v>6191</v>
      </c>
      <c r="J677" s="18" t="s">
        <v>102</v>
      </c>
      <c r="K677" s="23" t="s">
        <v>6206</v>
      </c>
      <c r="L677" s="25" t="str">
        <f>"RUTL-"&amp;RIGHT(K677,8)</f>
        <v>RUTL-K0127439</v>
      </c>
      <c r="M677" s="34" t="s">
        <v>40</v>
      </c>
      <c r="N677" s="23" t="s">
        <v>54</v>
      </c>
      <c r="O677" s="23"/>
      <c r="P677" s="35" t="s">
        <v>46</v>
      </c>
      <c r="Q677" s="36" t="s">
        <v>6207</v>
      </c>
      <c r="R677" s="15" t="s">
        <v>56</v>
      </c>
      <c r="S677" s="548" t="s">
        <v>296</v>
      </c>
      <c r="T677" s="309" t="s">
        <v>273</v>
      </c>
      <c r="U677" s="39" t="s">
        <v>3391</v>
      </c>
      <c r="V677" s="48">
        <v>46010</v>
      </c>
      <c r="W677" s="23"/>
      <c r="X677" s="30"/>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row>
    <row r="678" spans="1:135" ht="30" customHeight="1" x14ac:dyDescent="0.25">
      <c r="A678" s="578" t="s">
        <v>6285</v>
      </c>
      <c r="B678" s="438">
        <v>15584</v>
      </c>
      <c r="C678" s="50" t="s">
        <v>6283</v>
      </c>
      <c r="D678" s="10" t="s">
        <v>24</v>
      </c>
      <c r="E678" s="11" t="s">
        <v>25</v>
      </c>
      <c r="F678" s="20" t="s">
        <v>6284</v>
      </c>
      <c r="G678" s="15" t="s">
        <v>2011</v>
      </c>
      <c r="H678" s="22" t="s">
        <v>2658</v>
      </c>
      <c r="I678" s="54" t="s">
        <v>135</v>
      </c>
      <c r="J678" s="24" t="s">
        <v>32</v>
      </c>
      <c r="K678" s="23" t="s">
        <v>6286</v>
      </c>
      <c r="L678" s="25" t="str">
        <f>"RUTL-"&amp;RIGHT(K678,8)</f>
        <v>RUTL-PW0LW3RT</v>
      </c>
      <c r="M678" s="34" t="s">
        <v>40</v>
      </c>
      <c r="N678" s="23" t="s">
        <v>54</v>
      </c>
      <c r="O678" s="32"/>
      <c r="P678" s="35" t="s">
        <v>46</v>
      </c>
      <c r="Q678" s="36" t="s">
        <v>6287</v>
      </c>
      <c r="R678" s="15" t="s">
        <v>56</v>
      </c>
      <c r="S678" s="40" t="s">
        <v>57</v>
      </c>
      <c r="T678" s="105" t="s">
        <v>148</v>
      </c>
      <c r="U678" s="39" t="s">
        <v>4232</v>
      </c>
      <c r="V678" s="44">
        <v>46108</v>
      </c>
      <c r="W678" s="23" t="s">
        <v>63</v>
      </c>
      <c r="X678" s="30"/>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row>
    <row r="679" spans="1:135" ht="30" customHeight="1" thickBot="1" x14ac:dyDescent="0.3">
      <c r="A679" s="578" t="s">
        <v>2220</v>
      </c>
      <c r="B679" s="438">
        <v>940</v>
      </c>
      <c r="C679" s="231" t="s">
        <v>2218</v>
      </c>
      <c r="D679" s="15" t="s">
        <v>24</v>
      </c>
      <c r="E679" s="11" t="s">
        <v>25</v>
      </c>
      <c r="F679" s="20" t="s">
        <v>2219</v>
      </c>
      <c r="G679" s="15" t="s">
        <v>448</v>
      </c>
      <c r="H679" s="22" t="s">
        <v>564</v>
      </c>
      <c r="I679" s="54" t="s">
        <v>30</v>
      </c>
      <c r="J679" s="24" t="s">
        <v>32</v>
      </c>
      <c r="K679" s="23" t="s">
        <v>2221</v>
      </c>
      <c r="L679" s="25" t="str">
        <f>"RUTL-"&amp;RIGHT(K679,8)</f>
        <v>RUTL-PW0LW3NT</v>
      </c>
      <c r="M679" s="34" t="s">
        <v>40</v>
      </c>
      <c r="N679" s="23" t="s">
        <v>54</v>
      </c>
      <c r="O679" s="32"/>
      <c r="P679" s="35" t="s">
        <v>46</v>
      </c>
      <c r="Q679" s="36" t="s">
        <v>2222</v>
      </c>
      <c r="R679" s="15" t="s">
        <v>56</v>
      </c>
      <c r="S679" s="40" t="s">
        <v>57</v>
      </c>
      <c r="T679" s="105" t="s">
        <v>148</v>
      </c>
      <c r="U679" s="39" t="s">
        <v>911</v>
      </c>
      <c r="V679" s="44">
        <v>46108</v>
      </c>
      <c r="W679" s="23" t="s">
        <v>63</v>
      </c>
      <c r="X679" s="30"/>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c r="DG679" s="5"/>
      <c r="DH679" s="5"/>
      <c r="DI679" s="5"/>
      <c r="DJ679" s="5"/>
      <c r="DK679" s="5"/>
      <c r="DL679" s="5"/>
      <c r="DM679" s="5"/>
      <c r="DN679" s="5"/>
      <c r="DO679" s="5"/>
      <c r="DP679" s="5"/>
      <c r="DQ679" s="5"/>
      <c r="DR679" s="5"/>
      <c r="DS679" s="5"/>
      <c r="DT679" s="5"/>
      <c r="DU679" s="5"/>
      <c r="DV679" s="5"/>
      <c r="DW679" s="5"/>
      <c r="DX679" s="5"/>
      <c r="DY679" s="5"/>
      <c r="DZ679" s="5"/>
      <c r="EA679" s="5"/>
      <c r="EB679" s="5"/>
      <c r="EC679" s="5"/>
      <c r="ED679" s="5"/>
      <c r="EE679" s="5"/>
    </row>
    <row r="680" spans="1:135" ht="30" customHeight="1" thickBot="1" x14ac:dyDescent="0.3">
      <c r="A680" s="578" t="s">
        <v>3438</v>
      </c>
      <c r="B680" s="440">
        <v>3932</v>
      </c>
      <c r="C680" s="50" t="s">
        <v>3436</v>
      </c>
      <c r="D680" s="15" t="s">
        <v>24</v>
      </c>
      <c r="E680" s="11" t="s">
        <v>25</v>
      </c>
      <c r="F680" s="20" t="s">
        <v>3437</v>
      </c>
      <c r="G680" s="15" t="s">
        <v>285</v>
      </c>
      <c r="H680" s="22" t="s">
        <v>2902</v>
      </c>
      <c r="I680" s="142" t="s">
        <v>198</v>
      </c>
      <c r="J680" s="24" t="s">
        <v>32</v>
      </c>
      <c r="K680" s="499" t="s">
        <v>3439</v>
      </c>
      <c r="L680" s="25" t="str">
        <f>"RUTL-"&amp;RIGHT(K680,8)</f>
        <v>RUTL-PW0LW3MS</v>
      </c>
      <c r="M680" s="34" t="s">
        <v>40</v>
      </c>
      <c r="N680" s="23" t="s">
        <v>54</v>
      </c>
      <c r="O680" s="32"/>
      <c r="P680" s="35" t="s">
        <v>46</v>
      </c>
      <c r="Q680" s="36" t="s">
        <v>3440</v>
      </c>
      <c r="R680" s="15" t="s">
        <v>56</v>
      </c>
      <c r="S680" s="40" t="s">
        <v>57</v>
      </c>
      <c r="T680" s="105" t="s">
        <v>148</v>
      </c>
      <c r="U680" s="39" t="s">
        <v>1467</v>
      </c>
      <c r="V680" s="338">
        <v>46108</v>
      </c>
      <c r="W680" s="23" t="s">
        <v>63</v>
      </c>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c r="BO680" s="30"/>
      <c r="BP680" s="30"/>
      <c r="BQ680" s="30"/>
      <c r="BR680" s="30"/>
      <c r="BS680" s="30"/>
      <c r="BT680" s="30"/>
      <c r="BU680" s="30"/>
      <c r="BV680" s="30"/>
      <c r="BW680" s="30"/>
      <c r="BX680" s="30"/>
      <c r="BY680" s="30"/>
      <c r="BZ680" s="30"/>
      <c r="CA680" s="30"/>
      <c r="CB680" s="30"/>
      <c r="CC680" s="30"/>
      <c r="CD680" s="30"/>
      <c r="CE680" s="30"/>
      <c r="CF680" s="30"/>
      <c r="CG680" s="30"/>
      <c r="CH680" s="30"/>
      <c r="CI680" s="30"/>
      <c r="CJ680" s="30"/>
      <c r="CK680" s="30"/>
      <c r="CL680" s="30"/>
      <c r="CM680" s="30"/>
      <c r="CN680" s="30"/>
      <c r="CO680" s="30"/>
      <c r="CP680" s="30"/>
      <c r="CQ680" s="30"/>
      <c r="CR680" s="30"/>
      <c r="CS680" s="30"/>
      <c r="CT680" s="30"/>
      <c r="CU680" s="30"/>
      <c r="CV680" s="30"/>
      <c r="CW680" s="30"/>
      <c r="CX680" s="30"/>
      <c r="CY680" s="30"/>
      <c r="CZ680" s="30"/>
      <c r="DA680" s="30"/>
      <c r="DB680" s="30"/>
      <c r="DC680" s="30"/>
      <c r="DD680" s="30"/>
      <c r="DE680" s="30"/>
      <c r="DF680" s="30"/>
      <c r="DG680" s="30"/>
      <c r="DH680" s="30"/>
      <c r="DI680" s="30"/>
      <c r="DJ680" s="30"/>
      <c r="DK680" s="30"/>
      <c r="DL680" s="30"/>
      <c r="DM680" s="30"/>
      <c r="DN680" s="30"/>
      <c r="DO680" s="30"/>
      <c r="DP680" s="30"/>
      <c r="DQ680" s="30"/>
      <c r="DR680" s="30"/>
      <c r="DS680" s="30"/>
      <c r="DT680" s="30"/>
      <c r="DU680" s="30"/>
      <c r="DV680" s="30"/>
      <c r="DW680" s="30"/>
      <c r="DX680" s="30"/>
      <c r="DY680" s="30"/>
      <c r="DZ680" s="30"/>
      <c r="EA680" s="30"/>
      <c r="EB680" s="30"/>
      <c r="EC680" s="30"/>
      <c r="ED680" s="30"/>
      <c r="EE680" s="30"/>
    </row>
    <row r="681" spans="1:135" ht="30" customHeight="1" thickBot="1" x14ac:dyDescent="0.3">
      <c r="A681" s="578" t="s">
        <v>3675</v>
      </c>
      <c r="B681" s="438">
        <v>5014</v>
      </c>
      <c r="C681" s="50" t="s">
        <v>3673</v>
      </c>
      <c r="D681" s="15" t="s">
        <v>24</v>
      </c>
      <c r="E681" s="11" t="s">
        <v>25</v>
      </c>
      <c r="F681" s="20" t="s">
        <v>3674</v>
      </c>
      <c r="G681" s="59" t="s">
        <v>469</v>
      </c>
      <c r="H681" s="31" t="s">
        <v>262</v>
      </c>
      <c r="I681" s="142" t="s">
        <v>30</v>
      </c>
      <c r="J681" s="24" t="s">
        <v>32</v>
      </c>
      <c r="K681" s="499" t="s">
        <v>3676</v>
      </c>
      <c r="L681" s="25" t="str">
        <f>"RUTL-"&amp;RIGHT(K681,8)</f>
        <v>RUTL-PW0LW3RW</v>
      </c>
      <c r="M681" s="34" t="s">
        <v>40</v>
      </c>
      <c r="N681" s="23" t="s">
        <v>54</v>
      </c>
      <c r="O681" s="32"/>
      <c r="P681" s="35" t="s">
        <v>46</v>
      </c>
      <c r="Q681" s="36" t="s">
        <v>3677</v>
      </c>
      <c r="R681" s="15" t="s">
        <v>56</v>
      </c>
      <c r="S681" s="40" t="s">
        <v>57</v>
      </c>
      <c r="T681" s="105" t="s">
        <v>148</v>
      </c>
      <c r="U681" s="39" t="s">
        <v>538</v>
      </c>
      <c r="V681" s="338">
        <v>46108</v>
      </c>
      <c r="W681" s="23" t="s">
        <v>63</v>
      </c>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c r="BO681" s="30"/>
      <c r="BP681" s="30"/>
      <c r="BQ681" s="30"/>
      <c r="BR681" s="30"/>
      <c r="BS681" s="30"/>
      <c r="BT681" s="30"/>
      <c r="BU681" s="30"/>
      <c r="BV681" s="30"/>
      <c r="BW681" s="30"/>
      <c r="BX681" s="30"/>
      <c r="BY681" s="30"/>
      <c r="BZ681" s="30"/>
      <c r="CA681" s="30"/>
      <c r="CB681" s="30"/>
      <c r="CC681" s="30"/>
      <c r="CD681" s="30"/>
      <c r="CE681" s="30"/>
      <c r="CF681" s="30"/>
      <c r="CG681" s="30"/>
      <c r="CH681" s="30"/>
      <c r="CI681" s="30"/>
      <c r="CJ681" s="30"/>
      <c r="CK681" s="30"/>
      <c r="CL681" s="30"/>
      <c r="CM681" s="30"/>
      <c r="CN681" s="30"/>
      <c r="CO681" s="30"/>
      <c r="CP681" s="30"/>
      <c r="CQ681" s="30"/>
      <c r="CR681" s="30"/>
      <c r="CS681" s="30"/>
      <c r="CT681" s="30"/>
      <c r="CU681" s="30"/>
      <c r="CV681" s="30"/>
      <c r="CW681" s="30"/>
      <c r="CX681" s="30"/>
      <c r="CY681" s="30"/>
      <c r="CZ681" s="30"/>
      <c r="DA681" s="30"/>
      <c r="DB681" s="30"/>
      <c r="DC681" s="30"/>
      <c r="DD681" s="30"/>
      <c r="DE681" s="30"/>
      <c r="DF681" s="30"/>
      <c r="DG681" s="30"/>
      <c r="DH681" s="30"/>
      <c r="DI681" s="30"/>
      <c r="DJ681" s="30"/>
      <c r="DK681" s="30"/>
      <c r="DL681" s="30"/>
      <c r="DM681" s="30"/>
      <c r="DN681" s="30"/>
      <c r="DO681" s="30"/>
      <c r="DP681" s="30"/>
      <c r="DQ681" s="30"/>
      <c r="DR681" s="30"/>
      <c r="DS681" s="30"/>
      <c r="DT681" s="30"/>
      <c r="DU681" s="30"/>
      <c r="DV681" s="30"/>
      <c r="DW681" s="30"/>
      <c r="DX681" s="30"/>
      <c r="DY681" s="30"/>
      <c r="DZ681" s="30"/>
      <c r="EA681" s="30"/>
      <c r="EB681" s="30"/>
      <c r="EC681" s="30"/>
      <c r="ED681" s="30"/>
      <c r="EE681" s="30"/>
    </row>
    <row r="682" spans="1:135" ht="30" customHeight="1" thickBot="1" x14ac:dyDescent="0.3">
      <c r="A682" s="578" t="s">
        <v>6993</v>
      </c>
      <c r="B682" s="436">
        <v>17153</v>
      </c>
      <c r="C682" s="231" t="s">
        <v>6990</v>
      </c>
      <c r="D682" s="10" t="s">
        <v>24</v>
      </c>
      <c r="E682" s="11" t="s">
        <v>25</v>
      </c>
      <c r="F682" s="20" t="s">
        <v>6991</v>
      </c>
      <c r="G682" s="15" t="s">
        <v>3104</v>
      </c>
      <c r="H682" s="125" t="s">
        <v>6992</v>
      </c>
      <c r="I682" s="142" t="s">
        <v>135</v>
      </c>
      <c r="J682" s="24" t="s">
        <v>32</v>
      </c>
      <c r="K682" s="242" t="s">
        <v>6994</v>
      </c>
      <c r="L682" s="25" t="str">
        <f>"RUTL-"&amp;RIGHT(K682,8)</f>
        <v>RUTL-PW0LW3TT</v>
      </c>
      <c r="M682" s="34" t="s">
        <v>40</v>
      </c>
      <c r="N682" s="23" t="s">
        <v>54</v>
      </c>
      <c r="O682" s="32"/>
      <c r="P682" s="35" t="s">
        <v>46</v>
      </c>
      <c r="Q682" s="36" t="s">
        <v>6995</v>
      </c>
      <c r="R682" s="15" t="s">
        <v>56</v>
      </c>
      <c r="S682" s="40" t="s">
        <v>57</v>
      </c>
      <c r="T682" s="118" t="s">
        <v>65</v>
      </c>
      <c r="U682" s="39" t="s">
        <v>948</v>
      </c>
      <c r="V682" s="338">
        <v>46108</v>
      </c>
      <c r="W682" s="23" t="s">
        <v>63</v>
      </c>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c r="BO682" s="30"/>
      <c r="BP682" s="30"/>
      <c r="BQ682" s="30"/>
      <c r="BR682" s="30"/>
      <c r="BS682" s="30"/>
      <c r="BT682" s="30"/>
      <c r="BU682" s="30"/>
      <c r="BV682" s="30"/>
      <c r="BW682" s="30"/>
      <c r="BX682" s="30"/>
      <c r="BY682" s="30"/>
      <c r="BZ682" s="30"/>
      <c r="CA682" s="30"/>
      <c r="CB682" s="30"/>
      <c r="CC682" s="30"/>
      <c r="CD682" s="30"/>
      <c r="CE682" s="30"/>
      <c r="CF682" s="30"/>
      <c r="CG682" s="30"/>
      <c r="CH682" s="30"/>
      <c r="CI682" s="30"/>
      <c r="CJ682" s="30"/>
      <c r="CK682" s="30"/>
      <c r="CL682" s="30"/>
      <c r="CM682" s="30"/>
      <c r="CN682" s="30"/>
      <c r="CO682" s="30"/>
      <c r="CP682" s="30"/>
      <c r="CQ682" s="30"/>
      <c r="CR682" s="30"/>
      <c r="CS682" s="30"/>
      <c r="CT682" s="30"/>
      <c r="CU682" s="30"/>
      <c r="CV682" s="30"/>
      <c r="CW682" s="30"/>
      <c r="CX682" s="30"/>
      <c r="CY682" s="30"/>
      <c r="CZ682" s="30"/>
      <c r="DA682" s="30"/>
      <c r="DB682" s="30"/>
      <c r="DC682" s="30"/>
      <c r="DD682" s="30"/>
      <c r="DE682" s="30"/>
      <c r="DF682" s="30"/>
      <c r="DG682" s="30"/>
      <c r="DH682" s="30"/>
      <c r="DI682" s="30"/>
      <c r="DJ682" s="30"/>
      <c r="DK682" s="30"/>
      <c r="DL682" s="30"/>
      <c r="DM682" s="30"/>
      <c r="DN682" s="30"/>
      <c r="DO682" s="30"/>
      <c r="DP682" s="30"/>
      <c r="DQ682" s="30"/>
      <c r="DR682" s="30"/>
      <c r="DS682" s="30"/>
      <c r="DT682" s="30"/>
      <c r="DU682" s="30"/>
      <c r="DV682" s="30"/>
      <c r="DW682" s="30"/>
      <c r="DX682" s="30"/>
      <c r="DY682" s="30"/>
      <c r="DZ682" s="30"/>
      <c r="EA682" s="30"/>
      <c r="EB682" s="30"/>
      <c r="EC682" s="30"/>
      <c r="ED682" s="30"/>
      <c r="EE682" s="30"/>
    </row>
    <row r="683" spans="1:135" ht="30" customHeight="1" thickBot="1" x14ac:dyDescent="0.3">
      <c r="A683" s="578" t="s">
        <v>4595</v>
      </c>
      <c r="B683" s="381">
        <v>9297</v>
      </c>
      <c r="C683" s="50" t="s">
        <v>4592</v>
      </c>
      <c r="D683" s="10" t="s">
        <v>24</v>
      </c>
      <c r="E683" s="11" t="s">
        <v>25</v>
      </c>
      <c r="F683" s="20" t="s">
        <v>4593</v>
      </c>
      <c r="G683" s="15" t="s">
        <v>3536</v>
      </c>
      <c r="H683" s="22" t="s">
        <v>4594</v>
      </c>
      <c r="I683" s="54" t="s">
        <v>135</v>
      </c>
      <c r="J683" s="24" t="s">
        <v>32</v>
      </c>
      <c r="K683" s="33" t="s">
        <v>4596</v>
      </c>
      <c r="L683" s="25" t="str">
        <f>"RUTL-"&amp;RIGHT(K683,8)</f>
        <v>RUTL-PW0LW3GK</v>
      </c>
      <c r="M683" s="34" t="s">
        <v>40</v>
      </c>
      <c r="N683" s="23" t="s">
        <v>54</v>
      </c>
      <c r="O683" s="32"/>
      <c r="P683" s="35" t="s">
        <v>46</v>
      </c>
      <c r="Q683" s="36" t="s">
        <v>4597</v>
      </c>
      <c r="R683" s="15" t="s">
        <v>56</v>
      </c>
      <c r="S683" s="40" t="s">
        <v>57</v>
      </c>
      <c r="T683" s="105" t="s">
        <v>148</v>
      </c>
      <c r="U683" s="39" t="s">
        <v>1467</v>
      </c>
      <c r="V683" s="44">
        <v>46108</v>
      </c>
      <c r="W683" s="23" t="s">
        <v>63</v>
      </c>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c r="DJ683" s="5"/>
      <c r="DK683" s="5"/>
      <c r="DL683" s="5"/>
      <c r="DM683" s="5"/>
      <c r="DN683" s="5"/>
      <c r="DO683" s="5"/>
      <c r="DP683" s="5"/>
      <c r="DQ683" s="5"/>
      <c r="DR683" s="5"/>
      <c r="DS683" s="5"/>
      <c r="DT683" s="5"/>
      <c r="DU683" s="5"/>
      <c r="DV683" s="5"/>
      <c r="DW683" s="5"/>
      <c r="DX683" s="5"/>
      <c r="DY683" s="5"/>
      <c r="DZ683" s="5"/>
      <c r="EA683" s="5"/>
      <c r="EB683" s="5"/>
      <c r="EC683" s="5"/>
      <c r="ED683" s="5"/>
      <c r="EE683" s="5"/>
    </row>
    <row r="684" spans="1:135" ht="30" customHeight="1" thickBot="1" x14ac:dyDescent="0.3">
      <c r="A684" s="578" t="s">
        <v>5993</v>
      </c>
      <c r="B684" s="380">
        <v>14825</v>
      </c>
      <c r="C684" s="50" t="s">
        <v>5991</v>
      </c>
      <c r="D684" s="10" t="s">
        <v>24</v>
      </c>
      <c r="E684" s="11" t="s">
        <v>25</v>
      </c>
      <c r="F684" s="20" t="s">
        <v>5992</v>
      </c>
      <c r="G684" s="59" t="s">
        <v>3295</v>
      </c>
      <c r="H684" s="22" t="s">
        <v>2658</v>
      </c>
      <c r="I684" s="18" t="s">
        <v>135</v>
      </c>
      <c r="J684" s="24" t="s">
        <v>32</v>
      </c>
      <c r="K684" s="23" t="s">
        <v>5994</v>
      </c>
      <c r="L684" s="25" t="str">
        <f>"RUTL-"&amp;RIGHT(K684,8)</f>
        <v>RUTL-PW0LW3NQ</v>
      </c>
      <c r="M684" s="34" t="s">
        <v>40</v>
      </c>
      <c r="N684" s="23" t="s">
        <v>54</v>
      </c>
      <c r="O684" s="32"/>
      <c r="P684" s="35" t="s">
        <v>46</v>
      </c>
      <c r="Q684" s="36" t="s">
        <v>5995</v>
      </c>
      <c r="R684" s="15" t="s">
        <v>56</v>
      </c>
      <c r="S684" s="40" t="s">
        <v>57</v>
      </c>
      <c r="T684" s="105" t="s">
        <v>148</v>
      </c>
      <c r="U684" s="39" t="s">
        <v>2370</v>
      </c>
      <c r="V684" s="44">
        <v>46108</v>
      </c>
      <c r="W684" s="23" t="s">
        <v>63</v>
      </c>
      <c r="X684" s="71"/>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row>
    <row r="685" spans="1:135" ht="30" customHeight="1" x14ac:dyDescent="0.25">
      <c r="A685" s="578" t="s">
        <v>6069</v>
      </c>
      <c r="B685" s="438">
        <v>15015</v>
      </c>
      <c r="C685" s="52" t="s">
        <v>6066</v>
      </c>
      <c r="D685" s="10" t="s">
        <v>24</v>
      </c>
      <c r="E685" s="11" t="s">
        <v>25</v>
      </c>
      <c r="F685" s="20" t="s">
        <v>6067</v>
      </c>
      <c r="G685" s="59" t="s">
        <v>448</v>
      </c>
      <c r="H685" s="22" t="s">
        <v>6068</v>
      </c>
      <c r="I685" s="54" t="s">
        <v>198</v>
      </c>
      <c r="J685" s="24" t="s">
        <v>32</v>
      </c>
      <c r="K685" s="23" t="s">
        <v>6070</v>
      </c>
      <c r="L685" s="25" t="str">
        <f>"RUTL-"&amp;RIGHT(K685,8)</f>
        <v>RUTL-PW0LW3GN</v>
      </c>
      <c r="M685" s="34" t="s">
        <v>40</v>
      </c>
      <c r="N685" s="23" t="s">
        <v>54</v>
      </c>
      <c r="O685" s="32"/>
      <c r="P685" s="35" t="s">
        <v>46</v>
      </c>
      <c r="Q685" s="36" t="s">
        <v>6071</v>
      </c>
      <c r="R685" s="15" t="s">
        <v>56</v>
      </c>
      <c r="S685" s="40" t="s">
        <v>57</v>
      </c>
      <c r="T685" s="105" t="s">
        <v>148</v>
      </c>
      <c r="U685" s="39" t="s">
        <v>1467</v>
      </c>
      <c r="V685" s="44">
        <v>46108</v>
      </c>
      <c r="W685" s="23" t="s">
        <v>63</v>
      </c>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c r="DJ685" s="5"/>
      <c r="DK685" s="5"/>
      <c r="DL685" s="5"/>
      <c r="DM685" s="5"/>
      <c r="DN685" s="5"/>
      <c r="DO685" s="5"/>
      <c r="DP685" s="5"/>
      <c r="DQ685" s="5"/>
      <c r="DR685" s="5"/>
      <c r="DS685" s="5"/>
      <c r="DT685" s="5"/>
      <c r="DU685" s="5"/>
      <c r="DV685" s="5"/>
      <c r="DW685" s="5"/>
      <c r="DX685" s="5"/>
      <c r="DY685" s="5"/>
      <c r="DZ685" s="5"/>
      <c r="EA685" s="5"/>
      <c r="EB685" s="5"/>
      <c r="EC685" s="5"/>
      <c r="ED685" s="5"/>
      <c r="EE685" s="5"/>
    </row>
    <row r="686" spans="1:135" ht="30" customHeight="1" x14ac:dyDescent="0.25">
      <c r="A686" s="578" t="s">
        <v>6116</v>
      </c>
      <c r="B686" s="438">
        <v>15160</v>
      </c>
      <c r="C686" s="72" t="s">
        <v>6114</v>
      </c>
      <c r="D686" s="10" t="s">
        <v>24</v>
      </c>
      <c r="E686" s="11" t="s">
        <v>25</v>
      </c>
      <c r="F686" s="20" t="s">
        <v>6115</v>
      </c>
      <c r="G686" s="59" t="s">
        <v>988</v>
      </c>
      <c r="H686" s="22" t="s">
        <v>2658</v>
      </c>
      <c r="I686" s="54" t="s">
        <v>135</v>
      </c>
      <c r="J686" s="24" t="s">
        <v>32</v>
      </c>
      <c r="K686" s="23" t="s">
        <v>6117</v>
      </c>
      <c r="L686" s="25" t="str">
        <f>"RUTL-"&amp;RIGHT(K686,8)</f>
        <v>RUTL-PW0LW3T0</v>
      </c>
      <c r="M686" s="34" t="s">
        <v>40</v>
      </c>
      <c r="N686" s="23" t="s">
        <v>54</v>
      </c>
      <c r="O686" s="32"/>
      <c r="P686" s="35" t="s">
        <v>46</v>
      </c>
      <c r="Q686" s="36" t="s">
        <v>6118</v>
      </c>
      <c r="R686" s="15" t="s">
        <v>56</v>
      </c>
      <c r="S686" s="40" t="s">
        <v>57</v>
      </c>
      <c r="T686" s="105" t="s">
        <v>148</v>
      </c>
      <c r="U686" s="39" t="s">
        <v>1467</v>
      </c>
      <c r="V686" s="44">
        <v>46108</v>
      </c>
      <c r="W686" s="23" t="s">
        <v>63</v>
      </c>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c r="DJ686" s="5"/>
      <c r="DK686" s="5"/>
      <c r="DL686" s="5"/>
      <c r="DM686" s="5"/>
      <c r="DN686" s="5"/>
      <c r="DO686" s="5"/>
      <c r="DP686" s="5"/>
      <c r="DQ686" s="5"/>
      <c r="DR686" s="5"/>
      <c r="DS686" s="5"/>
      <c r="DT686" s="5"/>
      <c r="DU686" s="5"/>
      <c r="DV686" s="5"/>
      <c r="DW686" s="5"/>
      <c r="DX686" s="5"/>
      <c r="DY686" s="5"/>
      <c r="DZ686" s="5"/>
      <c r="EA686" s="5"/>
      <c r="EB686" s="5"/>
      <c r="EC686" s="5"/>
      <c r="ED686" s="5"/>
      <c r="EE686" s="5"/>
    </row>
    <row r="687" spans="1:135" ht="30" customHeight="1" x14ac:dyDescent="0.25">
      <c r="A687" s="578" t="s">
        <v>6126</v>
      </c>
      <c r="B687" s="438">
        <v>15182</v>
      </c>
      <c r="C687" s="52" t="s">
        <v>6124</v>
      </c>
      <c r="D687" s="10" t="s">
        <v>24</v>
      </c>
      <c r="E687" s="11" t="s">
        <v>25</v>
      </c>
      <c r="F687" s="29" t="s">
        <v>6125</v>
      </c>
      <c r="G687" s="59" t="s">
        <v>109</v>
      </c>
      <c r="H687" s="22" t="s">
        <v>3181</v>
      </c>
      <c r="I687" s="54" t="s">
        <v>30</v>
      </c>
      <c r="J687" s="24" t="s">
        <v>32</v>
      </c>
      <c r="K687" s="23" t="s">
        <v>6127</v>
      </c>
      <c r="L687" s="25" t="str">
        <f>"RUTL-"&amp;RIGHT(K687,8)</f>
        <v>RUTL-PW0LW3MZ</v>
      </c>
      <c r="M687" s="34" t="s">
        <v>40</v>
      </c>
      <c r="N687" s="23" t="s">
        <v>54</v>
      </c>
      <c r="O687" s="32"/>
      <c r="P687" s="35" t="s">
        <v>46</v>
      </c>
      <c r="Q687" s="36" t="s">
        <v>6128</v>
      </c>
      <c r="R687" s="15" t="s">
        <v>56</v>
      </c>
      <c r="S687" s="40" t="s">
        <v>57</v>
      </c>
      <c r="T687" s="105" t="s">
        <v>148</v>
      </c>
      <c r="U687" s="39" t="s">
        <v>538</v>
      </c>
      <c r="V687" s="44">
        <v>46108</v>
      </c>
      <c r="W687" s="23" t="s">
        <v>63</v>
      </c>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c r="DJ687" s="5"/>
      <c r="DK687" s="5"/>
      <c r="DL687" s="5"/>
      <c r="DM687" s="5"/>
      <c r="DN687" s="5"/>
      <c r="DO687" s="5"/>
      <c r="DP687" s="5"/>
      <c r="DQ687" s="5"/>
      <c r="DR687" s="5"/>
      <c r="DS687" s="5"/>
      <c r="DT687" s="5"/>
      <c r="DU687" s="5"/>
      <c r="DV687" s="5"/>
      <c r="DW687" s="5"/>
      <c r="DX687" s="5"/>
      <c r="DY687" s="5"/>
      <c r="DZ687" s="5"/>
      <c r="EA687" s="5"/>
      <c r="EB687" s="5"/>
      <c r="EC687" s="5"/>
      <c r="ED687" s="5"/>
      <c r="EE687" s="5"/>
    </row>
    <row r="688" spans="1:135" ht="30" customHeight="1" thickBot="1" x14ac:dyDescent="0.3">
      <c r="A688" s="578" t="s">
        <v>6889</v>
      </c>
      <c r="B688" s="436">
        <v>16896</v>
      </c>
      <c r="C688" s="72" t="s">
        <v>6887</v>
      </c>
      <c r="D688" s="10" t="s">
        <v>24</v>
      </c>
      <c r="E688" s="11" t="s">
        <v>25</v>
      </c>
      <c r="F688" s="20" t="s">
        <v>6888</v>
      </c>
      <c r="G688" s="59" t="s">
        <v>889</v>
      </c>
      <c r="H688" s="22" t="s">
        <v>6739</v>
      </c>
      <c r="I688" s="18" t="s">
        <v>135</v>
      </c>
      <c r="J688" s="24" t="s">
        <v>32</v>
      </c>
      <c r="K688" s="23" t="s">
        <v>6890</v>
      </c>
      <c r="L688" s="25" t="str">
        <f>"RUTL-"&amp;RIGHT(K688,8)</f>
        <v>RUTL-PW0LW3NG</v>
      </c>
      <c r="M688" s="34" t="s">
        <v>40</v>
      </c>
      <c r="N688" s="23" t="s">
        <v>54</v>
      </c>
      <c r="O688" s="32"/>
      <c r="P688" s="35" t="s">
        <v>46</v>
      </c>
      <c r="Q688" s="36" t="s">
        <v>6891</v>
      </c>
      <c r="R688" s="15" t="s">
        <v>56</v>
      </c>
      <c r="S688" s="40" t="s">
        <v>57</v>
      </c>
      <c r="T688" s="41" t="s">
        <v>65</v>
      </c>
      <c r="U688" s="39" t="s">
        <v>6856</v>
      </c>
      <c r="V688" s="44">
        <v>46108</v>
      </c>
      <c r="W688" s="23" t="s">
        <v>63</v>
      </c>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row>
    <row r="689" spans="1:135" ht="30" customHeight="1" thickBot="1" x14ac:dyDescent="0.3">
      <c r="A689" s="578" t="s">
        <v>7149</v>
      </c>
      <c r="B689" s="381">
        <v>17652</v>
      </c>
      <c r="C689" s="72" t="s">
        <v>7146</v>
      </c>
      <c r="D689" s="10" t="s">
        <v>24</v>
      </c>
      <c r="E689" s="11" t="s">
        <v>25</v>
      </c>
      <c r="F689" s="20" t="s">
        <v>7147</v>
      </c>
      <c r="G689" s="59" t="s">
        <v>7148</v>
      </c>
      <c r="H689" s="76" t="s">
        <v>3543</v>
      </c>
      <c r="I689" s="18" t="s">
        <v>135</v>
      </c>
      <c r="J689" s="24" t="s">
        <v>32</v>
      </c>
      <c r="K689" s="33" t="s">
        <v>7150</v>
      </c>
      <c r="L689" s="25" t="str">
        <f>"RUTL-"&amp;RIGHT(K689,8)</f>
        <v>RUTL-PW0LW3NX</v>
      </c>
      <c r="M689" s="34" t="s">
        <v>40</v>
      </c>
      <c r="N689" s="23" t="s">
        <v>54</v>
      </c>
      <c r="O689" s="32"/>
      <c r="P689" s="35" t="s">
        <v>46</v>
      </c>
      <c r="Q689" s="327" t="s">
        <v>7151</v>
      </c>
      <c r="R689" s="15" t="s">
        <v>56</v>
      </c>
      <c r="S689" s="40" t="s">
        <v>57</v>
      </c>
      <c r="T689" s="118" t="s">
        <v>65</v>
      </c>
      <c r="U689" s="23" t="s">
        <v>4783</v>
      </c>
      <c r="V689" s="338">
        <v>46108</v>
      </c>
      <c r="W689" s="23" t="s">
        <v>63</v>
      </c>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c r="BO689" s="30"/>
      <c r="BP689" s="30"/>
      <c r="BQ689" s="30"/>
      <c r="BR689" s="30"/>
      <c r="BS689" s="30"/>
      <c r="BT689" s="30"/>
      <c r="BU689" s="30"/>
      <c r="BV689" s="30"/>
      <c r="BW689" s="30"/>
      <c r="BX689" s="30"/>
      <c r="BY689" s="30"/>
      <c r="BZ689" s="30"/>
      <c r="CA689" s="30"/>
      <c r="CB689" s="30"/>
      <c r="CC689" s="30"/>
      <c r="CD689" s="30"/>
      <c r="CE689" s="30"/>
      <c r="CF689" s="30"/>
      <c r="CG689" s="30"/>
      <c r="CH689" s="30"/>
      <c r="CI689" s="30"/>
      <c r="CJ689" s="30"/>
      <c r="CK689" s="30"/>
      <c r="CL689" s="30"/>
      <c r="CM689" s="30"/>
      <c r="CN689" s="30"/>
      <c r="CO689" s="30"/>
      <c r="CP689" s="30"/>
      <c r="CQ689" s="30"/>
      <c r="CR689" s="30"/>
      <c r="CS689" s="30"/>
      <c r="CT689" s="30"/>
      <c r="CU689" s="30"/>
      <c r="CV689" s="30"/>
      <c r="CW689" s="30"/>
      <c r="CX689" s="30"/>
      <c r="CY689" s="30"/>
      <c r="CZ689" s="30"/>
      <c r="DA689" s="30"/>
      <c r="DB689" s="30"/>
      <c r="DC689" s="30"/>
      <c r="DD689" s="30"/>
      <c r="DE689" s="30"/>
      <c r="DF689" s="30"/>
      <c r="DG689" s="30"/>
      <c r="DH689" s="30"/>
      <c r="DI689" s="30"/>
      <c r="DJ689" s="30"/>
      <c r="DK689" s="30"/>
      <c r="DL689" s="30"/>
      <c r="DM689" s="30"/>
      <c r="DN689" s="30"/>
      <c r="DO689" s="30"/>
      <c r="DP689" s="30"/>
      <c r="DQ689" s="30"/>
      <c r="DR689" s="30"/>
      <c r="DS689" s="30"/>
      <c r="DT689" s="30"/>
      <c r="DU689" s="30"/>
      <c r="DV689" s="30"/>
      <c r="DW689" s="30"/>
      <c r="DX689" s="30"/>
      <c r="DY689" s="30"/>
      <c r="DZ689" s="30"/>
      <c r="EA689" s="30"/>
      <c r="EB689" s="30"/>
      <c r="EC689" s="30"/>
      <c r="ED689" s="30"/>
      <c r="EE689" s="30"/>
    </row>
    <row r="690" spans="1:135" ht="30" customHeight="1" x14ac:dyDescent="0.25">
      <c r="A690" s="578" t="s">
        <v>1458</v>
      </c>
      <c r="B690" s="438">
        <v>565</v>
      </c>
      <c r="C690" s="72" t="s">
        <v>1448</v>
      </c>
      <c r="D690" s="10" t="s">
        <v>24</v>
      </c>
      <c r="E690" s="11" t="s">
        <v>25</v>
      </c>
      <c r="F690" s="12" t="s">
        <v>1451</v>
      </c>
      <c r="G690" s="59" t="s">
        <v>448</v>
      </c>
      <c r="H690" s="22" t="s">
        <v>1454</v>
      </c>
      <c r="I690" s="54" t="s">
        <v>117</v>
      </c>
      <c r="J690" s="24" t="s">
        <v>32</v>
      </c>
      <c r="K690" s="23" t="s">
        <v>1459</v>
      </c>
      <c r="L690" s="25" t="str">
        <f>"RUTL-"&amp;RIGHT(K690,8)</f>
        <v>RUTL-PW0LW3P7</v>
      </c>
      <c r="M690" s="34" t="s">
        <v>40</v>
      </c>
      <c r="N690" s="23" t="s">
        <v>54</v>
      </c>
      <c r="O690" s="32"/>
      <c r="P690" s="35" t="s">
        <v>46</v>
      </c>
      <c r="Q690" s="36" t="s">
        <v>1464</v>
      </c>
      <c r="R690" s="15" t="s">
        <v>56</v>
      </c>
      <c r="S690" s="40" t="s">
        <v>57</v>
      </c>
      <c r="T690" s="105" t="s">
        <v>148</v>
      </c>
      <c r="U690" s="39" t="s">
        <v>1467</v>
      </c>
      <c r="V690" s="44">
        <v>46108</v>
      </c>
      <c r="W690" s="23" t="s">
        <v>63</v>
      </c>
      <c r="X690" s="30"/>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c r="DG690" s="5"/>
      <c r="DH690" s="5"/>
      <c r="DI690" s="5"/>
      <c r="DJ690" s="5"/>
      <c r="DK690" s="5"/>
      <c r="DL690" s="5"/>
      <c r="DM690" s="5"/>
      <c r="DN690" s="5"/>
      <c r="DO690" s="5"/>
      <c r="DP690" s="5"/>
      <c r="DQ690" s="5"/>
      <c r="DR690" s="5"/>
      <c r="DS690" s="5"/>
      <c r="DT690" s="5"/>
      <c r="DU690" s="5"/>
      <c r="DV690" s="5"/>
      <c r="DW690" s="5"/>
      <c r="DX690" s="5"/>
      <c r="DY690" s="5"/>
      <c r="DZ690" s="5"/>
      <c r="EA690" s="5"/>
      <c r="EB690" s="5"/>
      <c r="EC690" s="5"/>
      <c r="ED690" s="5"/>
      <c r="EE690" s="5"/>
    </row>
    <row r="691" spans="1:135" ht="30" customHeight="1" x14ac:dyDescent="0.25">
      <c r="A691" s="578" t="s">
        <v>2362</v>
      </c>
      <c r="B691" s="440">
        <v>1065</v>
      </c>
      <c r="C691" s="52" t="s">
        <v>2356</v>
      </c>
      <c r="D691" s="15" t="s">
        <v>24</v>
      </c>
      <c r="E691" s="11" t="s">
        <v>25</v>
      </c>
      <c r="F691" s="20" t="s">
        <v>2358</v>
      </c>
      <c r="G691" s="59" t="s">
        <v>1546</v>
      </c>
      <c r="H691" s="31" t="s">
        <v>2360</v>
      </c>
      <c r="I691" s="54" t="s">
        <v>198</v>
      </c>
      <c r="J691" s="24" t="s">
        <v>32</v>
      </c>
      <c r="K691" s="23" t="s">
        <v>2366</v>
      </c>
      <c r="L691" s="25" t="str">
        <f>"RUTL-"&amp;RIGHT(K691,8)</f>
        <v>RUTL-PW0LW3S2</v>
      </c>
      <c r="M691" s="34" t="s">
        <v>40</v>
      </c>
      <c r="N691" s="23" t="s">
        <v>54</v>
      </c>
      <c r="O691" s="32"/>
      <c r="P691" s="35" t="s">
        <v>46</v>
      </c>
      <c r="Q691" s="36" t="s">
        <v>2369</v>
      </c>
      <c r="R691" s="15" t="s">
        <v>56</v>
      </c>
      <c r="S691" s="40" t="s">
        <v>57</v>
      </c>
      <c r="T691" s="105" t="s">
        <v>148</v>
      </c>
      <c r="U691" s="39" t="s">
        <v>2370</v>
      </c>
      <c r="V691" s="44">
        <v>46108</v>
      </c>
      <c r="W691" s="23" t="s">
        <v>63</v>
      </c>
      <c r="X691" s="30"/>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c r="DG691" s="5"/>
      <c r="DH691" s="5"/>
      <c r="DI691" s="5"/>
      <c r="DJ691" s="5"/>
      <c r="DK691" s="5"/>
      <c r="DL691" s="5"/>
      <c r="DM691" s="5"/>
      <c r="DN691" s="5"/>
      <c r="DO691" s="5"/>
      <c r="DP691" s="5"/>
      <c r="DQ691" s="5"/>
      <c r="DR691" s="5"/>
      <c r="DS691" s="5"/>
      <c r="DT691" s="5"/>
      <c r="DU691" s="5"/>
      <c r="DV691" s="5"/>
      <c r="DW691" s="5"/>
      <c r="DX691" s="5"/>
      <c r="DY691" s="5"/>
      <c r="DZ691" s="5"/>
      <c r="EA691" s="5"/>
      <c r="EB691" s="5"/>
      <c r="EC691" s="5"/>
      <c r="ED691" s="5"/>
      <c r="EE691" s="5"/>
    </row>
    <row r="692" spans="1:135" ht="30" customHeight="1" thickBot="1" x14ac:dyDescent="0.3">
      <c r="A692" s="578" t="s">
        <v>1832</v>
      </c>
      <c r="B692" s="275" t="s">
        <v>1761</v>
      </c>
      <c r="C692" s="90" t="s">
        <v>1849</v>
      </c>
      <c r="D692" s="27" t="s">
        <v>1763</v>
      </c>
      <c r="E692" s="11" t="s">
        <v>25</v>
      </c>
      <c r="F692" s="12" t="s">
        <v>1828</v>
      </c>
      <c r="G692" s="59" t="s">
        <v>889</v>
      </c>
      <c r="H692" s="267" t="s">
        <v>1646</v>
      </c>
      <c r="I692" s="54" t="s">
        <v>48</v>
      </c>
      <c r="J692" s="18" t="s">
        <v>49</v>
      </c>
      <c r="K692" s="23" t="s">
        <v>1836</v>
      </c>
      <c r="L692" s="21" t="str">
        <f>"RUTL-"&amp;RIGHT(K692,8)</f>
        <v>RUTL-1A916N02</v>
      </c>
      <c r="M692" s="34" t="s">
        <v>40</v>
      </c>
      <c r="N692" s="39" t="s">
        <v>54</v>
      </c>
      <c r="O692" s="23"/>
      <c r="P692" s="35" t="s">
        <v>46</v>
      </c>
      <c r="Q692" s="285"/>
      <c r="R692" s="15" t="s">
        <v>56</v>
      </c>
      <c r="S692" s="37" t="s">
        <v>57</v>
      </c>
      <c r="T692" s="107" t="s">
        <v>453</v>
      </c>
      <c r="U692" s="39" t="s">
        <v>1840</v>
      </c>
      <c r="V692" s="48">
        <v>46111</v>
      </c>
      <c r="W692" s="23" t="s">
        <v>67</v>
      </c>
      <c r="X692" s="30"/>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c r="DG692" s="5"/>
      <c r="DH692" s="5"/>
      <c r="DI692" s="5"/>
      <c r="DJ692" s="5"/>
      <c r="DK692" s="5"/>
      <c r="DL692" s="5"/>
      <c r="DM692" s="5"/>
      <c r="DN692" s="5"/>
      <c r="DO692" s="5"/>
      <c r="DP692" s="5"/>
      <c r="DQ692" s="5"/>
      <c r="DR692" s="5"/>
      <c r="DS692" s="5"/>
      <c r="DT692" s="5"/>
      <c r="DU692" s="5"/>
      <c r="DV692" s="5"/>
      <c r="DW692" s="5"/>
      <c r="DX692" s="5"/>
      <c r="DY692" s="5"/>
      <c r="DZ692" s="5"/>
      <c r="EA692" s="5"/>
      <c r="EB692" s="5"/>
      <c r="EC692" s="5"/>
      <c r="ED692" s="5"/>
      <c r="EE692" s="5"/>
    </row>
    <row r="693" spans="1:135" ht="30" customHeight="1" thickBot="1" x14ac:dyDescent="0.3">
      <c r="A693" s="578" t="s">
        <v>201</v>
      </c>
      <c r="B693" s="436" t="s">
        <v>189</v>
      </c>
      <c r="C693" s="72" t="s">
        <v>191</v>
      </c>
      <c r="D693" s="10" t="s">
        <v>24</v>
      </c>
      <c r="E693" s="28" t="s">
        <v>25</v>
      </c>
      <c r="F693" s="20" t="s">
        <v>193</v>
      </c>
      <c r="G693" s="59" t="s">
        <v>194</v>
      </c>
      <c r="H693" s="31" t="s">
        <v>197</v>
      </c>
      <c r="I693" s="18" t="s">
        <v>48</v>
      </c>
      <c r="J693" s="18" t="s">
        <v>49</v>
      </c>
      <c r="K693" s="23" t="s">
        <v>202</v>
      </c>
      <c r="L693" s="21" t="str">
        <f>"RUTL-"&amp; RIGHT(K693,8)</f>
        <v>RUTL-1A8E6N02</v>
      </c>
      <c r="M693" s="34" t="s">
        <v>40</v>
      </c>
      <c r="N693" s="23" t="s">
        <v>43</v>
      </c>
      <c r="O693" s="23"/>
      <c r="P693" s="35" t="s">
        <v>46</v>
      </c>
      <c r="Q693" s="36" t="s">
        <v>208</v>
      </c>
      <c r="R693" s="15" t="s">
        <v>56</v>
      </c>
      <c r="S693" s="40" t="s">
        <v>57</v>
      </c>
      <c r="T693" s="105" t="s">
        <v>101</v>
      </c>
      <c r="U693" s="39" t="s">
        <v>209</v>
      </c>
      <c r="V693" s="48">
        <v>46118</v>
      </c>
      <c r="W693" s="23" t="s">
        <v>210</v>
      </c>
      <c r="X693" s="24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c r="DG693" s="5"/>
      <c r="DH693" s="5"/>
      <c r="DI693" s="5"/>
      <c r="DJ693" s="5"/>
      <c r="DK693" s="5"/>
      <c r="DL693" s="5"/>
      <c r="DM693" s="5"/>
      <c r="DN693" s="5"/>
      <c r="DO693" s="5"/>
      <c r="DP693" s="5"/>
      <c r="DQ693" s="5"/>
      <c r="DR693" s="5"/>
      <c r="DS693" s="5"/>
      <c r="DT693" s="5"/>
      <c r="DU693" s="5"/>
      <c r="DV693" s="5"/>
      <c r="DW693" s="5"/>
      <c r="DX693" s="5"/>
      <c r="DY693" s="5"/>
      <c r="DZ693" s="5"/>
      <c r="EA693" s="5"/>
      <c r="EB693" s="5"/>
      <c r="EC693" s="5"/>
      <c r="ED693" s="5"/>
      <c r="EE693" s="5"/>
    </row>
    <row r="694" spans="1:135" ht="30" customHeight="1" thickBot="1" x14ac:dyDescent="0.3">
      <c r="A694" s="578" t="s">
        <v>7437</v>
      </c>
      <c r="B694" s="51">
        <v>18640</v>
      </c>
      <c r="C694" s="72" t="s">
        <v>7435</v>
      </c>
      <c r="D694" s="10" t="s">
        <v>24</v>
      </c>
      <c r="E694" s="28" t="s">
        <v>25</v>
      </c>
      <c r="F694" s="20" t="s">
        <v>7436</v>
      </c>
      <c r="G694" s="59" t="s">
        <v>1706</v>
      </c>
      <c r="H694" s="31" t="s">
        <v>197</v>
      </c>
      <c r="I694" s="18" t="s">
        <v>48</v>
      </c>
      <c r="J694" s="18" t="s">
        <v>49</v>
      </c>
      <c r="K694" s="33" t="s">
        <v>7438</v>
      </c>
      <c r="L694" s="25" t="str">
        <f>"RUTL-"&amp;RIGHT(K694,8)</f>
        <v>RUTL-1A9A6N02</v>
      </c>
      <c r="M694" s="144" t="s">
        <v>40</v>
      </c>
      <c r="N694" s="23" t="s">
        <v>54</v>
      </c>
      <c r="O694" s="23"/>
      <c r="P694" s="35" t="s">
        <v>46</v>
      </c>
      <c r="Q694" s="36"/>
      <c r="R694" s="15" t="s">
        <v>56</v>
      </c>
      <c r="S694" s="40" t="s">
        <v>57</v>
      </c>
      <c r="T694" s="35" t="s">
        <v>65</v>
      </c>
      <c r="U694" s="39" t="s">
        <v>7429</v>
      </c>
      <c r="V694" s="48">
        <v>46118</v>
      </c>
      <c r="W694" s="23" t="s">
        <v>210</v>
      </c>
      <c r="X694" s="24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c r="DJ694" s="5"/>
      <c r="DK694" s="5"/>
      <c r="DL694" s="5"/>
      <c r="DM694" s="5"/>
      <c r="DN694" s="5"/>
      <c r="DO694" s="5"/>
      <c r="DP694" s="5"/>
      <c r="DQ694" s="5"/>
      <c r="DR694" s="5"/>
      <c r="DS694" s="5"/>
      <c r="DT694" s="5"/>
      <c r="DU694" s="5"/>
      <c r="DV694" s="5"/>
      <c r="DW694" s="5"/>
      <c r="DX694" s="5"/>
      <c r="DY694" s="5"/>
      <c r="DZ694" s="5"/>
      <c r="EA694" s="5"/>
      <c r="EB694" s="5"/>
      <c r="EC694" s="5"/>
      <c r="ED694" s="5"/>
      <c r="EE694" s="5"/>
    </row>
    <row r="695" spans="1:135" ht="30" customHeight="1" thickBot="1" x14ac:dyDescent="0.3">
      <c r="A695" s="578" t="s">
        <v>6338</v>
      </c>
      <c r="B695" s="16">
        <v>15708</v>
      </c>
      <c r="C695" s="52" t="s">
        <v>6336</v>
      </c>
      <c r="D695" s="10" t="s">
        <v>24</v>
      </c>
      <c r="E695" s="11" t="s">
        <v>25</v>
      </c>
      <c r="F695" s="20" t="s">
        <v>6337</v>
      </c>
      <c r="G695" s="59" t="s">
        <v>5408</v>
      </c>
      <c r="H695" s="24" t="s">
        <v>1398</v>
      </c>
      <c r="I695" s="18" t="s">
        <v>48</v>
      </c>
      <c r="J695" s="24" t="s">
        <v>49</v>
      </c>
      <c r="K695" s="23" t="s">
        <v>6339</v>
      </c>
      <c r="L695" s="25" t="str">
        <f>"RUTL-"&amp;RIGHT(K695,8)</f>
        <v>RUTL-1A926N02</v>
      </c>
      <c r="M695" s="34" t="s">
        <v>40</v>
      </c>
      <c r="N695" s="23" t="s">
        <v>54</v>
      </c>
      <c r="O695" s="32"/>
      <c r="P695" s="35" t="s">
        <v>46</v>
      </c>
      <c r="Q695" s="36" t="s">
        <v>6340</v>
      </c>
      <c r="R695" s="15" t="s">
        <v>56</v>
      </c>
      <c r="S695" s="40" t="s">
        <v>57</v>
      </c>
      <c r="T695" s="101" t="s">
        <v>96</v>
      </c>
      <c r="U695" s="39" t="s">
        <v>1511</v>
      </c>
      <c r="V695" s="48">
        <v>46111</v>
      </c>
      <c r="W695" s="23" t="s">
        <v>67</v>
      </c>
      <c r="X695" s="24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c r="DG695" s="5"/>
      <c r="DH695" s="5"/>
      <c r="DI695" s="5"/>
      <c r="DJ695" s="5"/>
      <c r="DK695" s="5"/>
      <c r="DL695" s="5"/>
      <c r="DM695" s="5"/>
      <c r="DN695" s="5"/>
      <c r="DO695" s="5"/>
      <c r="DP695" s="5"/>
      <c r="DQ695" s="5"/>
      <c r="DR695" s="5"/>
      <c r="DS695" s="5"/>
      <c r="DT695" s="5"/>
      <c r="DU695" s="5"/>
      <c r="DV695" s="5"/>
      <c r="DW695" s="5"/>
      <c r="DX695" s="5"/>
      <c r="DY695" s="5"/>
      <c r="DZ695" s="5"/>
      <c r="EA695" s="5"/>
      <c r="EB695" s="5"/>
      <c r="EC695" s="5"/>
      <c r="ED695" s="5"/>
      <c r="EE695" s="5"/>
    </row>
    <row r="696" spans="1:135" ht="30" customHeight="1" thickBot="1" x14ac:dyDescent="0.3">
      <c r="A696" s="578" t="s">
        <v>3612</v>
      </c>
      <c r="B696" s="8">
        <v>4794</v>
      </c>
      <c r="C696" s="72" t="s">
        <v>3609</v>
      </c>
      <c r="D696" s="15" t="s">
        <v>24</v>
      </c>
      <c r="E696" s="11" t="s">
        <v>25</v>
      </c>
      <c r="F696" s="29" t="s">
        <v>3610</v>
      </c>
      <c r="G696" s="59" t="s">
        <v>1043</v>
      </c>
      <c r="H696" s="125" t="s">
        <v>3611</v>
      </c>
      <c r="I696" s="24" t="s">
        <v>135</v>
      </c>
      <c r="J696" s="24" t="s">
        <v>32</v>
      </c>
      <c r="K696" s="33" t="s">
        <v>3613</v>
      </c>
      <c r="L696" s="25" t="str">
        <f>"RUTL-"&amp;RIGHT(K696,8)</f>
        <v>RUTL-PW0LW3P0</v>
      </c>
      <c r="M696" s="34" t="s">
        <v>40</v>
      </c>
      <c r="N696" s="32" t="s">
        <v>54</v>
      </c>
      <c r="O696" s="32"/>
      <c r="P696" s="35" t="s">
        <v>46</v>
      </c>
      <c r="Q696" s="36" t="s">
        <v>3614</v>
      </c>
      <c r="R696" s="15" t="s">
        <v>56</v>
      </c>
      <c r="S696" s="88" t="s">
        <v>57</v>
      </c>
      <c r="T696" s="35" t="s">
        <v>65</v>
      </c>
      <c r="U696" s="39" t="s">
        <v>3615</v>
      </c>
      <c r="V696" s="44">
        <v>46108</v>
      </c>
      <c r="W696" s="23" t="s">
        <v>63</v>
      </c>
      <c r="X696" s="24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c r="DG696" s="5"/>
      <c r="DH696" s="5"/>
      <c r="DI696" s="5"/>
      <c r="DJ696" s="5"/>
      <c r="DK696" s="5"/>
      <c r="DL696" s="5"/>
      <c r="DM696" s="5"/>
      <c r="DN696" s="5"/>
      <c r="DO696" s="5"/>
      <c r="DP696" s="5"/>
      <c r="DQ696" s="5"/>
      <c r="DR696" s="5"/>
      <c r="DS696" s="5"/>
      <c r="DT696" s="5"/>
      <c r="DU696" s="5"/>
      <c r="DV696" s="5"/>
      <c r="DW696" s="5"/>
      <c r="DX696" s="5"/>
      <c r="DY696" s="5"/>
      <c r="DZ696" s="5"/>
      <c r="EA696" s="5"/>
      <c r="EB696" s="5"/>
      <c r="EC696" s="5"/>
      <c r="ED696" s="5"/>
      <c r="EE696" s="5"/>
    </row>
    <row r="697" spans="1:135" ht="30" customHeight="1" x14ac:dyDescent="0.25">
      <c r="A697" s="578" t="s">
        <v>5668</v>
      </c>
      <c r="B697" s="16">
        <v>13494</v>
      </c>
      <c r="C697" s="72" t="s">
        <v>5666</v>
      </c>
      <c r="D697" s="10" t="s">
        <v>24</v>
      </c>
      <c r="E697" s="11" t="s">
        <v>25</v>
      </c>
      <c r="F697" s="29" t="s">
        <v>5667</v>
      </c>
      <c r="G697" s="15" t="s">
        <v>2384</v>
      </c>
      <c r="H697" s="76" t="s">
        <v>2294</v>
      </c>
      <c r="I697" s="205" t="s">
        <v>135</v>
      </c>
      <c r="J697" s="24" t="s">
        <v>32</v>
      </c>
      <c r="K697" s="23" t="s">
        <v>5669</v>
      </c>
      <c r="L697" s="25" t="str">
        <f>"RUTL-"&amp;RIGHT(K697,8)</f>
        <v>RUTL-PW0LW3GG</v>
      </c>
      <c r="M697" s="34" t="s">
        <v>40</v>
      </c>
      <c r="N697" s="32" t="s">
        <v>319</v>
      </c>
      <c r="O697" s="32"/>
      <c r="P697" s="35" t="s">
        <v>46</v>
      </c>
      <c r="Q697" s="36" t="s">
        <v>5670</v>
      </c>
      <c r="R697" s="15" t="s">
        <v>56</v>
      </c>
      <c r="S697" s="37" t="s">
        <v>57</v>
      </c>
      <c r="T697" s="35" t="s">
        <v>65</v>
      </c>
      <c r="U697" s="39" t="s">
        <v>3615</v>
      </c>
      <c r="V697" s="44">
        <v>46108</v>
      </c>
      <c r="W697" s="23" t="s">
        <v>63</v>
      </c>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c r="DG697" s="5"/>
      <c r="DH697" s="5"/>
      <c r="DI697" s="5"/>
      <c r="DJ697" s="5"/>
      <c r="DK697" s="5"/>
      <c r="DL697" s="5"/>
      <c r="DM697" s="5"/>
      <c r="DN697" s="5"/>
      <c r="DO697" s="5"/>
      <c r="DP697" s="5"/>
      <c r="DQ697" s="5"/>
      <c r="DR697" s="5"/>
      <c r="DS697" s="5"/>
      <c r="DT697" s="5"/>
      <c r="DU697" s="5"/>
      <c r="DV697" s="5"/>
      <c r="DW697" s="5"/>
      <c r="DX697" s="5"/>
      <c r="DY697" s="5"/>
      <c r="DZ697" s="5"/>
      <c r="EA697" s="5"/>
      <c r="EB697" s="5"/>
      <c r="EC697" s="5"/>
      <c r="ED697" s="5"/>
      <c r="EE697" s="5"/>
    </row>
    <row r="698" spans="1:135" ht="30" customHeight="1" x14ac:dyDescent="0.25">
      <c r="A698" s="578" t="s">
        <v>5615</v>
      </c>
      <c r="B698" s="437">
        <v>13375</v>
      </c>
      <c r="C698" s="69" t="s">
        <v>5612</v>
      </c>
      <c r="D698" s="10" t="s">
        <v>24</v>
      </c>
      <c r="E698" s="11" t="s">
        <v>25</v>
      </c>
      <c r="F698" s="29" t="s">
        <v>5613</v>
      </c>
      <c r="G698" s="15" t="s">
        <v>5614</v>
      </c>
      <c r="H698" s="76" t="s">
        <v>3268</v>
      </c>
      <c r="I698" s="24" t="s">
        <v>135</v>
      </c>
      <c r="J698" s="24" t="s">
        <v>32</v>
      </c>
      <c r="K698" s="23" t="s">
        <v>5616</v>
      </c>
      <c r="L698" s="25" t="str">
        <f>"RUTL-"&amp;RIGHT(K698,8)</f>
        <v>RUTL-PW0LW4HJ</v>
      </c>
      <c r="M698" s="34" t="s">
        <v>40</v>
      </c>
      <c r="N698" s="15" t="s">
        <v>473</v>
      </c>
      <c r="O698" s="32"/>
      <c r="P698" s="35" t="s">
        <v>46</v>
      </c>
      <c r="Q698" s="36" t="s">
        <v>5617</v>
      </c>
      <c r="R698" s="15" t="s">
        <v>56</v>
      </c>
      <c r="S698" s="40" t="s">
        <v>57</v>
      </c>
      <c r="T698" s="274" t="s">
        <v>58</v>
      </c>
      <c r="U698" s="39" t="s">
        <v>740</v>
      </c>
      <c r="V698" s="44">
        <v>46108</v>
      </c>
      <c r="W698" s="23" t="s">
        <v>63</v>
      </c>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c r="BO698" s="30"/>
      <c r="BP698" s="30"/>
      <c r="BQ698" s="30"/>
      <c r="BR698" s="30"/>
      <c r="BS698" s="30"/>
      <c r="BT698" s="30"/>
      <c r="BU698" s="30"/>
      <c r="BV698" s="30"/>
      <c r="BW698" s="30"/>
      <c r="BX698" s="30"/>
      <c r="BY698" s="30"/>
      <c r="BZ698" s="30"/>
      <c r="CA698" s="30"/>
      <c r="CB698" s="30"/>
      <c r="CC698" s="30"/>
      <c r="CD698" s="30"/>
      <c r="CE698" s="30"/>
      <c r="CF698" s="30"/>
      <c r="CG698" s="30"/>
      <c r="CH698" s="30"/>
      <c r="CI698" s="30"/>
      <c r="CJ698" s="30"/>
      <c r="CK698" s="30"/>
      <c r="CL698" s="30"/>
      <c r="CM698" s="30"/>
      <c r="CN698" s="30"/>
      <c r="CO698" s="30"/>
      <c r="CP698" s="30"/>
      <c r="CQ698" s="30"/>
      <c r="CR698" s="30"/>
      <c r="CS698" s="30"/>
      <c r="CT698" s="30"/>
      <c r="CU698" s="30"/>
      <c r="CV698" s="30"/>
      <c r="CW698" s="30"/>
      <c r="CX698" s="30"/>
      <c r="CY698" s="30"/>
      <c r="CZ698" s="30"/>
      <c r="DA698" s="30"/>
      <c r="DB698" s="30"/>
      <c r="DC698" s="30"/>
      <c r="DD698" s="30"/>
      <c r="DE698" s="30"/>
      <c r="DF698" s="30"/>
      <c r="DG698" s="30"/>
      <c r="DH698" s="30"/>
      <c r="DI698" s="30"/>
      <c r="DJ698" s="30"/>
      <c r="DK698" s="30"/>
      <c r="DL698" s="30"/>
      <c r="DM698" s="30"/>
      <c r="DN698" s="30"/>
      <c r="DO698" s="30"/>
      <c r="DP698" s="30"/>
      <c r="DQ698" s="30"/>
      <c r="DR698" s="30"/>
      <c r="DS698" s="30"/>
      <c r="DT698" s="30"/>
      <c r="DU698" s="30"/>
      <c r="DV698" s="30"/>
      <c r="DW698" s="30"/>
      <c r="DX698" s="30"/>
      <c r="DY698" s="30"/>
      <c r="DZ698" s="30"/>
      <c r="EA698" s="30"/>
      <c r="EB698" s="30"/>
      <c r="EC698" s="30"/>
      <c r="ED698" s="30"/>
      <c r="EE698" s="30"/>
    </row>
    <row r="699" spans="1:135" ht="30" customHeight="1" thickBot="1" x14ac:dyDescent="0.3">
      <c r="A699" s="578" t="s">
        <v>2755</v>
      </c>
      <c r="B699" s="51" t="s">
        <v>2751</v>
      </c>
      <c r="C699" s="454" t="s">
        <v>2752</v>
      </c>
      <c r="D699" s="10" t="s">
        <v>24</v>
      </c>
      <c r="E699" s="465" t="s">
        <v>25</v>
      </c>
      <c r="F699" s="20" t="s">
        <v>2753</v>
      </c>
      <c r="G699" s="15" t="s">
        <v>1546</v>
      </c>
      <c r="H699" s="481" t="s">
        <v>2754</v>
      </c>
      <c r="I699" s="18" t="s">
        <v>135</v>
      </c>
      <c r="J699" s="24" t="s">
        <v>32</v>
      </c>
      <c r="K699" s="23" t="s">
        <v>2756</v>
      </c>
      <c r="L699" s="21" t="str">
        <f>"RUTL-" &amp; RIGHT(K699,8)</f>
        <v>RUTL-PW0LW3RM</v>
      </c>
      <c r="M699" s="34" t="s">
        <v>40</v>
      </c>
      <c r="N699" s="493" t="s">
        <v>54</v>
      </c>
      <c r="O699" s="493"/>
      <c r="P699" s="522" t="s">
        <v>46</v>
      </c>
      <c r="Q699" s="527" t="s">
        <v>2760</v>
      </c>
      <c r="R699" s="461" t="s">
        <v>56</v>
      </c>
      <c r="S699" s="493"/>
      <c r="T699" s="555" t="s">
        <v>226</v>
      </c>
      <c r="U699" s="39" t="s">
        <v>2761</v>
      </c>
      <c r="V699" s="44">
        <v>46108</v>
      </c>
      <c r="W699" s="23" t="s">
        <v>63</v>
      </c>
    </row>
    <row r="700" spans="1:135" ht="30" customHeight="1" thickBot="1" x14ac:dyDescent="0.3">
      <c r="A700" s="578" t="s">
        <v>264</v>
      </c>
      <c r="B700" s="51" t="s">
        <v>252</v>
      </c>
      <c r="C700" s="69" t="s">
        <v>254</v>
      </c>
      <c r="D700" s="10" t="s">
        <v>24</v>
      </c>
      <c r="E700" s="28" t="s">
        <v>25</v>
      </c>
      <c r="F700" s="20" t="s">
        <v>259</v>
      </c>
      <c r="G700" s="15" t="s">
        <v>261</v>
      </c>
      <c r="H700" s="31" t="s">
        <v>262</v>
      </c>
      <c r="I700" s="18" t="s">
        <v>135</v>
      </c>
      <c r="J700" s="24" t="s">
        <v>32</v>
      </c>
      <c r="K700" s="23" t="s">
        <v>265</v>
      </c>
      <c r="L700" s="21" t="str">
        <f>"RUTL-"&amp;RIGHT(K700,8)</f>
        <v>RUTL-PW0LW3SL</v>
      </c>
      <c r="M700" s="34" t="s">
        <v>40</v>
      </c>
      <c r="N700" s="23" t="s">
        <v>54</v>
      </c>
      <c r="O700" s="23"/>
      <c r="P700" s="35" t="s">
        <v>46</v>
      </c>
      <c r="Q700" s="35" t="s">
        <v>270</v>
      </c>
      <c r="R700" s="15" t="s">
        <v>56</v>
      </c>
      <c r="S700" s="37" t="s">
        <v>57</v>
      </c>
      <c r="T700" s="35" t="s">
        <v>271</v>
      </c>
      <c r="U700" s="39" t="s">
        <v>272</v>
      </c>
      <c r="V700" s="44">
        <v>46108</v>
      </c>
      <c r="W700" s="23" t="s">
        <v>63</v>
      </c>
      <c r="X700" s="24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row>
    <row r="701" spans="1:135" ht="30" customHeight="1" thickBot="1" x14ac:dyDescent="0.3">
      <c r="A701" s="578" t="s">
        <v>4763</v>
      </c>
      <c r="B701" s="16">
        <v>9974</v>
      </c>
      <c r="C701" s="72" t="s">
        <v>4761</v>
      </c>
      <c r="D701" s="10" t="s">
        <v>24</v>
      </c>
      <c r="E701" s="11" t="s">
        <v>25</v>
      </c>
      <c r="F701" s="20" t="s">
        <v>4762</v>
      </c>
      <c r="G701" s="15" t="s">
        <v>4720</v>
      </c>
      <c r="H701" s="147" t="s">
        <v>1882</v>
      </c>
      <c r="I701" s="142" t="s">
        <v>135</v>
      </c>
      <c r="J701" s="18" t="s">
        <v>32</v>
      </c>
      <c r="K701" s="33" t="s">
        <v>4764</v>
      </c>
      <c r="L701" s="25" t="str">
        <f>"RUTL-"&amp;RIGHT(K701,8)</f>
        <v>RUTL-PW0LW3S0</v>
      </c>
      <c r="M701" s="34" t="s">
        <v>40</v>
      </c>
      <c r="N701" s="23" t="s">
        <v>54</v>
      </c>
      <c r="O701" s="23"/>
      <c r="P701" s="35" t="s">
        <v>46</v>
      </c>
      <c r="Q701" s="392" t="s">
        <v>4765</v>
      </c>
      <c r="R701" s="15" t="s">
        <v>56</v>
      </c>
      <c r="S701" s="37" t="s">
        <v>57</v>
      </c>
      <c r="T701" s="41" t="s">
        <v>65</v>
      </c>
      <c r="U701" s="39" t="s">
        <v>1130</v>
      </c>
      <c r="V701" s="44">
        <v>46108</v>
      </c>
      <c r="W701" s="23" t="s">
        <v>63</v>
      </c>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c r="BO701" s="30"/>
      <c r="BP701" s="30"/>
      <c r="BQ701" s="30"/>
      <c r="BR701" s="30"/>
      <c r="BS701" s="30"/>
      <c r="BT701" s="30"/>
      <c r="BU701" s="30"/>
      <c r="BV701" s="30"/>
      <c r="BW701" s="30"/>
      <c r="BX701" s="30"/>
      <c r="BY701" s="30"/>
      <c r="BZ701" s="30"/>
      <c r="CA701" s="30"/>
      <c r="CB701" s="30"/>
      <c r="CC701" s="30"/>
      <c r="CD701" s="30"/>
      <c r="CE701" s="30"/>
      <c r="CF701" s="30"/>
      <c r="CG701" s="30"/>
      <c r="CH701" s="30"/>
      <c r="CI701" s="30"/>
      <c r="CJ701" s="30"/>
      <c r="CK701" s="30"/>
      <c r="CL701" s="30"/>
      <c r="CM701" s="30"/>
      <c r="CN701" s="30"/>
      <c r="CO701" s="30"/>
      <c r="CP701" s="30"/>
      <c r="CQ701" s="30"/>
      <c r="CR701" s="30"/>
      <c r="CS701" s="30"/>
      <c r="CT701" s="30"/>
      <c r="CU701" s="30"/>
      <c r="CV701" s="30"/>
      <c r="CW701" s="30"/>
      <c r="CX701" s="30"/>
      <c r="CY701" s="30"/>
      <c r="CZ701" s="30"/>
      <c r="DA701" s="30"/>
      <c r="DB701" s="30"/>
      <c r="DC701" s="30"/>
      <c r="DD701" s="30"/>
      <c r="DE701" s="30"/>
      <c r="DF701" s="30"/>
      <c r="DG701" s="30"/>
      <c r="DH701" s="30"/>
      <c r="DI701" s="30"/>
      <c r="DJ701" s="30"/>
      <c r="DK701" s="30"/>
      <c r="DL701" s="30"/>
      <c r="DM701" s="30"/>
      <c r="DN701" s="30"/>
      <c r="DO701" s="30"/>
      <c r="DP701" s="30"/>
      <c r="DQ701" s="30"/>
      <c r="DR701" s="30"/>
      <c r="DS701" s="30"/>
      <c r="DT701" s="30"/>
      <c r="DU701" s="30"/>
      <c r="DV701" s="30"/>
      <c r="DW701" s="30"/>
      <c r="DX701" s="30"/>
      <c r="DY701" s="30"/>
      <c r="DZ701" s="30"/>
      <c r="EA701" s="30"/>
      <c r="EB701" s="30"/>
      <c r="EC701" s="30"/>
      <c r="ED701" s="30"/>
      <c r="EE701" s="30"/>
    </row>
    <row r="702" spans="1:135" ht="30" customHeight="1" thickBot="1" x14ac:dyDescent="0.3">
      <c r="A702" s="578" t="s">
        <v>3364</v>
      </c>
      <c r="B702" s="51">
        <v>3642</v>
      </c>
      <c r="C702" s="72" t="s">
        <v>3362</v>
      </c>
      <c r="D702" s="10" t="s">
        <v>24</v>
      </c>
      <c r="E702" s="11" t="s">
        <v>25</v>
      </c>
      <c r="F702" s="20" t="s">
        <v>3363</v>
      </c>
      <c r="G702" s="15" t="s">
        <v>2565</v>
      </c>
      <c r="H702" s="147" t="s">
        <v>1477</v>
      </c>
      <c r="I702" s="18" t="s">
        <v>135</v>
      </c>
      <c r="J702" s="18" t="s">
        <v>32</v>
      </c>
      <c r="K702" s="33" t="s">
        <v>3365</v>
      </c>
      <c r="L702" s="25" t="str">
        <f>"RUTL-"&amp;RIGHT(K702,8)</f>
        <v>RUTL-PW0LW3SH</v>
      </c>
      <c r="M702" s="129" t="s">
        <v>40</v>
      </c>
      <c r="N702" s="23" t="s">
        <v>54</v>
      </c>
      <c r="O702" s="23"/>
      <c r="P702" s="35" t="s">
        <v>46</v>
      </c>
      <c r="Q702" s="35" t="s">
        <v>3366</v>
      </c>
      <c r="R702" s="121" t="s">
        <v>56</v>
      </c>
      <c r="S702" s="37" t="s">
        <v>57</v>
      </c>
      <c r="T702" s="41" t="s">
        <v>65</v>
      </c>
      <c r="U702" s="39" t="s">
        <v>3367</v>
      </c>
      <c r="V702" s="44">
        <v>46108</v>
      </c>
      <c r="W702" s="23" t="s">
        <v>63</v>
      </c>
      <c r="X702" s="393"/>
      <c r="Y702" s="394"/>
      <c r="Z702" s="394"/>
      <c r="AA702" s="394"/>
      <c r="AB702" s="394"/>
      <c r="AC702" s="394"/>
      <c r="AD702" s="394"/>
      <c r="AE702" s="394"/>
      <c r="AF702" s="394"/>
      <c r="AG702" s="394"/>
      <c r="AH702" s="394"/>
      <c r="AI702" s="394"/>
      <c r="AJ702" s="394"/>
      <c r="AK702" s="394"/>
      <c r="AL702" s="394"/>
      <c r="AM702" s="394"/>
      <c r="AN702" s="394"/>
      <c r="AO702" s="394"/>
      <c r="AP702" s="394"/>
      <c r="AQ702" s="394"/>
      <c r="AR702" s="394"/>
      <c r="AS702" s="394"/>
      <c r="AT702" s="394"/>
      <c r="AU702" s="394"/>
      <c r="AV702" s="394"/>
      <c r="AW702" s="394"/>
      <c r="AX702" s="394"/>
      <c r="AY702" s="394"/>
      <c r="AZ702" s="394"/>
      <c r="BA702" s="394"/>
      <c r="BB702" s="394"/>
      <c r="BC702" s="394"/>
      <c r="BD702" s="394"/>
      <c r="BE702" s="394"/>
      <c r="BF702" s="394"/>
      <c r="BG702" s="394"/>
      <c r="BH702" s="394"/>
      <c r="BI702" s="394"/>
      <c r="BJ702" s="394"/>
      <c r="BK702" s="394"/>
      <c r="BL702" s="394"/>
      <c r="BM702" s="394"/>
      <c r="BN702" s="394"/>
      <c r="BO702" s="394"/>
      <c r="BP702" s="394"/>
      <c r="BQ702" s="394"/>
      <c r="BR702" s="394"/>
      <c r="BS702" s="394"/>
      <c r="BT702" s="394"/>
      <c r="BU702" s="394"/>
      <c r="BV702" s="394"/>
      <c r="BW702" s="394"/>
      <c r="BX702" s="394"/>
      <c r="BY702" s="394"/>
      <c r="BZ702" s="394"/>
      <c r="CA702" s="394"/>
      <c r="CB702" s="394"/>
      <c r="CC702" s="394"/>
      <c r="CD702" s="394"/>
      <c r="CE702" s="394"/>
      <c r="CF702" s="394"/>
      <c r="CG702" s="394"/>
      <c r="CH702" s="394"/>
      <c r="CI702" s="394"/>
      <c r="CJ702" s="394"/>
      <c r="CK702" s="394"/>
      <c r="CL702" s="394"/>
      <c r="CM702" s="394"/>
      <c r="CN702" s="394"/>
      <c r="CO702" s="394"/>
      <c r="CP702" s="394"/>
      <c r="CQ702" s="394"/>
      <c r="CR702" s="394"/>
      <c r="CS702" s="394"/>
      <c r="CT702" s="394"/>
      <c r="CU702" s="394"/>
      <c r="CV702" s="394"/>
      <c r="CW702" s="394"/>
      <c r="CX702" s="394"/>
      <c r="CY702" s="394"/>
      <c r="CZ702" s="394"/>
      <c r="DA702" s="394"/>
      <c r="DB702" s="394"/>
      <c r="DC702" s="394"/>
      <c r="DD702" s="394"/>
      <c r="DE702" s="394"/>
      <c r="DF702" s="394"/>
      <c r="DG702" s="394"/>
      <c r="DH702" s="394"/>
      <c r="DI702" s="394"/>
      <c r="DJ702" s="394"/>
      <c r="DK702" s="394"/>
      <c r="DL702" s="394"/>
      <c r="DM702" s="394"/>
      <c r="DN702" s="394"/>
      <c r="DO702" s="394"/>
      <c r="DP702" s="394"/>
      <c r="DQ702" s="394"/>
      <c r="DR702" s="394"/>
      <c r="DS702" s="394"/>
      <c r="DT702" s="394"/>
      <c r="DU702" s="394"/>
      <c r="DV702" s="394"/>
      <c r="DW702" s="394"/>
      <c r="DX702" s="394"/>
      <c r="DY702" s="394"/>
      <c r="DZ702" s="394"/>
      <c r="EA702" s="394"/>
      <c r="EB702" s="394"/>
      <c r="EC702" s="394"/>
      <c r="ED702" s="394"/>
      <c r="EE702" s="394"/>
    </row>
    <row r="703" spans="1:135" ht="30" customHeight="1" thickBot="1" x14ac:dyDescent="0.3">
      <c r="A703" s="578" t="s">
        <v>5629</v>
      </c>
      <c r="B703" s="435">
        <v>13392</v>
      </c>
      <c r="C703" s="52" t="s">
        <v>5627</v>
      </c>
      <c r="D703" s="10" t="s">
        <v>24</v>
      </c>
      <c r="E703" s="11" t="s">
        <v>25</v>
      </c>
      <c r="F703" s="20" t="s">
        <v>5628</v>
      </c>
      <c r="G703" s="15" t="s">
        <v>3745</v>
      </c>
      <c r="H703" s="367" t="s">
        <v>891</v>
      </c>
      <c r="I703" s="18" t="s">
        <v>135</v>
      </c>
      <c r="J703" s="18" t="s">
        <v>32</v>
      </c>
      <c r="K703" s="23" t="s">
        <v>5630</v>
      </c>
      <c r="L703" s="25" t="str">
        <f>"RUTL-"&amp;RIGHT(K703,8)</f>
        <v>RUTL-PW0LW3MF</v>
      </c>
      <c r="M703" s="34" t="s">
        <v>40</v>
      </c>
      <c r="N703" s="23" t="s">
        <v>54</v>
      </c>
      <c r="O703" s="23"/>
      <c r="P703" s="35" t="s">
        <v>46</v>
      </c>
      <c r="Q703" s="36" t="s">
        <v>5631</v>
      </c>
      <c r="R703" s="15" t="s">
        <v>56</v>
      </c>
      <c r="S703" s="37" t="s">
        <v>57</v>
      </c>
      <c r="T703" s="107" t="s">
        <v>453</v>
      </c>
      <c r="U703" s="23" t="s">
        <v>2530</v>
      </c>
      <c r="V703" s="44">
        <v>46108</v>
      </c>
      <c r="W703" s="23" t="s">
        <v>63</v>
      </c>
      <c r="X703" s="24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c r="DG703" s="5"/>
      <c r="DH703" s="5"/>
      <c r="DI703" s="5"/>
      <c r="DJ703" s="5"/>
      <c r="DK703" s="5"/>
      <c r="DL703" s="5"/>
      <c r="DM703" s="5"/>
      <c r="DN703" s="5"/>
      <c r="DO703" s="5"/>
      <c r="DP703" s="5"/>
      <c r="DQ703" s="5"/>
      <c r="DR703" s="5"/>
      <c r="DS703" s="5"/>
      <c r="DT703" s="5"/>
      <c r="DU703" s="5"/>
      <c r="DV703" s="5"/>
      <c r="DW703" s="5"/>
      <c r="DX703" s="5"/>
      <c r="DY703" s="5"/>
      <c r="DZ703" s="5"/>
      <c r="EA703" s="5"/>
      <c r="EB703" s="5"/>
      <c r="EC703" s="5"/>
      <c r="ED703" s="5"/>
      <c r="EE703" s="5"/>
    </row>
    <row r="704" spans="1:135" ht="30" customHeight="1" thickBot="1" x14ac:dyDescent="0.3">
      <c r="A704" s="578" t="s">
        <v>6972</v>
      </c>
      <c r="B704" s="51">
        <v>17116</v>
      </c>
      <c r="C704" s="72" t="s">
        <v>6970</v>
      </c>
      <c r="D704" s="10" t="s">
        <v>24</v>
      </c>
      <c r="E704" s="11" t="s">
        <v>25</v>
      </c>
      <c r="F704" s="29" t="s">
        <v>6971</v>
      </c>
      <c r="G704" s="15" t="s">
        <v>889</v>
      </c>
      <c r="H704" s="370" t="s">
        <v>6068</v>
      </c>
      <c r="I704" s="18" t="s">
        <v>135</v>
      </c>
      <c r="J704" s="18" t="s">
        <v>32</v>
      </c>
      <c r="K704" s="23" t="s">
        <v>6973</v>
      </c>
      <c r="L704" s="25" t="str">
        <f>"RUTL-"&amp;RIGHT(K704,8)</f>
        <v>RUTL-PW0LW3R7</v>
      </c>
      <c r="M704" s="34" t="s">
        <v>40</v>
      </c>
      <c r="N704" s="32" t="s">
        <v>54</v>
      </c>
      <c r="O704" s="32"/>
      <c r="P704" s="35" t="s">
        <v>46</v>
      </c>
      <c r="Q704" s="36" t="s">
        <v>6974</v>
      </c>
      <c r="R704" s="15" t="s">
        <v>56</v>
      </c>
      <c r="S704" s="37" t="s">
        <v>57</v>
      </c>
      <c r="T704" s="118" t="s">
        <v>65</v>
      </c>
      <c r="U704" s="39" t="s">
        <v>1676</v>
      </c>
      <c r="V704" s="44">
        <v>46108</v>
      </c>
      <c r="W704" s="23" t="s">
        <v>63</v>
      </c>
      <c r="X704" s="24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c r="DG704" s="5"/>
      <c r="DH704" s="5"/>
      <c r="DI704" s="5"/>
      <c r="DJ704" s="5"/>
      <c r="DK704" s="5"/>
      <c r="DL704" s="5"/>
      <c r="DM704" s="5"/>
      <c r="DN704" s="5"/>
      <c r="DO704" s="5"/>
      <c r="DP704" s="5"/>
      <c r="DQ704" s="5"/>
      <c r="DR704" s="5"/>
      <c r="DS704" s="5"/>
      <c r="DT704" s="5"/>
      <c r="DU704" s="5"/>
      <c r="DV704" s="5"/>
      <c r="DW704" s="5"/>
      <c r="DX704" s="5"/>
      <c r="DY704" s="5"/>
      <c r="DZ704" s="5"/>
      <c r="EA704" s="5"/>
      <c r="EB704" s="5"/>
      <c r="EC704" s="5"/>
      <c r="ED704" s="5"/>
      <c r="EE704" s="5"/>
    </row>
    <row r="705" spans="1:135" ht="30" customHeight="1" x14ac:dyDescent="0.25">
      <c r="A705" s="578" t="s">
        <v>6268</v>
      </c>
      <c r="B705" s="16">
        <v>15535</v>
      </c>
      <c r="C705" s="72" t="s">
        <v>6266</v>
      </c>
      <c r="D705" s="10" t="s">
        <v>24</v>
      </c>
      <c r="E705" s="11" t="s">
        <v>25</v>
      </c>
      <c r="F705" s="29" t="s">
        <v>6267</v>
      </c>
      <c r="G705" s="15" t="s">
        <v>5124</v>
      </c>
      <c r="H705" s="370" t="s">
        <v>550</v>
      </c>
      <c r="I705" s="24" t="s">
        <v>135</v>
      </c>
      <c r="J705" s="24" t="s">
        <v>32</v>
      </c>
      <c r="K705" s="23" t="s">
        <v>6269</v>
      </c>
      <c r="L705" s="25" t="str">
        <f>"RUTL-"&amp;RIGHT(K705,8)</f>
        <v>RUTL-PW0LW3T6</v>
      </c>
      <c r="M705" s="34" t="s">
        <v>40</v>
      </c>
      <c r="N705" s="39" t="s">
        <v>54</v>
      </c>
      <c r="O705" s="32"/>
      <c r="P705" s="35" t="s">
        <v>46</v>
      </c>
      <c r="Q705" s="36" t="s">
        <v>6270</v>
      </c>
      <c r="R705" s="15" t="s">
        <v>56</v>
      </c>
      <c r="S705" s="546" t="s">
        <v>57</v>
      </c>
      <c r="T705" s="118" t="s">
        <v>65</v>
      </c>
      <c r="U705" s="39" t="s">
        <v>3615</v>
      </c>
      <c r="V705" s="48">
        <v>46108</v>
      </c>
      <c r="W705" s="23" t="s">
        <v>63</v>
      </c>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row>
    <row r="706" spans="1:135" ht="30" customHeight="1" x14ac:dyDescent="0.25">
      <c r="A706" s="578" t="s">
        <v>4803</v>
      </c>
      <c r="B706" s="75">
        <v>10498</v>
      </c>
      <c r="C706" s="72" t="s">
        <v>4800</v>
      </c>
      <c r="D706" s="10" t="s">
        <v>24</v>
      </c>
      <c r="E706" s="10" t="s">
        <v>25</v>
      </c>
      <c r="F706" s="29" t="s">
        <v>4801</v>
      </c>
      <c r="G706" s="15" t="s">
        <v>4802</v>
      </c>
      <c r="H706" s="131" t="s">
        <v>3028</v>
      </c>
      <c r="I706" s="205" t="s">
        <v>117</v>
      </c>
      <c r="J706" s="24" t="s">
        <v>32</v>
      </c>
      <c r="K706" s="33" t="s">
        <v>4804</v>
      </c>
      <c r="L706" s="25" t="str">
        <f>"RUTL-"&amp;RIGHT(K706,8)</f>
        <v>RUTL-PW0LW3Q6</v>
      </c>
      <c r="M706" s="34" t="s">
        <v>40</v>
      </c>
      <c r="N706" s="32" t="s">
        <v>43</v>
      </c>
      <c r="O706" s="32"/>
      <c r="P706" s="35" t="s">
        <v>46</v>
      </c>
      <c r="Q706" s="91" t="s">
        <v>4805</v>
      </c>
      <c r="R706" s="15" t="s">
        <v>235</v>
      </c>
      <c r="S706" s="88" t="s">
        <v>57</v>
      </c>
      <c r="T706" s="274" t="s">
        <v>58</v>
      </c>
      <c r="U706" s="39" t="s">
        <v>3615</v>
      </c>
      <c r="V706" s="44">
        <v>46108</v>
      </c>
      <c r="W706" s="23" t="s">
        <v>63</v>
      </c>
      <c r="X706" s="30"/>
      <c r="Y706" s="233"/>
      <c r="Z706" s="233"/>
      <c r="AA706" s="233"/>
      <c r="AB706" s="233"/>
      <c r="AC706" s="233"/>
      <c r="AD706" s="233"/>
      <c r="AE706" s="233"/>
      <c r="AF706" s="233"/>
      <c r="AG706" s="233"/>
      <c r="AH706" s="233"/>
      <c r="AI706" s="233"/>
      <c r="AJ706" s="233"/>
      <c r="AK706" s="233"/>
      <c r="AL706" s="233"/>
      <c r="AM706" s="233"/>
      <c r="AN706" s="233"/>
      <c r="AO706" s="233"/>
      <c r="AP706" s="233"/>
      <c r="AQ706" s="233"/>
      <c r="AR706" s="233"/>
      <c r="AS706" s="233"/>
      <c r="AT706" s="233"/>
      <c r="AU706" s="233"/>
      <c r="AV706" s="233"/>
      <c r="AW706" s="233"/>
      <c r="AX706" s="233"/>
      <c r="AY706" s="233"/>
      <c r="AZ706" s="233"/>
      <c r="BA706" s="233"/>
      <c r="BB706" s="233"/>
      <c r="BC706" s="233"/>
      <c r="BD706" s="233"/>
      <c r="BE706" s="233"/>
      <c r="BF706" s="233"/>
      <c r="BG706" s="233"/>
      <c r="BH706" s="233"/>
      <c r="BI706" s="233"/>
      <c r="BJ706" s="233"/>
      <c r="BK706" s="233"/>
      <c r="BL706" s="233"/>
      <c r="BM706" s="233"/>
      <c r="BN706" s="233"/>
      <c r="BO706" s="233"/>
      <c r="BP706" s="233"/>
      <c r="BQ706" s="233"/>
      <c r="BR706" s="233"/>
      <c r="BS706" s="233"/>
      <c r="BT706" s="233"/>
      <c r="BU706" s="233"/>
      <c r="BV706" s="233"/>
      <c r="BW706" s="233"/>
      <c r="BX706" s="233"/>
      <c r="BY706" s="233"/>
      <c r="BZ706" s="233"/>
      <c r="CA706" s="233"/>
      <c r="CB706" s="233"/>
      <c r="CC706" s="233"/>
      <c r="CD706" s="233"/>
      <c r="CE706" s="233"/>
      <c r="CF706" s="233"/>
      <c r="CG706" s="233"/>
      <c r="CH706" s="233"/>
      <c r="CI706" s="233"/>
      <c r="CJ706" s="233"/>
      <c r="CK706" s="233"/>
      <c r="CL706" s="233"/>
      <c r="CM706" s="233"/>
      <c r="CN706" s="233"/>
      <c r="CO706" s="233"/>
      <c r="CP706" s="233"/>
      <c r="CQ706" s="233"/>
      <c r="CR706" s="233"/>
      <c r="CS706" s="233"/>
      <c r="CT706" s="233"/>
      <c r="CU706" s="233"/>
      <c r="CV706" s="233"/>
      <c r="CW706" s="233"/>
      <c r="CX706" s="233"/>
      <c r="CY706" s="233"/>
      <c r="CZ706" s="233"/>
      <c r="DA706" s="233"/>
      <c r="DB706" s="233"/>
      <c r="DC706" s="233"/>
      <c r="DD706" s="233"/>
      <c r="DE706" s="233"/>
      <c r="DF706" s="233"/>
      <c r="DG706" s="233"/>
      <c r="DH706" s="233"/>
      <c r="DI706" s="233"/>
      <c r="DJ706" s="233"/>
      <c r="DK706" s="233"/>
      <c r="DL706" s="233"/>
      <c r="DM706" s="233"/>
      <c r="DN706" s="233"/>
      <c r="DO706" s="233"/>
      <c r="DP706" s="233"/>
      <c r="DQ706" s="233"/>
      <c r="DR706" s="233"/>
      <c r="DS706" s="233"/>
      <c r="DT706" s="233"/>
      <c r="DU706" s="233"/>
      <c r="DV706" s="233"/>
      <c r="DW706" s="233"/>
      <c r="DX706" s="233"/>
      <c r="DY706" s="233"/>
      <c r="DZ706" s="233"/>
      <c r="EA706" s="233"/>
      <c r="EB706" s="233"/>
      <c r="EC706" s="233"/>
      <c r="ED706" s="233"/>
      <c r="EE706" s="233"/>
    </row>
    <row r="707" spans="1:135" ht="30" customHeight="1" x14ac:dyDescent="0.25">
      <c r="A707" s="578" t="s">
        <v>4138</v>
      </c>
      <c r="B707" s="8">
        <v>7386</v>
      </c>
      <c r="C707" s="72" t="s">
        <v>4135</v>
      </c>
      <c r="D707" s="10" t="s">
        <v>24</v>
      </c>
      <c r="E707" s="11" t="s">
        <v>25</v>
      </c>
      <c r="F707" s="29" t="s">
        <v>4136</v>
      </c>
      <c r="G707" s="15" t="s">
        <v>4137</v>
      </c>
      <c r="H707" s="131" t="s">
        <v>3028</v>
      </c>
      <c r="I707" s="24" t="s">
        <v>117</v>
      </c>
      <c r="J707" s="24" t="s">
        <v>32</v>
      </c>
      <c r="K707" s="33" t="s">
        <v>4139</v>
      </c>
      <c r="L707" s="25" t="str">
        <f>"RUTL-"&amp;RIGHT(K707,8)</f>
        <v>RUTL-PW0LW3T3</v>
      </c>
      <c r="M707" s="34" t="s">
        <v>40</v>
      </c>
      <c r="N707" s="32" t="s">
        <v>54</v>
      </c>
      <c r="O707" s="32"/>
      <c r="P707" s="90" t="s">
        <v>1468</v>
      </c>
      <c r="Q707" s="362" t="s">
        <v>4140</v>
      </c>
      <c r="R707" s="15" t="s">
        <v>235</v>
      </c>
      <c r="S707" s="40" t="s">
        <v>57</v>
      </c>
      <c r="T707" s="274" t="s">
        <v>58</v>
      </c>
      <c r="U707" s="39" t="s">
        <v>3615</v>
      </c>
      <c r="V707" s="44">
        <v>46108</v>
      </c>
      <c r="W707" s="23" t="s">
        <v>63</v>
      </c>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c r="DG707" s="5"/>
      <c r="DH707" s="5"/>
      <c r="DI707" s="5"/>
      <c r="DJ707" s="5"/>
      <c r="DK707" s="5"/>
      <c r="DL707" s="5"/>
      <c r="DM707" s="5"/>
      <c r="DN707" s="5"/>
      <c r="DO707" s="5"/>
      <c r="DP707" s="5"/>
      <c r="DQ707" s="5"/>
      <c r="DR707" s="5"/>
      <c r="DS707" s="5"/>
      <c r="DT707" s="5"/>
      <c r="DU707" s="5"/>
      <c r="DV707" s="5"/>
      <c r="DW707" s="5"/>
      <c r="DX707" s="5"/>
      <c r="DY707" s="5"/>
      <c r="DZ707" s="5"/>
      <c r="EA707" s="5"/>
      <c r="EB707" s="5"/>
      <c r="EC707" s="5"/>
      <c r="ED707" s="5"/>
      <c r="EE707" s="5"/>
    </row>
    <row r="708" spans="1:135" ht="30" customHeight="1" x14ac:dyDescent="0.25">
      <c r="A708" s="578" t="s">
        <v>6253</v>
      </c>
      <c r="B708" s="8">
        <v>15498</v>
      </c>
      <c r="C708" s="69" t="s">
        <v>6251</v>
      </c>
      <c r="D708" s="10" t="s">
        <v>24</v>
      </c>
      <c r="E708" s="11" t="s">
        <v>25</v>
      </c>
      <c r="F708" s="29" t="s">
        <v>6252</v>
      </c>
      <c r="G708" s="15" t="s">
        <v>2390</v>
      </c>
      <c r="H708" s="22" t="s">
        <v>4015</v>
      </c>
      <c r="I708" s="24" t="s">
        <v>135</v>
      </c>
      <c r="J708" s="24" t="s">
        <v>32</v>
      </c>
      <c r="K708" s="23" t="s">
        <v>6254</v>
      </c>
      <c r="L708" s="25" t="str">
        <f>"RUTL-"&amp;RIGHT(K708,8)</f>
        <v>RUTL-PW0LW3N0</v>
      </c>
      <c r="M708" s="34" t="s">
        <v>40</v>
      </c>
      <c r="N708" s="32" t="s">
        <v>54</v>
      </c>
      <c r="O708" s="396"/>
      <c r="P708" s="35" t="s">
        <v>46</v>
      </c>
      <c r="Q708" s="397" t="s">
        <v>6255</v>
      </c>
      <c r="R708" s="15" t="s">
        <v>56</v>
      </c>
      <c r="S708" s="40" t="s">
        <v>57</v>
      </c>
      <c r="T708" s="118" t="s">
        <v>65</v>
      </c>
      <c r="U708" s="39" t="s">
        <v>297</v>
      </c>
      <c r="V708" s="44">
        <v>46108</v>
      </c>
      <c r="W708" s="23" t="s">
        <v>63</v>
      </c>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c r="BO708" s="30"/>
      <c r="BP708" s="30"/>
      <c r="BQ708" s="30"/>
      <c r="BR708" s="30"/>
      <c r="BS708" s="30"/>
      <c r="BT708" s="30"/>
      <c r="BU708" s="30"/>
      <c r="BV708" s="30"/>
      <c r="BW708" s="30"/>
      <c r="BX708" s="30"/>
      <c r="BY708" s="30"/>
      <c r="BZ708" s="30"/>
      <c r="CA708" s="30"/>
      <c r="CB708" s="30"/>
      <c r="CC708" s="30"/>
      <c r="CD708" s="30"/>
      <c r="CE708" s="30"/>
      <c r="CF708" s="30"/>
      <c r="CG708" s="30"/>
      <c r="CH708" s="30"/>
      <c r="CI708" s="30"/>
      <c r="CJ708" s="30"/>
      <c r="CK708" s="30"/>
      <c r="CL708" s="30"/>
      <c r="CM708" s="30"/>
      <c r="CN708" s="30"/>
      <c r="CO708" s="30"/>
      <c r="CP708" s="30"/>
      <c r="CQ708" s="30"/>
      <c r="CR708" s="30"/>
      <c r="CS708" s="30"/>
      <c r="CT708" s="30"/>
      <c r="CU708" s="30"/>
      <c r="CV708" s="30"/>
      <c r="CW708" s="30"/>
      <c r="CX708" s="30"/>
      <c r="CY708" s="30"/>
      <c r="CZ708" s="30"/>
      <c r="DA708" s="30"/>
      <c r="DB708" s="30"/>
      <c r="DC708" s="30"/>
      <c r="DD708" s="30"/>
      <c r="DE708" s="30"/>
      <c r="DF708" s="30"/>
      <c r="DG708" s="30"/>
      <c r="DH708" s="30"/>
      <c r="DI708" s="30"/>
      <c r="DJ708" s="30"/>
      <c r="DK708" s="30"/>
      <c r="DL708" s="30"/>
      <c r="DM708" s="30"/>
      <c r="DN708" s="30"/>
      <c r="DO708" s="30"/>
      <c r="DP708" s="30"/>
      <c r="DQ708" s="30"/>
      <c r="DR708" s="30"/>
      <c r="DS708" s="30"/>
      <c r="DT708" s="30"/>
      <c r="DU708" s="30"/>
      <c r="DV708" s="30"/>
      <c r="DW708" s="30"/>
      <c r="DX708" s="30"/>
      <c r="DY708" s="30"/>
      <c r="DZ708" s="30"/>
      <c r="EA708" s="30"/>
      <c r="EB708" s="30"/>
      <c r="EC708" s="30"/>
      <c r="ED708" s="30"/>
      <c r="EE708" s="30"/>
    </row>
    <row r="709" spans="1:135" ht="30" customHeight="1" x14ac:dyDescent="0.25">
      <c r="A709" s="578" t="s">
        <v>5634</v>
      </c>
      <c r="B709" s="8">
        <v>13403</v>
      </c>
      <c r="C709" s="72" t="s">
        <v>5632</v>
      </c>
      <c r="D709" s="10" t="s">
        <v>24</v>
      </c>
      <c r="E709" s="11" t="s">
        <v>25</v>
      </c>
      <c r="F709" s="20" t="s">
        <v>5633</v>
      </c>
      <c r="G709" s="15" t="s">
        <v>448</v>
      </c>
      <c r="H709" s="22" t="s">
        <v>2246</v>
      </c>
      <c r="I709" s="54" t="s">
        <v>117</v>
      </c>
      <c r="J709" s="18" t="s">
        <v>32</v>
      </c>
      <c r="K709" s="23" t="s">
        <v>5635</v>
      </c>
      <c r="L709" s="25" t="str">
        <f>"RUTL-"&amp;RIGHT(K709,8)</f>
        <v>RUTL-PW0LW3GA</v>
      </c>
      <c r="M709" s="34" t="s">
        <v>40</v>
      </c>
      <c r="N709" s="23" t="s">
        <v>54</v>
      </c>
      <c r="O709" s="23"/>
      <c r="P709" s="35" t="s">
        <v>46</v>
      </c>
      <c r="Q709" s="36" t="s">
        <v>5636</v>
      </c>
      <c r="R709" s="15" t="s">
        <v>56</v>
      </c>
      <c r="S709" s="37" t="s">
        <v>57</v>
      </c>
      <c r="T709" s="107" t="s">
        <v>453</v>
      </c>
      <c r="U709" s="39" t="s">
        <v>59</v>
      </c>
      <c r="V709" s="44">
        <v>46108</v>
      </c>
      <c r="W709" s="23" t="s">
        <v>63</v>
      </c>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c r="DJ709" s="5"/>
      <c r="DK709" s="5"/>
      <c r="DL709" s="5"/>
      <c r="DM709" s="5"/>
      <c r="DN709" s="5"/>
      <c r="DO709" s="5"/>
      <c r="DP709" s="5"/>
      <c r="DQ709" s="5"/>
      <c r="DR709" s="5"/>
      <c r="DS709" s="5"/>
      <c r="DT709" s="5"/>
      <c r="DU709" s="5"/>
      <c r="DV709" s="5"/>
      <c r="DW709" s="5"/>
      <c r="DX709" s="5"/>
      <c r="DY709" s="5"/>
      <c r="DZ709" s="5"/>
      <c r="EA709" s="5"/>
      <c r="EB709" s="5"/>
      <c r="EC709" s="5"/>
      <c r="ED709" s="5"/>
      <c r="EE709" s="5"/>
    </row>
    <row r="710" spans="1:135" ht="30" customHeight="1" x14ac:dyDescent="0.25">
      <c r="A710" s="578" t="s">
        <v>5624</v>
      </c>
      <c r="B710" s="16">
        <v>13379</v>
      </c>
      <c r="C710" s="72" t="s">
        <v>5622</v>
      </c>
      <c r="D710" s="10" t="s">
        <v>24</v>
      </c>
      <c r="E710" s="11" t="s">
        <v>25</v>
      </c>
      <c r="F710" s="29" t="s">
        <v>5623</v>
      </c>
      <c r="G710" s="15" t="s">
        <v>3517</v>
      </c>
      <c r="H710" s="206" t="s">
        <v>1154</v>
      </c>
      <c r="I710" s="24" t="s">
        <v>135</v>
      </c>
      <c r="J710" s="24" t="s">
        <v>32</v>
      </c>
      <c r="K710" s="23" t="s">
        <v>5625</v>
      </c>
      <c r="L710" s="25" t="str">
        <f>"RUTL-"&amp;RIGHT(K710,8)</f>
        <v>RUTL-PW0LW3N8</v>
      </c>
      <c r="M710" s="34" t="s">
        <v>40</v>
      </c>
      <c r="N710" s="32" t="s">
        <v>54</v>
      </c>
      <c r="O710" s="32"/>
      <c r="P710" s="35" t="s">
        <v>46</v>
      </c>
      <c r="Q710" s="36" t="s">
        <v>5626</v>
      </c>
      <c r="R710" s="15" t="s">
        <v>56</v>
      </c>
      <c r="S710" s="37" t="s">
        <v>57</v>
      </c>
      <c r="T710" s="68" t="s">
        <v>453</v>
      </c>
      <c r="U710" s="39" t="s">
        <v>59</v>
      </c>
      <c r="V710" s="44">
        <v>46108</v>
      </c>
      <c r="W710" s="23" t="s">
        <v>63</v>
      </c>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row>
    <row r="711" spans="1:135" ht="30" customHeight="1" x14ac:dyDescent="0.25">
      <c r="A711" s="578" t="s">
        <v>4562</v>
      </c>
      <c r="B711" s="452">
        <v>9164</v>
      </c>
      <c r="C711" s="455" t="s">
        <v>4560</v>
      </c>
      <c r="D711" s="458" t="s">
        <v>24</v>
      </c>
      <c r="E711" s="465" t="s">
        <v>25</v>
      </c>
      <c r="F711" s="20" t="s">
        <v>4561</v>
      </c>
      <c r="G711" s="461" t="s">
        <v>2512</v>
      </c>
      <c r="H711" s="485" t="s">
        <v>1154</v>
      </c>
      <c r="I711" s="490" t="s">
        <v>117</v>
      </c>
      <c r="J711" s="488" t="s">
        <v>32</v>
      </c>
      <c r="K711" s="501" t="s">
        <v>4563</v>
      </c>
      <c r="L711" s="506" t="str">
        <f>"RUTL-"&amp;RIGHT(K711,8)</f>
        <v>RUTL-PW0LW3R8</v>
      </c>
      <c r="M711" s="511" t="s">
        <v>40</v>
      </c>
      <c r="N711" s="493" t="s">
        <v>54</v>
      </c>
      <c r="O711" s="493"/>
      <c r="P711" s="522" t="s">
        <v>46</v>
      </c>
      <c r="Q711" s="528" t="s">
        <v>4564</v>
      </c>
      <c r="R711" s="461" t="s">
        <v>56</v>
      </c>
      <c r="S711" s="545" t="s">
        <v>57</v>
      </c>
      <c r="T711" s="557" t="s">
        <v>453</v>
      </c>
      <c r="U711" s="515" t="s">
        <v>1176</v>
      </c>
      <c r="V711" s="564">
        <v>46108</v>
      </c>
      <c r="W711" s="493" t="s">
        <v>63</v>
      </c>
    </row>
    <row r="712" spans="1:135" ht="30" customHeight="1" x14ac:dyDescent="0.25">
      <c r="A712" s="578" t="s">
        <v>3657</v>
      </c>
      <c r="B712" s="8">
        <v>4995</v>
      </c>
      <c r="C712" s="72" t="s">
        <v>3655</v>
      </c>
      <c r="D712" s="15" t="s">
        <v>24</v>
      </c>
      <c r="E712" s="11" t="s">
        <v>25</v>
      </c>
      <c r="F712" s="29" t="s">
        <v>3656</v>
      </c>
      <c r="G712" s="15" t="s">
        <v>253</v>
      </c>
      <c r="H712" s="206" t="s">
        <v>1154</v>
      </c>
      <c r="I712" s="24" t="s">
        <v>117</v>
      </c>
      <c r="J712" s="24" t="s">
        <v>32</v>
      </c>
      <c r="K712" s="33" t="s">
        <v>3658</v>
      </c>
      <c r="L712" s="25" t="str">
        <f>"RUTL-"&amp;RIGHT(K712,8)</f>
        <v>RUTL-PW0LW3VD</v>
      </c>
      <c r="M712" s="34" t="s">
        <v>40</v>
      </c>
      <c r="N712" s="32" t="s">
        <v>54</v>
      </c>
      <c r="O712" s="396"/>
      <c r="P712" s="35" t="s">
        <v>46</v>
      </c>
      <c r="Q712" s="36" t="s">
        <v>3659</v>
      </c>
      <c r="R712" s="15" t="s">
        <v>56</v>
      </c>
      <c r="S712" s="40" t="s">
        <v>57</v>
      </c>
      <c r="T712" s="68" t="s">
        <v>453</v>
      </c>
      <c r="U712" s="39" t="s">
        <v>1176</v>
      </c>
      <c r="V712" s="44">
        <v>46108</v>
      </c>
      <c r="W712" s="23" t="s">
        <v>63</v>
      </c>
      <c r="X712" s="30"/>
      <c r="Y712" s="233"/>
      <c r="Z712" s="233"/>
      <c r="AA712" s="233"/>
      <c r="AB712" s="233"/>
      <c r="AC712" s="233"/>
      <c r="AD712" s="233"/>
      <c r="AE712" s="233"/>
      <c r="AF712" s="233"/>
      <c r="AG712" s="233"/>
      <c r="AH712" s="233"/>
      <c r="AI712" s="233"/>
      <c r="AJ712" s="233"/>
      <c r="AK712" s="233"/>
      <c r="AL712" s="233"/>
      <c r="AM712" s="233"/>
      <c r="AN712" s="233"/>
      <c r="AO712" s="233"/>
      <c r="AP712" s="233"/>
      <c r="AQ712" s="233"/>
      <c r="AR712" s="233"/>
      <c r="AS712" s="233"/>
      <c r="AT712" s="233"/>
      <c r="AU712" s="233"/>
      <c r="AV712" s="233"/>
      <c r="AW712" s="233"/>
      <c r="AX712" s="233"/>
      <c r="AY712" s="233"/>
      <c r="AZ712" s="233"/>
      <c r="BA712" s="233"/>
      <c r="BB712" s="233"/>
      <c r="BC712" s="233"/>
      <c r="BD712" s="233"/>
      <c r="BE712" s="233"/>
      <c r="BF712" s="233"/>
      <c r="BG712" s="233"/>
      <c r="BH712" s="233"/>
      <c r="BI712" s="233"/>
      <c r="BJ712" s="233"/>
      <c r="BK712" s="233"/>
      <c r="BL712" s="233"/>
      <c r="BM712" s="233"/>
      <c r="BN712" s="233"/>
      <c r="BO712" s="233"/>
      <c r="BP712" s="233"/>
      <c r="BQ712" s="233"/>
      <c r="BR712" s="233"/>
      <c r="BS712" s="233"/>
      <c r="BT712" s="233"/>
      <c r="BU712" s="233"/>
      <c r="BV712" s="233"/>
      <c r="BW712" s="233"/>
      <c r="BX712" s="233"/>
      <c r="BY712" s="233"/>
      <c r="BZ712" s="233"/>
      <c r="CA712" s="233"/>
      <c r="CB712" s="233"/>
      <c r="CC712" s="233"/>
      <c r="CD712" s="233"/>
      <c r="CE712" s="233"/>
      <c r="CF712" s="233"/>
      <c r="CG712" s="233"/>
      <c r="CH712" s="233"/>
      <c r="CI712" s="233"/>
      <c r="CJ712" s="233"/>
      <c r="CK712" s="233"/>
      <c r="CL712" s="233"/>
      <c r="CM712" s="233"/>
      <c r="CN712" s="233"/>
      <c r="CO712" s="233"/>
      <c r="CP712" s="233"/>
      <c r="CQ712" s="233"/>
      <c r="CR712" s="233"/>
      <c r="CS712" s="233"/>
      <c r="CT712" s="233"/>
      <c r="CU712" s="233"/>
      <c r="CV712" s="233"/>
      <c r="CW712" s="233"/>
      <c r="CX712" s="233"/>
      <c r="CY712" s="233"/>
      <c r="CZ712" s="233"/>
      <c r="DA712" s="233"/>
      <c r="DB712" s="233"/>
      <c r="DC712" s="233"/>
      <c r="DD712" s="233"/>
      <c r="DE712" s="233"/>
      <c r="DF712" s="233"/>
      <c r="DG712" s="233"/>
      <c r="DH712" s="233"/>
      <c r="DI712" s="233"/>
      <c r="DJ712" s="233"/>
      <c r="DK712" s="233"/>
      <c r="DL712" s="233"/>
      <c r="DM712" s="233"/>
      <c r="DN712" s="233"/>
      <c r="DO712" s="233"/>
      <c r="DP712" s="233"/>
      <c r="DQ712" s="233"/>
      <c r="DR712" s="233"/>
      <c r="DS712" s="233"/>
      <c r="DT712" s="233"/>
      <c r="DU712" s="233"/>
      <c r="DV712" s="233"/>
      <c r="DW712" s="233"/>
      <c r="DX712" s="233"/>
      <c r="DY712" s="233"/>
      <c r="DZ712" s="233"/>
      <c r="EA712" s="233"/>
      <c r="EB712" s="233"/>
      <c r="EC712" s="233"/>
      <c r="ED712" s="233"/>
      <c r="EE712" s="233"/>
    </row>
    <row r="713" spans="1:135" ht="30" customHeight="1" thickBot="1" x14ac:dyDescent="0.3">
      <c r="A713" s="578" t="s">
        <v>3759</v>
      </c>
      <c r="B713" s="51">
        <v>5532</v>
      </c>
      <c r="C713" s="72" t="s">
        <v>3757</v>
      </c>
      <c r="D713" s="15" t="s">
        <v>24</v>
      </c>
      <c r="E713" s="11" t="s">
        <v>25</v>
      </c>
      <c r="F713" s="20" t="s">
        <v>3758</v>
      </c>
      <c r="G713" s="59" t="s">
        <v>3536</v>
      </c>
      <c r="H713" s="31" t="s">
        <v>3147</v>
      </c>
      <c r="I713" s="296" t="s">
        <v>135</v>
      </c>
      <c r="J713" s="18" t="s">
        <v>32</v>
      </c>
      <c r="K713" s="33" t="s">
        <v>3760</v>
      </c>
      <c r="L713" s="25" t="str">
        <f>"RUTL-"&amp;RIGHT(K713,8)</f>
        <v>RUTL-PW0LW3NL</v>
      </c>
      <c r="M713" s="34" t="s">
        <v>40</v>
      </c>
      <c r="N713" s="23" t="s">
        <v>54</v>
      </c>
      <c r="O713" s="23"/>
      <c r="P713" s="35" t="s">
        <v>46</v>
      </c>
      <c r="Q713" s="36" t="s">
        <v>3761</v>
      </c>
      <c r="R713" s="15" t="s">
        <v>56</v>
      </c>
      <c r="S713" s="37" t="s">
        <v>57</v>
      </c>
      <c r="T713" s="41" t="s">
        <v>65</v>
      </c>
      <c r="U713" s="39" t="s">
        <v>3762</v>
      </c>
      <c r="V713" s="44">
        <v>46108</v>
      </c>
      <c r="W713" s="23" t="s">
        <v>63</v>
      </c>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c r="BO713" s="30"/>
      <c r="BP713" s="30"/>
      <c r="BQ713" s="30"/>
      <c r="BR713" s="30"/>
      <c r="BS713" s="30"/>
      <c r="BT713" s="30"/>
      <c r="BU713" s="30"/>
      <c r="BV713" s="30"/>
      <c r="BW713" s="30"/>
      <c r="BX713" s="30"/>
      <c r="BY713" s="30"/>
      <c r="BZ713" s="30"/>
      <c r="CA713" s="30"/>
      <c r="CB713" s="30"/>
      <c r="CC713" s="30"/>
      <c r="CD713" s="30"/>
      <c r="CE713" s="30"/>
      <c r="CF713" s="30"/>
      <c r="CG713" s="30"/>
      <c r="CH713" s="30"/>
      <c r="CI713" s="30"/>
      <c r="CJ713" s="30"/>
      <c r="CK713" s="30"/>
      <c r="CL713" s="30"/>
      <c r="CM713" s="30"/>
      <c r="CN713" s="30"/>
      <c r="CO713" s="30"/>
      <c r="CP713" s="30"/>
      <c r="CQ713" s="30"/>
      <c r="CR713" s="30"/>
      <c r="CS713" s="30"/>
      <c r="CT713" s="30"/>
      <c r="CU713" s="30"/>
      <c r="CV713" s="30"/>
      <c r="CW713" s="30"/>
      <c r="CX713" s="30"/>
      <c r="CY713" s="30"/>
      <c r="CZ713" s="30"/>
      <c r="DA713" s="30"/>
      <c r="DB713" s="30"/>
      <c r="DC713" s="30"/>
      <c r="DD713" s="30"/>
      <c r="DE713" s="30"/>
      <c r="DF713" s="30"/>
      <c r="DG713" s="30"/>
      <c r="DH713" s="30"/>
      <c r="DI713" s="30"/>
      <c r="DJ713" s="30"/>
      <c r="DK713" s="30"/>
      <c r="DL713" s="30"/>
      <c r="DM713" s="30"/>
      <c r="DN713" s="30"/>
      <c r="DO713" s="30"/>
      <c r="DP713" s="30"/>
      <c r="DQ713" s="30"/>
      <c r="DR713" s="30"/>
      <c r="DS713" s="30"/>
      <c r="DT713" s="30"/>
      <c r="DU713" s="30"/>
      <c r="DV713" s="30"/>
      <c r="DW713" s="30"/>
      <c r="DX713" s="30"/>
      <c r="DY713" s="30"/>
      <c r="DZ713" s="30"/>
      <c r="EA713" s="30"/>
      <c r="EB713" s="30"/>
      <c r="EC713" s="30"/>
      <c r="ED713" s="30"/>
      <c r="EE713" s="30"/>
    </row>
    <row r="714" spans="1:135" ht="30" customHeight="1" thickBot="1" x14ac:dyDescent="0.3">
      <c r="A714" s="578" t="s">
        <v>6097</v>
      </c>
      <c r="B714" s="8">
        <v>15078</v>
      </c>
      <c r="C714" s="72" t="s">
        <v>6095</v>
      </c>
      <c r="D714" s="10" t="s">
        <v>24</v>
      </c>
      <c r="E714" s="11" t="s">
        <v>25</v>
      </c>
      <c r="F714" s="20" t="s">
        <v>6096</v>
      </c>
      <c r="G714" s="15" t="s">
        <v>889</v>
      </c>
      <c r="H714" s="17" t="s">
        <v>1846</v>
      </c>
      <c r="I714" s="18" t="s">
        <v>135</v>
      </c>
      <c r="J714" s="18" t="s">
        <v>32</v>
      </c>
      <c r="K714" s="23" t="s">
        <v>6098</v>
      </c>
      <c r="L714" s="25" t="str">
        <f>"RUTL-"&amp;RIGHT(K714,8)</f>
        <v>RUTL-PW0LW3RD</v>
      </c>
      <c r="M714" s="34" t="s">
        <v>40</v>
      </c>
      <c r="N714" s="23" t="s">
        <v>54</v>
      </c>
      <c r="O714" s="23"/>
      <c r="P714" s="35" t="s">
        <v>46</v>
      </c>
      <c r="Q714" s="36" t="s">
        <v>6099</v>
      </c>
      <c r="R714" s="15" t="s">
        <v>56</v>
      </c>
      <c r="S714" s="37" t="s">
        <v>57</v>
      </c>
      <c r="T714" s="309" t="s">
        <v>273</v>
      </c>
      <c r="U714" s="39" t="s">
        <v>59</v>
      </c>
      <c r="V714" s="44">
        <v>46108</v>
      </c>
      <c r="W714" s="23" t="s">
        <v>63</v>
      </c>
      <c r="X714" s="24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c r="DJ714" s="5"/>
      <c r="DK714" s="5"/>
      <c r="DL714" s="5"/>
      <c r="DM714" s="5"/>
      <c r="DN714" s="5"/>
      <c r="DO714" s="5"/>
      <c r="DP714" s="5"/>
      <c r="DQ714" s="5"/>
      <c r="DR714" s="5"/>
      <c r="DS714" s="5"/>
      <c r="DT714" s="5"/>
      <c r="DU714" s="5"/>
      <c r="DV714" s="5"/>
      <c r="DW714" s="5"/>
      <c r="DX714" s="5"/>
      <c r="DY714" s="5"/>
      <c r="DZ714" s="5"/>
      <c r="EA714" s="5"/>
      <c r="EB714" s="5"/>
      <c r="EC714" s="5"/>
      <c r="ED714" s="5"/>
      <c r="EE714" s="5"/>
    </row>
    <row r="715" spans="1:135" ht="30" customHeight="1" x14ac:dyDescent="0.25">
      <c r="A715" s="578" t="s">
        <v>5315</v>
      </c>
      <c r="B715" s="8">
        <v>12600</v>
      </c>
      <c r="C715" s="72" t="s">
        <v>5313</v>
      </c>
      <c r="D715" s="10" t="s">
        <v>24</v>
      </c>
      <c r="E715" s="11" t="s">
        <v>25</v>
      </c>
      <c r="F715" s="29" t="s">
        <v>5314</v>
      </c>
      <c r="G715" s="15" t="s">
        <v>3948</v>
      </c>
      <c r="H715" s="147" t="s">
        <v>434</v>
      </c>
      <c r="I715" s="205" t="s">
        <v>135</v>
      </c>
      <c r="J715" s="24" t="s">
        <v>32</v>
      </c>
      <c r="K715" s="23" t="s">
        <v>5316</v>
      </c>
      <c r="L715" s="25" t="str">
        <f>"RUTL-"&amp;RIGHT(K715,8)</f>
        <v>RUTL-PW0LW3SP</v>
      </c>
      <c r="M715" s="34" t="s">
        <v>40</v>
      </c>
      <c r="N715" s="32" t="s">
        <v>54</v>
      </c>
      <c r="O715" s="32"/>
      <c r="P715" s="35" t="s">
        <v>46</v>
      </c>
      <c r="Q715" s="36" t="s">
        <v>5317</v>
      </c>
      <c r="R715" s="15" t="s">
        <v>56</v>
      </c>
      <c r="S715" s="37" t="s">
        <v>57</v>
      </c>
      <c r="T715" s="68" t="s">
        <v>453</v>
      </c>
      <c r="U715" s="39" t="s">
        <v>59</v>
      </c>
      <c r="V715" s="44">
        <v>46108</v>
      </c>
      <c r="W715" s="23" t="s">
        <v>63</v>
      </c>
      <c r="X715" s="233"/>
      <c r="Y715" s="233"/>
      <c r="Z715" s="233"/>
      <c r="AA715" s="233"/>
      <c r="AB715" s="233"/>
      <c r="AC715" s="233"/>
      <c r="AD715" s="233"/>
      <c r="AE715" s="233"/>
      <c r="AF715" s="233"/>
      <c r="AG715" s="233"/>
      <c r="AH715" s="233"/>
      <c r="AI715" s="233"/>
      <c r="AJ715" s="233"/>
      <c r="AK715" s="233"/>
      <c r="AL715" s="233"/>
      <c r="AM715" s="233"/>
      <c r="AN715" s="233"/>
      <c r="AO715" s="233"/>
      <c r="AP715" s="233"/>
      <c r="AQ715" s="233"/>
      <c r="AR715" s="233"/>
      <c r="AS715" s="233"/>
      <c r="AT715" s="233"/>
      <c r="AU715" s="233"/>
      <c r="AV715" s="233"/>
      <c r="AW715" s="233"/>
      <c r="AX715" s="233"/>
      <c r="AY715" s="233"/>
      <c r="AZ715" s="233"/>
      <c r="BA715" s="233"/>
      <c r="BB715" s="233"/>
      <c r="BC715" s="233"/>
      <c r="BD715" s="233"/>
      <c r="BE715" s="233"/>
      <c r="BF715" s="233"/>
      <c r="BG715" s="233"/>
      <c r="BH715" s="233"/>
      <c r="BI715" s="233"/>
      <c r="BJ715" s="233"/>
      <c r="BK715" s="233"/>
      <c r="BL715" s="233"/>
      <c r="BM715" s="233"/>
      <c r="BN715" s="233"/>
      <c r="BO715" s="233"/>
      <c r="BP715" s="233"/>
      <c r="BQ715" s="233"/>
      <c r="BR715" s="233"/>
      <c r="BS715" s="233"/>
      <c r="BT715" s="233"/>
      <c r="BU715" s="233"/>
      <c r="BV715" s="233"/>
      <c r="BW715" s="233"/>
      <c r="BX715" s="233"/>
      <c r="BY715" s="233"/>
      <c r="BZ715" s="233"/>
      <c r="CA715" s="233"/>
      <c r="CB715" s="233"/>
      <c r="CC715" s="233"/>
      <c r="CD715" s="233"/>
      <c r="CE715" s="233"/>
      <c r="CF715" s="233"/>
      <c r="CG715" s="233"/>
      <c r="CH715" s="233"/>
      <c r="CI715" s="233"/>
      <c r="CJ715" s="233"/>
      <c r="CK715" s="233"/>
      <c r="CL715" s="233"/>
      <c r="CM715" s="233"/>
      <c r="CN715" s="233"/>
      <c r="CO715" s="233"/>
      <c r="CP715" s="233"/>
      <c r="CQ715" s="233"/>
      <c r="CR715" s="233"/>
      <c r="CS715" s="233"/>
      <c r="CT715" s="233"/>
      <c r="CU715" s="233"/>
      <c r="CV715" s="233"/>
      <c r="CW715" s="233"/>
      <c r="CX715" s="233"/>
      <c r="CY715" s="233"/>
      <c r="CZ715" s="233"/>
      <c r="DA715" s="233"/>
      <c r="DB715" s="233"/>
      <c r="DC715" s="233"/>
      <c r="DD715" s="233"/>
      <c r="DE715" s="233"/>
      <c r="DF715" s="233"/>
      <c r="DG715" s="233"/>
      <c r="DH715" s="233"/>
      <c r="DI715" s="233"/>
      <c r="DJ715" s="233"/>
      <c r="DK715" s="233"/>
      <c r="DL715" s="233"/>
      <c r="DM715" s="233"/>
      <c r="DN715" s="233"/>
      <c r="DO715" s="233"/>
      <c r="DP715" s="233"/>
      <c r="DQ715" s="233"/>
      <c r="DR715" s="233"/>
      <c r="DS715" s="233"/>
      <c r="DT715" s="233"/>
      <c r="DU715" s="233"/>
      <c r="DV715" s="233"/>
      <c r="DW715" s="233"/>
      <c r="DX715" s="233"/>
      <c r="DY715" s="233"/>
      <c r="DZ715" s="233"/>
      <c r="EA715" s="233"/>
      <c r="EB715" s="233"/>
      <c r="EC715" s="233"/>
      <c r="ED715" s="233"/>
      <c r="EE715" s="233"/>
    </row>
    <row r="716" spans="1:135" ht="30" customHeight="1" x14ac:dyDescent="0.25">
      <c r="A716" s="578" t="s">
        <v>6051</v>
      </c>
      <c r="B716" s="16">
        <v>14939</v>
      </c>
      <c r="C716" s="167" t="s">
        <v>6049</v>
      </c>
      <c r="D716" s="10" t="s">
        <v>24</v>
      </c>
      <c r="E716" s="11" t="s">
        <v>25</v>
      </c>
      <c r="F716" s="20" t="s">
        <v>6050</v>
      </c>
      <c r="G716" s="15" t="s">
        <v>2512</v>
      </c>
      <c r="H716" s="31" t="s">
        <v>92</v>
      </c>
      <c r="I716" s="142" t="s">
        <v>135</v>
      </c>
      <c r="J716" s="24" t="s">
        <v>32</v>
      </c>
      <c r="K716" s="23" t="s">
        <v>6052</v>
      </c>
      <c r="L716" s="25" t="str">
        <f>"RUTL-"&amp;RIGHT(K716,8)</f>
        <v>RUTL-PW0LW3S8</v>
      </c>
      <c r="M716" s="34" t="s">
        <v>40</v>
      </c>
      <c r="N716" s="32" t="s">
        <v>43</v>
      </c>
      <c r="O716" s="32"/>
      <c r="P716" s="35" t="s">
        <v>46</v>
      </c>
      <c r="Q716" s="36" t="s">
        <v>6053</v>
      </c>
      <c r="R716" s="15" t="s">
        <v>56</v>
      </c>
      <c r="S716" s="37" t="s">
        <v>57</v>
      </c>
      <c r="T716" s="274" t="s">
        <v>58</v>
      </c>
      <c r="U716" s="39" t="s">
        <v>59</v>
      </c>
      <c r="V716" s="48">
        <v>46108</v>
      </c>
      <c r="W716" s="23" t="s">
        <v>63</v>
      </c>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c r="BO716" s="30"/>
      <c r="BP716" s="30"/>
      <c r="BQ716" s="30"/>
      <c r="BR716" s="30"/>
      <c r="BS716" s="30"/>
      <c r="BT716" s="30"/>
      <c r="BU716" s="30"/>
      <c r="BV716" s="30"/>
      <c r="BW716" s="30"/>
      <c r="BX716" s="30"/>
      <c r="BY716" s="30"/>
      <c r="BZ716" s="30"/>
      <c r="CA716" s="30"/>
      <c r="CB716" s="30"/>
      <c r="CC716" s="30"/>
      <c r="CD716" s="30"/>
      <c r="CE716" s="30"/>
      <c r="CF716" s="30"/>
      <c r="CG716" s="30"/>
      <c r="CH716" s="30"/>
      <c r="CI716" s="30"/>
      <c r="CJ716" s="30"/>
      <c r="CK716" s="30"/>
      <c r="CL716" s="30"/>
      <c r="CM716" s="30"/>
      <c r="CN716" s="30"/>
      <c r="CO716" s="30"/>
      <c r="CP716" s="30"/>
      <c r="CQ716" s="30"/>
      <c r="CR716" s="30"/>
      <c r="CS716" s="30"/>
      <c r="CT716" s="30"/>
      <c r="CU716" s="30"/>
      <c r="CV716" s="30"/>
      <c r="CW716" s="30"/>
      <c r="CX716" s="30"/>
      <c r="CY716" s="30"/>
      <c r="CZ716" s="30"/>
      <c r="DA716" s="30"/>
      <c r="DB716" s="30"/>
      <c r="DC716" s="30"/>
      <c r="DD716" s="30"/>
      <c r="DE716" s="30"/>
      <c r="DF716" s="30"/>
      <c r="DG716" s="30"/>
      <c r="DH716" s="30"/>
      <c r="DI716" s="30"/>
      <c r="DJ716" s="30"/>
      <c r="DK716" s="30"/>
      <c r="DL716" s="30"/>
      <c r="DM716" s="30"/>
      <c r="DN716" s="30"/>
      <c r="DO716" s="30"/>
      <c r="DP716" s="30"/>
      <c r="DQ716" s="30"/>
      <c r="DR716" s="30"/>
      <c r="DS716" s="30"/>
      <c r="DT716" s="30"/>
      <c r="DU716" s="30"/>
      <c r="DV716" s="30"/>
      <c r="DW716" s="30"/>
      <c r="DX716" s="30"/>
      <c r="DY716" s="30"/>
      <c r="DZ716" s="30"/>
      <c r="EA716" s="30"/>
      <c r="EB716" s="30"/>
      <c r="EC716" s="30"/>
      <c r="ED716" s="30"/>
      <c r="EE716" s="30"/>
    </row>
    <row r="717" spans="1:135" ht="30" customHeight="1" x14ac:dyDescent="0.25">
      <c r="A717" s="578" t="s">
        <v>33</v>
      </c>
      <c r="B717" s="8">
        <v>36</v>
      </c>
      <c r="C717" s="9" t="s">
        <v>23</v>
      </c>
      <c r="D717" s="10" t="s">
        <v>24</v>
      </c>
      <c r="E717" s="11" t="s">
        <v>25</v>
      </c>
      <c r="F717" s="12" t="s">
        <v>26</v>
      </c>
      <c r="G717" s="59" t="s">
        <v>27</v>
      </c>
      <c r="H717" s="17" t="s">
        <v>29</v>
      </c>
      <c r="I717" s="18" t="s">
        <v>30</v>
      </c>
      <c r="J717" s="18" t="s">
        <v>32</v>
      </c>
      <c r="K717" s="23" t="s">
        <v>37</v>
      </c>
      <c r="L717" s="25" t="str">
        <f>"RUTL-"&amp;RIGHT(K717,8)</f>
        <v>RUTL-PW0LW3V5</v>
      </c>
      <c r="M717" s="34" t="s">
        <v>40</v>
      </c>
      <c r="N717" s="23" t="s">
        <v>43</v>
      </c>
      <c r="O717" s="23"/>
      <c r="P717" s="35" t="s">
        <v>46</v>
      </c>
      <c r="Q717" s="63" t="s">
        <v>51</v>
      </c>
      <c r="R717" s="15" t="s">
        <v>56</v>
      </c>
      <c r="S717" s="37" t="s">
        <v>57</v>
      </c>
      <c r="T717" s="38" t="s">
        <v>58</v>
      </c>
      <c r="U717" s="39" t="s">
        <v>59</v>
      </c>
      <c r="V717" s="44">
        <v>46108</v>
      </c>
      <c r="W717" s="23" t="s">
        <v>63</v>
      </c>
      <c r="X717" s="30"/>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c r="DJ717" s="5"/>
      <c r="DK717" s="5"/>
      <c r="DL717" s="5"/>
      <c r="DM717" s="5"/>
      <c r="DN717" s="5"/>
      <c r="DO717" s="5"/>
      <c r="DP717" s="5"/>
      <c r="DQ717" s="5"/>
      <c r="DR717" s="5"/>
      <c r="DS717" s="5"/>
      <c r="DT717" s="5"/>
      <c r="DU717" s="5"/>
      <c r="DV717" s="5"/>
      <c r="DW717" s="5"/>
      <c r="DX717" s="5"/>
      <c r="DY717" s="5"/>
      <c r="DZ717" s="5"/>
      <c r="EA717" s="5"/>
      <c r="EB717" s="5"/>
      <c r="EC717" s="5"/>
      <c r="ED717" s="5"/>
      <c r="EE717" s="5"/>
    </row>
    <row r="718" spans="1:135" ht="30" customHeight="1" x14ac:dyDescent="0.25">
      <c r="A718" s="578" t="s">
        <v>2781</v>
      </c>
      <c r="B718" s="8">
        <v>1721</v>
      </c>
      <c r="C718" s="72" t="s">
        <v>2778</v>
      </c>
      <c r="D718" s="10" t="s">
        <v>24</v>
      </c>
      <c r="E718" s="11" t="s">
        <v>25</v>
      </c>
      <c r="F718" s="20" t="s">
        <v>2779</v>
      </c>
      <c r="G718" s="15" t="s">
        <v>1546</v>
      </c>
      <c r="H718" s="147" t="s">
        <v>1109</v>
      </c>
      <c r="I718" s="18" t="s">
        <v>135</v>
      </c>
      <c r="J718" s="18" t="s">
        <v>32</v>
      </c>
      <c r="K718" s="33" t="s">
        <v>2782</v>
      </c>
      <c r="L718" s="25" t="str">
        <f>"RUTL-"&amp;RIGHT(K718,8)</f>
        <v>RUTL-PW0LW3V8</v>
      </c>
      <c r="M718" s="34" t="s">
        <v>40</v>
      </c>
      <c r="N718" s="23" t="s">
        <v>54</v>
      </c>
      <c r="O718" s="23"/>
      <c r="P718" s="35" t="s">
        <v>46</v>
      </c>
      <c r="Q718" s="36" t="s">
        <v>2783</v>
      </c>
      <c r="R718" s="15" t="s">
        <v>56</v>
      </c>
      <c r="S718" s="37" t="s">
        <v>57</v>
      </c>
      <c r="T718" s="107" t="s">
        <v>453</v>
      </c>
      <c r="U718" s="39" t="s">
        <v>59</v>
      </c>
      <c r="V718" s="44">
        <v>46108</v>
      </c>
      <c r="W718" s="23" t="s">
        <v>63</v>
      </c>
      <c r="X718" s="233"/>
      <c r="Y718" s="233"/>
      <c r="Z718" s="233"/>
      <c r="AA718" s="233"/>
      <c r="AB718" s="233"/>
      <c r="AC718" s="233"/>
      <c r="AD718" s="233"/>
      <c r="AE718" s="233"/>
      <c r="AF718" s="233"/>
      <c r="AG718" s="233"/>
      <c r="AH718" s="233"/>
      <c r="AI718" s="233"/>
      <c r="AJ718" s="233"/>
      <c r="AK718" s="233"/>
      <c r="AL718" s="233"/>
      <c r="AM718" s="233"/>
      <c r="AN718" s="233"/>
      <c r="AO718" s="233"/>
      <c r="AP718" s="233"/>
      <c r="AQ718" s="233"/>
      <c r="AR718" s="233"/>
      <c r="AS718" s="233"/>
      <c r="AT718" s="233"/>
      <c r="AU718" s="233"/>
      <c r="AV718" s="233"/>
      <c r="AW718" s="233"/>
      <c r="AX718" s="233"/>
      <c r="AY718" s="233"/>
      <c r="AZ718" s="233"/>
      <c r="BA718" s="233"/>
      <c r="BB718" s="233"/>
      <c r="BC718" s="233"/>
      <c r="BD718" s="233"/>
      <c r="BE718" s="233"/>
      <c r="BF718" s="233"/>
      <c r="BG718" s="233"/>
      <c r="BH718" s="233"/>
      <c r="BI718" s="233"/>
      <c r="BJ718" s="233"/>
      <c r="BK718" s="233"/>
      <c r="BL718" s="233"/>
      <c r="BM718" s="233"/>
      <c r="BN718" s="233"/>
      <c r="BO718" s="233"/>
      <c r="BP718" s="233"/>
      <c r="BQ718" s="233"/>
      <c r="BR718" s="233"/>
      <c r="BS718" s="233"/>
      <c r="BT718" s="233"/>
      <c r="BU718" s="233"/>
      <c r="BV718" s="233"/>
      <c r="BW718" s="233"/>
      <c r="BX718" s="233"/>
      <c r="BY718" s="233"/>
      <c r="BZ718" s="233"/>
      <c r="CA718" s="233"/>
      <c r="CB718" s="233"/>
      <c r="CC718" s="233"/>
      <c r="CD718" s="233"/>
      <c r="CE718" s="233"/>
      <c r="CF718" s="233"/>
      <c r="CG718" s="233"/>
      <c r="CH718" s="233"/>
      <c r="CI718" s="233"/>
      <c r="CJ718" s="233"/>
      <c r="CK718" s="233"/>
      <c r="CL718" s="233"/>
      <c r="CM718" s="233"/>
      <c r="CN718" s="233"/>
      <c r="CO718" s="233"/>
      <c r="CP718" s="233"/>
      <c r="CQ718" s="233"/>
      <c r="CR718" s="233"/>
      <c r="CS718" s="233"/>
      <c r="CT718" s="233"/>
      <c r="CU718" s="233"/>
      <c r="CV718" s="233"/>
      <c r="CW718" s="233"/>
      <c r="CX718" s="233"/>
      <c r="CY718" s="233"/>
      <c r="CZ718" s="233"/>
      <c r="DA718" s="233"/>
      <c r="DB718" s="233"/>
      <c r="DC718" s="233"/>
      <c r="DD718" s="233"/>
      <c r="DE718" s="233"/>
      <c r="DF718" s="233"/>
      <c r="DG718" s="233"/>
      <c r="DH718" s="233"/>
      <c r="DI718" s="233"/>
      <c r="DJ718" s="233"/>
      <c r="DK718" s="233"/>
      <c r="DL718" s="233"/>
      <c r="DM718" s="233"/>
      <c r="DN718" s="233"/>
      <c r="DO718" s="233"/>
      <c r="DP718" s="233"/>
      <c r="DQ718" s="233"/>
      <c r="DR718" s="233"/>
      <c r="DS718" s="233"/>
      <c r="DT718" s="233"/>
      <c r="DU718" s="233"/>
      <c r="DV718" s="233"/>
      <c r="DW718" s="233"/>
      <c r="DX718" s="233"/>
      <c r="DY718" s="233"/>
      <c r="DZ718" s="233"/>
      <c r="EA718" s="233"/>
      <c r="EB718" s="233"/>
      <c r="EC718" s="233"/>
      <c r="ED718" s="233"/>
      <c r="EE718" s="233"/>
    </row>
    <row r="719" spans="1:135" ht="30" customHeight="1" x14ac:dyDescent="0.25">
      <c r="A719" s="578" t="s">
        <v>4148</v>
      </c>
      <c r="B719" s="16">
        <v>7400</v>
      </c>
      <c r="C719" s="52" t="s">
        <v>4146</v>
      </c>
      <c r="D719" s="10" t="s">
        <v>24</v>
      </c>
      <c r="E719" s="11" t="s">
        <v>25</v>
      </c>
      <c r="F719" s="20" t="s">
        <v>4147</v>
      </c>
      <c r="G719" s="15" t="s">
        <v>3536</v>
      </c>
      <c r="H719" s="31" t="s">
        <v>564</v>
      </c>
      <c r="I719" s="24" t="s">
        <v>135</v>
      </c>
      <c r="J719" s="24" t="s">
        <v>32</v>
      </c>
      <c r="K719" s="33" t="s">
        <v>4149</v>
      </c>
      <c r="L719" s="25" t="str">
        <f>"RUTL-"&amp;RIGHT(K719,8)</f>
        <v>RUTL-PW0LW3VH</v>
      </c>
      <c r="M719" s="34" t="s">
        <v>40</v>
      </c>
      <c r="N719" s="32" t="s">
        <v>43</v>
      </c>
      <c r="O719" s="413"/>
      <c r="P719" s="35" t="s">
        <v>46</v>
      </c>
      <c r="Q719" s="36" t="s">
        <v>4150</v>
      </c>
      <c r="R719" s="15" t="s">
        <v>56</v>
      </c>
      <c r="S719" s="40" t="s">
        <v>57</v>
      </c>
      <c r="T719" s="105" t="s">
        <v>273</v>
      </c>
      <c r="U719" s="39" t="s">
        <v>59</v>
      </c>
      <c r="V719" s="43">
        <v>46108</v>
      </c>
      <c r="W719" s="32" t="s">
        <v>63</v>
      </c>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c r="DG719" s="5"/>
      <c r="DH719" s="5"/>
      <c r="DI719" s="5"/>
      <c r="DJ719" s="5"/>
      <c r="DK719" s="5"/>
      <c r="DL719" s="5"/>
      <c r="DM719" s="5"/>
      <c r="DN719" s="5"/>
      <c r="DO719" s="5"/>
      <c r="DP719" s="5"/>
      <c r="DQ719" s="5"/>
      <c r="DR719" s="5"/>
      <c r="DS719" s="5"/>
      <c r="DT719" s="5"/>
      <c r="DU719" s="5"/>
      <c r="DV719" s="5"/>
      <c r="DW719" s="5"/>
      <c r="DX719" s="5"/>
      <c r="DY719" s="5"/>
      <c r="DZ719" s="5"/>
      <c r="EA719" s="5"/>
      <c r="EB719" s="5"/>
      <c r="EC719" s="5"/>
      <c r="ED719" s="5"/>
      <c r="EE719" s="5"/>
    </row>
    <row r="720" spans="1:135" ht="30" customHeight="1" x14ac:dyDescent="0.25">
      <c r="A720" s="578" t="s">
        <v>7209</v>
      </c>
      <c r="B720" s="51">
        <v>17735</v>
      </c>
      <c r="C720" s="52" t="s">
        <v>7207</v>
      </c>
      <c r="D720" s="15" t="s">
        <v>24</v>
      </c>
      <c r="E720" s="11" t="s">
        <v>25</v>
      </c>
      <c r="F720" s="20" t="s">
        <v>7208</v>
      </c>
      <c r="G720" s="15" t="s">
        <v>606</v>
      </c>
      <c r="H720" s="31" t="s">
        <v>2109</v>
      </c>
      <c r="I720" s="18" t="s">
        <v>135</v>
      </c>
      <c r="J720" s="18" t="s">
        <v>32</v>
      </c>
      <c r="K720" s="33" t="s">
        <v>7210</v>
      </c>
      <c r="L720" s="25" t="str">
        <f>"RUTL-"&amp;RIGHT(K720,8)</f>
        <v>RUTL-PW0LW3N4</v>
      </c>
      <c r="M720" s="34" t="s">
        <v>40</v>
      </c>
      <c r="N720" s="23" t="s">
        <v>54</v>
      </c>
      <c r="O720" s="23"/>
      <c r="P720" s="35" t="s">
        <v>46</v>
      </c>
      <c r="Q720" s="36" t="s">
        <v>7211</v>
      </c>
      <c r="R720" s="15" t="s">
        <v>56</v>
      </c>
      <c r="S720" s="37" t="s">
        <v>57</v>
      </c>
      <c r="T720" s="107" t="s">
        <v>453</v>
      </c>
      <c r="U720" s="39" t="s">
        <v>7212</v>
      </c>
      <c r="V720" s="44">
        <v>46108</v>
      </c>
      <c r="W720" s="23" t="s">
        <v>63</v>
      </c>
      <c r="X720" s="30"/>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row>
    <row r="721" spans="1:135" ht="30" customHeight="1" x14ac:dyDescent="0.25">
      <c r="A721" s="578" t="s">
        <v>6222</v>
      </c>
      <c r="B721" s="8">
        <v>15383</v>
      </c>
      <c r="C721" s="72" t="s">
        <v>6219</v>
      </c>
      <c r="D721" s="10" t="s">
        <v>24</v>
      </c>
      <c r="E721" s="11" t="s">
        <v>25</v>
      </c>
      <c r="F721" s="20" t="s">
        <v>6220</v>
      </c>
      <c r="G721" s="15" t="s">
        <v>6221</v>
      </c>
      <c r="H721" s="76" t="s">
        <v>3543</v>
      </c>
      <c r="I721" s="18" t="s">
        <v>135</v>
      </c>
      <c r="J721" s="24" t="s">
        <v>32</v>
      </c>
      <c r="K721" s="23" t="s">
        <v>6223</v>
      </c>
      <c r="L721" s="25" t="str">
        <f>"RUTL-"&amp;RIGHT(K721,8)</f>
        <v>RUTL-PW0LW3ME</v>
      </c>
      <c r="M721" s="34" t="s">
        <v>40</v>
      </c>
      <c r="N721" s="23" t="s">
        <v>54</v>
      </c>
      <c r="O721" s="23"/>
      <c r="P721" s="35" t="s">
        <v>46</v>
      </c>
      <c r="Q721" s="36" t="s">
        <v>6227</v>
      </c>
      <c r="R721" s="15" t="s">
        <v>56</v>
      </c>
      <c r="S721" s="37" t="s">
        <v>57</v>
      </c>
      <c r="T721" s="107" t="s">
        <v>453</v>
      </c>
      <c r="U721" s="39" t="s">
        <v>1130</v>
      </c>
      <c r="V721" s="44">
        <v>46108</v>
      </c>
      <c r="W721" s="23" t="s">
        <v>63</v>
      </c>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row>
    <row r="722" spans="1:135" ht="30" customHeight="1" x14ac:dyDescent="0.25">
      <c r="A722" s="578" t="s">
        <v>136</v>
      </c>
      <c r="B722" s="51" t="s">
        <v>130</v>
      </c>
      <c r="C722" s="72" t="s">
        <v>131</v>
      </c>
      <c r="D722" s="10" t="s">
        <v>24</v>
      </c>
      <c r="E722" s="11" t="s">
        <v>25</v>
      </c>
      <c r="F722" s="20" t="s">
        <v>132</v>
      </c>
      <c r="G722" s="15" t="s">
        <v>133</v>
      </c>
      <c r="H722" s="31" t="s">
        <v>134</v>
      </c>
      <c r="I722" s="18" t="s">
        <v>135</v>
      </c>
      <c r="J722" s="18" t="s">
        <v>32</v>
      </c>
      <c r="K722" s="33" t="s">
        <v>138</v>
      </c>
      <c r="L722" s="21" t="str">
        <f>"RUTL-"&amp;RIGHT(K722,8)</f>
        <v>RUTL-PW0LW3RV</v>
      </c>
      <c r="M722" s="34" t="s">
        <v>40</v>
      </c>
      <c r="N722" s="23" t="s">
        <v>140</v>
      </c>
      <c r="O722" s="23"/>
      <c r="P722" s="35" t="s">
        <v>46</v>
      </c>
      <c r="Q722" s="36" t="s">
        <v>141</v>
      </c>
      <c r="R722" s="15" t="s">
        <v>56</v>
      </c>
      <c r="S722" s="37" t="s">
        <v>57</v>
      </c>
      <c r="T722" s="87" t="s">
        <v>142</v>
      </c>
      <c r="U722" s="39" t="s">
        <v>143</v>
      </c>
      <c r="V722" s="44">
        <v>46108</v>
      </c>
      <c r="W722" s="23" t="s">
        <v>63</v>
      </c>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row>
    <row r="723" spans="1:135" ht="30" customHeight="1" x14ac:dyDescent="0.25">
      <c r="A723" s="578" t="s">
        <v>7074</v>
      </c>
      <c r="B723" s="51">
        <v>17384</v>
      </c>
      <c r="C723" s="72" t="s">
        <v>7072</v>
      </c>
      <c r="D723" s="10" t="s">
        <v>24</v>
      </c>
      <c r="E723" s="11" t="s">
        <v>25</v>
      </c>
      <c r="F723" s="20" t="s">
        <v>7073</v>
      </c>
      <c r="G723" s="15" t="s">
        <v>988</v>
      </c>
      <c r="H723" s="22" t="s">
        <v>1221</v>
      </c>
      <c r="I723" s="18" t="s">
        <v>135</v>
      </c>
      <c r="J723" s="24" t="s">
        <v>32</v>
      </c>
      <c r="K723" s="23" t="s">
        <v>7075</v>
      </c>
      <c r="L723" s="25" t="str">
        <f>"RUTL-"&amp;RIGHT(K723,8)</f>
        <v>RUTL-PW0LW3VG</v>
      </c>
      <c r="M723" s="34" t="s">
        <v>40</v>
      </c>
      <c r="N723" s="23" t="s">
        <v>54</v>
      </c>
      <c r="O723" s="23"/>
      <c r="P723" s="35" t="s">
        <v>46</v>
      </c>
      <c r="Q723" s="535" t="s">
        <v>7076</v>
      </c>
      <c r="R723" s="15" t="s">
        <v>56</v>
      </c>
      <c r="S723" s="37" t="s">
        <v>57</v>
      </c>
      <c r="T723" s="118" t="s">
        <v>65</v>
      </c>
      <c r="U723" s="23" t="s">
        <v>2118</v>
      </c>
      <c r="V723" s="44">
        <v>46108</v>
      </c>
      <c r="W723" s="23" t="s">
        <v>63</v>
      </c>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c r="BO723" s="30"/>
      <c r="BP723" s="30"/>
      <c r="BQ723" s="30"/>
      <c r="BR723" s="30"/>
      <c r="BS723" s="30"/>
      <c r="BT723" s="30"/>
      <c r="BU723" s="30"/>
      <c r="BV723" s="30"/>
      <c r="BW723" s="30"/>
      <c r="BX723" s="30"/>
      <c r="BY723" s="30"/>
      <c r="BZ723" s="30"/>
      <c r="CA723" s="30"/>
      <c r="CB723" s="30"/>
      <c r="CC723" s="30"/>
      <c r="CD723" s="30"/>
      <c r="CE723" s="30"/>
      <c r="CF723" s="30"/>
      <c r="CG723" s="30"/>
      <c r="CH723" s="30"/>
      <c r="CI723" s="30"/>
      <c r="CJ723" s="30"/>
      <c r="CK723" s="30"/>
      <c r="CL723" s="30"/>
      <c r="CM723" s="30"/>
      <c r="CN723" s="30"/>
      <c r="CO723" s="30"/>
      <c r="CP723" s="30"/>
      <c r="CQ723" s="30"/>
      <c r="CR723" s="30"/>
      <c r="CS723" s="30"/>
      <c r="CT723" s="30"/>
      <c r="CU723" s="30"/>
      <c r="CV723" s="30"/>
      <c r="CW723" s="30"/>
      <c r="CX723" s="30"/>
      <c r="CY723" s="30"/>
      <c r="CZ723" s="30"/>
      <c r="DA723" s="30"/>
      <c r="DB723" s="30"/>
      <c r="DC723" s="30"/>
      <c r="DD723" s="30"/>
      <c r="DE723" s="30"/>
      <c r="DF723" s="30"/>
      <c r="DG723" s="30"/>
      <c r="DH723" s="30"/>
      <c r="DI723" s="30"/>
      <c r="DJ723" s="30"/>
      <c r="DK723" s="30"/>
      <c r="DL723" s="30"/>
      <c r="DM723" s="30"/>
      <c r="DN723" s="30"/>
      <c r="DO723" s="30"/>
      <c r="DP723" s="30"/>
      <c r="DQ723" s="30"/>
      <c r="DR723" s="30"/>
      <c r="DS723" s="30"/>
      <c r="DT723" s="30"/>
      <c r="DU723" s="30"/>
      <c r="DV723" s="30"/>
      <c r="DW723" s="30"/>
      <c r="DX723" s="30"/>
      <c r="DY723" s="30"/>
      <c r="DZ723" s="30"/>
      <c r="EA723" s="30"/>
      <c r="EB723" s="30"/>
      <c r="EC723" s="30"/>
      <c r="ED723" s="30"/>
      <c r="EE723" s="30"/>
    </row>
    <row r="724" spans="1:135" ht="30" customHeight="1" x14ac:dyDescent="0.25">
      <c r="A724" s="578" t="s">
        <v>3388</v>
      </c>
      <c r="B724" s="8">
        <v>3680</v>
      </c>
      <c r="C724" s="72" t="s">
        <v>3385</v>
      </c>
      <c r="D724" s="15" t="s">
        <v>24</v>
      </c>
      <c r="E724" s="11" t="s">
        <v>25</v>
      </c>
      <c r="F724" s="20" t="s">
        <v>3386</v>
      </c>
      <c r="G724" s="15" t="s">
        <v>3387</v>
      </c>
      <c r="H724" s="291" t="s">
        <v>3087</v>
      </c>
      <c r="I724" s="18" t="s">
        <v>135</v>
      </c>
      <c r="J724" s="18" t="s">
        <v>32</v>
      </c>
      <c r="K724" s="33" t="s">
        <v>3389</v>
      </c>
      <c r="L724" s="25" t="str">
        <f>"RUTL-"&amp;RIGHT(K724,8)</f>
        <v>RUTL-PW0LW3RS</v>
      </c>
      <c r="M724" s="34" t="s">
        <v>40</v>
      </c>
      <c r="N724" s="23" t="s">
        <v>54</v>
      </c>
      <c r="O724" s="23"/>
      <c r="P724" s="35" t="s">
        <v>46</v>
      </c>
      <c r="Q724" s="36" t="s">
        <v>3390</v>
      </c>
      <c r="R724" s="15" t="s">
        <v>56</v>
      </c>
      <c r="S724" s="37" t="s">
        <v>57</v>
      </c>
      <c r="T724" s="101" t="s">
        <v>96</v>
      </c>
      <c r="U724" s="39" t="s">
        <v>3391</v>
      </c>
      <c r="V724" s="44">
        <v>46108</v>
      </c>
      <c r="W724" s="23" t="s">
        <v>63</v>
      </c>
      <c r="X724" s="30"/>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row>
    <row r="725" spans="1:135" ht="30" customHeight="1" thickBot="1" x14ac:dyDescent="0.3">
      <c r="A725" s="578" t="s">
        <v>6002</v>
      </c>
      <c r="B725" s="437">
        <v>14865</v>
      </c>
      <c r="C725" s="72" t="s">
        <v>6000</v>
      </c>
      <c r="D725" s="10" t="s">
        <v>24</v>
      </c>
      <c r="E725" s="11" t="s">
        <v>25</v>
      </c>
      <c r="F725" s="20" t="s">
        <v>6001</v>
      </c>
      <c r="G725" s="59" t="s">
        <v>904</v>
      </c>
      <c r="H725" s="22" t="s">
        <v>2658</v>
      </c>
      <c r="I725" s="18" t="s">
        <v>135</v>
      </c>
      <c r="J725" s="24" t="s">
        <v>32</v>
      </c>
      <c r="K725" s="23" t="s">
        <v>6003</v>
      </c>
      <c r="L725" s="25" t="str">
        <f>"RUTL-"&amp;RIGHT(K725,8)</f>
        <v>RUTL-PW0LW3GF</v>
      </c>
      <c r="M725" s="34" t="s">
        <v>40</v>
      </c>
      <c r="N725" s="23" t="s">
        <v>54</v>
      </c>
      <c r="O725" s="32"/>
      <c r="P725" s="35" t="s">
        <v>46</v>
      </c>
      <c r="Q725" s="36" t="s">
        <v>6004</v>
      </c>
      <c r="R725" s="15" t="s">
        <v>56</v>
      </c>
      <c r="S725" s="40" t="s">
        <v>57</v>
      </c>
      <c r="T725" s="107" t="s">
        <v>453</v>
      </c>
      <c r="U725" s="39" t="s">
        <v>911</v>
      </c>
      <c r="V725" s="570">
        <v>46108</v>
      </c>
      <c r="W725" s="23" t="s">
        <v>63</v>
      </c>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c r="BO725" s="30"/>
      <c r="BP725" s="30"/>
      <c r="BQ725" s="30"/>
      <c r="BR725" s="30"/>
      <c r="BS725" s="30"/>
      <c r="BT725" s="30"/>
      <c r="BU725" s="30"/>
      <c r="BV725" s="30"/>
      <c r="BW725" s="30"/>
      <c r="BX725" s="30"/>
      <c r="BY725" s="30"/>
      <c r="BZ725" s="30"/>
      <c r="CA725" s="30"/>
      <c r="CB725" s="30"/>
      <c r="CC725" s="30"/>
      <c r="CD725" s="30"/>
      <c r="CE725" s="30"/>
      <c r="CF725" s="30"/>
      <c r="CG725" s="30"/>
      <c r="CH725" s="30"/>
      <c r="CI725" s="30"/>
      <c r="CJ725" s="30"/>
      <c r="CK725" s="30"/>
      <c r="CL725" s="30"/>
      <c r="CM725" s="30"/>
      <c r="CN725" s="30"/>
      <c r="CO725" s="30"/>
      <c r="CP725" s="30"/>
      <c r="CQ725" s="30"/>
      <c r="CR725" s="30"/>
      <c r="CS725" s="30"/>
      <c r="CT725" s="30"/>
      <c r="CU725" s="30"/>
      <c r="CV725" s="30"/>
      <c r="CW725" s="30"/>
      <c r="CX725" s="30"/>
      <c r="CY725" s="30"/>
      <c r="CZ725" s="30"/>
      <c r="DA725" s="30"/>
      <c r="DB725" s="30"/>
      <c r="DC725" s="30"/>
      <c r="DD725" s="30"/>
      <c r="DE725" s="30"/>
      <c r="DF725" s="30"/>
      <c r="DG725" s="30"/>
      <c r="DH725" s="30"/>
      <c r="DI725" s="30"/>
      <c r="DJ725" s="30"/>
      <c r="DK725" s="30"/>
      <c r="DL725" s="30"/>
      <c r="DM725" s="30"/>
      <c r="DN725" s="30"/>
      <c r="DO725" s="30"/>
      <c r="DP725" s="30"/>
      <c r="DQ725" s="30"/>
      <c r="DR725" s="30"/>
      <c r="DS725" s="30"/>
      <c r="DT725" s="30"/>
      <c r="DU725" s="30"/>
      <c r="DV725" s="30"/>
      <c r="DW725" s="30"/>
      <c r="DX725" s="30"/>
      <c r="DY725" s="30"/>
      <c r="DZ725" s="30"/>
      <c r="EA725" s="30"/>
      <c r="EB725" s="30"/>
      <c r="EC725" s="30"/>
      <c r="ED725" s="30"/>
      <c r="EE725" s="30"/>
    </row>
    <row r="726" spans="1:135" ht="30" customHeight="1" thickBot="1" x14ac:dyDescent="0.3">
      <c r="A726" s="578" t="s">
        <v>905</v>
      </c>
      <c r="B726" s="343" t="s">
        <v>897</v>
      </c>
      <c r="C726" s="167" t="s">
        <v>900</v>
      </c>
      <c r="D726" s="10" t="s">
        <v>24</v>
      </c>
      <c r="E726" s="11" t="s">
        <v>25</v>
      </c>
      <c r="F726" s="20" t="s">
        <v>903</v>
      </c>
      <c r="G726" s="15" t="s">
        <v>904</v>
      </c>
      <c r="H726" s="102" t="s">
        <v>97</v>
      </c>
      <c r="I726" s="18" t="s">
        <v>135</v>
      </c>
      <c r="J726" s="24" t="s">
        <v>32</v>
      </c>
      <c r="K726" s="23" t="s">
        <v>907</v>
      </c>
      <c r="L726" s="21" t="str">
        <f>"RUTL-"&amp;RIGHT(K726,8)</f>
        <v>RUTL-PW0LW3TM</v>
      </c>
      <c r="M726" s="34" t="s">
        <v>40</v>
      </c>
      <c r="N726" s="23" t="s">
        <v>54</v>
      </c>
      <c r="O726" s="32"/>
      <c r="P726" s="35" t="s">
        <v>46</v>
      </c>
      <c r="Q726" s="36" t="s">
        <v>910</v>
      </c>
      <c r="R726" s="15" t="s">
        <v>56</v>
      </c>
      <c r="S726" s="40" t="s">
        <v>57</v>
      </c>
      <c r="T726" s="107" t="s">
        <v>453</v>
      </c>
      <c r="U726" s="39" t="s">
        <v>911</v>
      </c>
      <c r="V726" s="44">
        <v>46108</v>
      </c>
      <c r="W726" s="23" t="s">
        <v>63</v>
      </c>
      <c r="X726" s="154"/>
    </row>
    <row r="727" spans="1:135" ht="30" customHeight="1" thickBot="1" x14ac:dyDescent="0.3">
      <c r="A727" s="578" t="s">
        <v>6130</v>
      </c>
      <c r="B727" s="8">
        <v>15226</v>
      </c>
      <c r="C727" s="72" t="s">
        <v>6129</v>
      </c>
      <c r="D727" s="10" t="s">
        <v>24</v>
      </c>
      <c r="E727" s="11" t="s">
        <v>25</v>
      </c>
      <c r="F727" s="20"/>
      <c r="G727" s="59" t="s">
        <v>904</v>
      </c>
      <c r="H727" s="22" t="s">
        <v>1221</v>
      </c>
      <c r="I727" s="142" t="s">
        <v>135</v>
      </c>
      <c r="J727" s="18" t="s">
        <v>32</v>
      </c>
      <c r="K727" s="23" t="s">
        <v>6131</v>
      </c>
      <c r="L727" s="25" t="str">
        <f>"RUTL-"&amp;RIGHT(K727,8)</f>
        <v>RUTL-PW0LW3PJ</v>
      </c>
      <c r="M727" s="34" t="s">
        <v>40</v>
      </c>
      <c r="N727" s="23" t="s">
        <v>54</v>
      </c>
      <c r="O727" s="493"/>
      <c r="P727" s="35" t="s">
        <v>46</v>
      </c>
      <c r="Q727" s="35" t="s">
        <v>6132</v>
      </c>
      <c r="R727" s="15" t="s">
        <v>235</v>
      </c>
      <c r="S727" s="40" t="s">
        <v>57</v>
      </c>
      <c r="T727" s="107" t="s">
        <v>453</v>
      </c>
      <c r="U727" s="39" t="s">
        <v>911</v>
      </c>
      <c r="V727" s="338">
        <v>46108</v>
      </c>
      <c r="W727" s="23" t="s">
        <v>63</v>
      </c>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c r="BO727" s="30"/>
      <c r="BP727" s="30"/>
      <c r="BQ727" s="30"/>
      <c r="BR727" s="30"/>
      <c r="BS727" s="30"/>
      <c r="BT727" s="30"/>
      <c r="BU727" s="30"/>
      <c r="BV727" s="30"/>
      <c r="BW727" s="30"/>
      <c r="BX727" s="30"/>
      <c r="BY727" s="30"/>
      <c r="BZ727" s="30"/>
      <c r="CA727" s="30"/>
      <c r="CB727" s="30"/>
      <c r="CC727" s="30"/>
      <c r="CD727" s="30"/>
      <c r="CE727" s="30"/>
      <c r="CF727" s="30"/>
      <c r="CG727" s="30"/>
      <c r="CH727" s="30"/>
      <c r="CI727" s="30"/>
      <c r="CJ727" s="30"/>
      <c r="CK727" s="30"/>
      <c r="CL727" s="30"/>
      <c r="CM727" s="30"/>
      <c r="CN727" s="30"/>
      <c r="CO727" s="30"/>
      <c r="CP727" s="30"/>
      <c r="CQ727" s="30"/>
      <c r="CR727" s="30"/>
      <c r="CS727" s="30"/>
      <c r="CT727" s="30"/>
      <c r="CU727" s="30"/>
      <c r="CV727" s="30"/>
      <c r="CW727" s="30"/>
      <c r="CX727" s="30"/>
      <c r="CY727" s="30"/>
      <c r="CZ727" s="30"/>
      <c r="DA727" s="30"/>
      <c r="DB727" s="30"/>
      <c r="DC727" s="30"/>
      <c r="DD727" s="30"/>
      <c r="DE727" s="30"/>
      <c r="DF727" s="30"/>
      <c r="DG727" s="30"/>
      <c r="DH727" s="30"/>
      <c r="DI727" s="30"/>
      <c r="DJ727" s="30"/>
      <c r="DK727" s="30"/>
      <c r="DL727" s="30"/>
      <c r="DM727" s="30"/>
      <c r="DN727" s="30"/>
      <c r="DO727" s="30"/>
      <c r="DP727" s="30"/>
      <c r="DQ727" s="30"/>
      <c r="DR727" s="30"/>
      <c r="DS727" s="30"/>
      <c r="DT727" s="30"/>
      <c r="DU727" s="30"/>
      <c r="DV727" s="30"/>
      <c r="DW727" s="30"/>
      <c r="DX727" s="30"/>
      <c r="DY727" s="30"/>
      <c r="DZ727" s="30"/>
      <c r="EA727" s="30"/>
      <c r="EB727" s="30"/>
      <c r="EC727" s="30"/>
      <c r="ED727" s="30"/>
      <c r="EE727" s="30"/>
    </row>
    <row r="728" spans="1:135" ht="30" customHeight="1" thickBot="1" x14ac:dyDescent="0.3">
      <c r="A728" s="578" t="s">
        <v>116</v>
      </c>
      <c r="B728" s="75" t="s">
        <v>110</v>
      </c>
      <c r="C728" s="69" t="s">
        <v>112</v>
      </c>
      <c r="D728" s="15" t="s">
        <v>24</v>
      </c>
      <c r="E728" s="11" t="s">
        <v>25</v>
      </c>
      <c r="F728" s="20" t="s">
        <v>113</v>
      </c>
      <c r="G728" s="59" t="s">
        <v>114</v>
      </c>
      <c r="H728" s="31" t="s">
        <v>115</v>
      </c>
      <c r="I728" s="142" t="s">
        <v>38</v>
      </c>
      <c r="J728" s="24" t="s">
        <v>32</v>
      </c>
      <c r="K728" s="23" t="s">
        <v>118</v>
      </c>
      <c r="L728" s="21" t="s">
        <v>119</v>
      </c>
      <c r="M728" s="34" t="s">
        <v>40</v>
      </c>
      <c r="N728" s="32" t="s">
        <v>54</v>
      </c>
      <c r="O728" s="32"/>
      <c r="P728" s="35" t="s">
        <v>46</v>
      </c>
      <c r="Q728" s="392" t="s">
        <v>120</v>
      </c>
      <c r="R728" s="15" t="s">
        <v>56</v>
      </c>
      <c r="S728" s="40" t="s">
        <v>57</v>
      </c>
      <c r="T728" s="35" t="s">
        <v>124</v>
      </c>
      <c r="U728" s="83" t="s">
        <v>126</v>
      </c>
      <c r="V728" s="338">
        <v>46108</v>
      </c>
      <c r="W728" s="23" t="s">
        <v>63</v>
      </c>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c r="BO728" s="30"/>
      <c r="BP728" s="30"/>
      <c r="BQ728" s="30"/>
      <c r="BR728" s="30"/>
      <c r="BS728" s="30"/>
      <c r="BT728" s="30"/>
      <c r="BU728" s="30"/>
      <c r="BV728" s="30"/>
      <c r="BW728" s="30"/>
      <c r="BX728" s="30"/>
      <c r="BY728" s="30"/>
      <c r="BZ728" s="30"/>
      <c r="CA728" s="30"/>
      <c r="CB728" s="30"/>
      <c r="CC728" s="30"/>
      <c r="CD728" s="30"/>
      <c r="CE728" s="30"/>
      <c r="CF728" s="30"/>
      <c r="CG728" s="30"/>
      <c r="CH728" s="30"/>
      <c r="CI728" s="30"/>
      <c r="CJ728" s="30"/>
      <c r="CK728" s="30"/>
      <c r="CL728" s="30"/>
      <c r="CM728" s="30"/>
      <c r="CN728" s="30"/>
      <c r="CO728" s="30"/>
      <c r="CP728" s="30"/>
      <c r="CQ728" s="30"/>
      <c r="CR728" s="30"/>
      <c r="CS728" s="30"/>
      <c r="CT728" s="30"/>
      <c r="CU728" s="30"/>
      <c r="CV728" s="30"/>
      <c r="CW728" s="30"/>
      <c r="CX728" s="30"/>
      <c r="CY728" s="30"/>
      <c r="CZ728" s="30"/>
      <c r="DA728" s="30"/>
      <c r="DB728" s="30"/>
      <c r="DC728" s="30"/>
      <c r="DD728" s="30"/>
      <c r="DE728" s="30"/>
      <c r="DF728" s="30"/>
      <c r="DG728" s="30"/>
      <c r="DH728" s="30"/>
      <c r="DI728" s="30"/>
      <c r="DJ728" s="30"/>
      <c r="DK728" s="30"/>
      <c r="DL728" s="30"/>
      <c r="DM728" s="30"/>
      <c r="DN728" s="30"/>
      <c r="DO728" s="30"/>
      <c r="DP728" s="30"/>
      <c r="DQ728" s="30"/>
      <c r="DR728" s="30"/>
      <c r="DS728" s="30"/>
      <c r="DT728" s="30"/>
      <c r="DU728" s="30"/>
      <c r="DV728" s="30"/>
      <c r="DW728" s="30"/>
      <c r="DX728" s="30"/>
      <c r="DY728" s="30"/>
      <c r="DZ728" s="30"/>
      <c r="EA728" s="30"/>
      <c r="EB728" s="30"/>
      <c r="EC728" s="30"/>
      <c r="ED728" s="30"/>
      <c r="EE728" s="30"/>
    </row>
    <row r="729" spans="1:135" ht="30" customHeight="1" thickBot="1" x14ac:dyDescent="0.3">
      <c r="A729" s="578" t="s">
        <v>6688</v>
      </c>
      <c r="B729" s="436">
        <v>16476</v>
      </c>
      <c r="C729" s="231" t="s">
        <v>6686</v>
      </c>
      <c r="D729" s="10" t="s">
        <v>24</v>
      </c>
      <c r="E729" s="28" t="s">
        <v>25</v>
      </c>
      <c r="F729" s="12" t="s">
        <v>6687</v>
      </c>
      <c r="G729" s="59" t="s">
        <v>889</v>
      </c>
      <c r="H729" s="17" t="s">
        <v>682</v>
      </c>
      <c r="I729" s="296" t="s">
        <v>135</v>
      </c>
      <c r="J729" s="24" t="s">
        <v>32</v>
      </c>
      <c r="K729" s="33" t="s">
        <v>6689</v>
      </c>
      <c r="L729" s="25" t="str">
        <f>"RUTL-"&amp;RIGHT(K729,8)</f>
        <v>RUTL-PW0LW3Q9</v>
      </c>
      <c r="M729" s="34" t="s">
        <v>40</v>
      </c>
      <c r="N729" s="23" t="s">
        <v>54</v>
      </c>
      <c r="O729" s="94"/>
      <c r="P729" s="45" t="s">
        <v>46</v>
      </c>
      <c r="Q729" s="35" t="s">
        <v>6690</v>
      </c>
      <c r="R729" s="15" t="s">
        <v>56</v>
      </c>
      <c r="S729" s="40" t="s">
        <v>57</v>
      </c>
      <c r="T729" s="118" t="s">
        <v>65</v>
      </c>
      <c r="U729" s="23" t="s">
        <v>6691</v>
      </c>
      <c r="V729" s="338">
        <v>46108</v>
      </c>
      <c r="W729" s="23" t="s">
        <v>63</v>
      </c>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c r="BO729" s="30"/>
      <c r="BP729" s="30"/>
      <c r="BQ729" s="30"/>
      <c r="BR729" s="30"/>
      <c r="BS729" s="30"/>
      <c r="BT729" s="30"/>
      <c r="BU729" s="30"/>
      <c r="BV729" s="30"/>
      <c r="BW729" s="30"/>
      <c r="BX729" s="30"/>
      <c r="BY729" s="30"/>
      <c r="BZ729" s="30"/>
      <c r="CA729" s="30"/>
      <c r="CB729" s="30"/>
      <c r="CC729" s="30"/>
      <c r="CD729" s="30"/>
      <c r="CE729" s="30"/>
      <c r="CF729" s="30"/>
      <c r="CG729" s="30"/>
      <c r="CH729" s="30"/>
      <c r="CI729" s="30"/>
      <c r="CJ729" s="30"/>
      <c r="CK729" s="30"/>
      <c r="CL729" s="30"/>
      <c r="CM729" s="30"/>
      <c r="CN729" s="30"/>
      <c r="CO729" s="30"/>
      <c r="CP729" s="30"/>
      <c r="CQ729" s="30"/>
      <c r="CR729" s="30"/>
      <c r="CS729" s="30"/>
      <c r="CT729" s="30"/>
      <c r="CU729" s="30"/>
      <c r="CV729" s="30"/>
      <c r="CW729" s="30"/>
      <c r="CX729" s="30"/>
      <c r="CY729" s="30"/>
      <c r="CZ729" s="30"/>
      <c r="DA729" s="30"/>
      <c r="DB729" s="30"/>
      <c r="DC729" s="30"/>
      <c r="DD729" s="30"/>
      <c r="DE729" s="30"/>
      <c r="DF729" s="30"/>
      <c r="DG729" s="30"/>
      <c r="DH729" s="30"/>
      <c r="DI729" s="30"/>
      <c r="DJ729" s="30"/>
      <c r="DK729" s="30"/>
      <c r="DL729" s="30"/>
      <c r="DM729" s="30"/>
      <c r="DN729" s="30"/>
      <c r="DO729" s="30"/>
      <c r="DP729" s="30"/>
      <c r="DQ729" s="30"/>
      <c r="DR729" s="30"/>
      <c r="DS729" s="30"/>
      <c r="DT729" s="30"/>
      <c r="DU729" s="30"/>
      <c r="DV729" s="30"/>
      <c r="DW729" s="30"/>
      <c r="DX729" s="30"/>
      <c r="DY729" s="30"/>
      <c r="DZ729" s="30"/>
      <c r="EA729" s="30"/>
      <c r="EB729" s="30"/>
      <c r="EC729" s="30"/>
      <c r="ED729" s="30"/>
      <c r="EE729" s="30"/>
    </row>
    <row r="730" spans="1:135" ht="30" customHeight="1" thickBot="1" x14ac:dyDescent="0.3">
      <c r="A730" s="578" t="s">
        <v>3561</v>
      </c>
      <c r="B730" s="8">
        <v>4379</v>
      </c>
      <c r="C730" s="50" t="s">
        <v>3559</v>
      </c>
      <c r="D730" s="15" t="s">
        <v>24</v>
      </c>
      <c r="E730" s="11" t="s">
        <v>25</v>
      </c>
      <c r="F730" s="20" t="s">
        <v>3560</v>
      </c>
      <c r="G730" s="15" t="s">
        <v>606</v>
      </c>
      <c r="H730" s="22" t="s">
        <v>1547</v>
      </c>
      <c r="I730" s="18" t="s">
        <v>135</v>
      </c>
      <c r="J730" s="18" t="s">
        <v>32</v>
      </c>
      <c r="K730" s="33" t="s">
        <v>3562</v>
      </c>
      <c r="L730" s="25" t="str">
        <f>"RUTL-"&amp;RIGHT(K730,8)</f>
        <v>RUTL-PW0LW3QP</v>
      </c>
      <c r="M730" s="32"/>
      <c r="N730" s="23" t="s">
        <v>43</v>
      </c>
      <c r="O730" s="32"/>
      <c r="P730" s="35" t="s">
        <v>46</v>
      </c>
      <c r="Q730" s="36" t="s">
        <v>3563</v>
      </c>
      <c r="R730" s="15" t="s">
        <v>56</v>
      </c>
      <c r="S730" s="40" t="s">
        <v>57</v>
      </c>
      <c r="T730" s="274" t="s">
        <v>58</v>
      </c>
      <c r="U730" s="39" t="s">
        <v>1599</v>
      </c>
      <c r="V730" s="44">
        <v>46108</v>
      </c>
      <c r="W730" s="23" t="s">
        <v>63</v>
      </c>
      <c r="X730" s="71"/>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c r="DG730" s="5"/>
      <c r="DH730" s="5"/>
      <c r="DI730" s="5"/>
      <c r="DJ730" s="5"/>
      <c r="DK730" s="5"/>
      <c r="DL730" s="5"/>
      <c r="DM730" s="5"/>
      <c r="DN730" s="5"/>
      <c r="DO730" s="5"/>
      <c r="DP730" s="5"/>
      <c r="DQ730" s="5"/>
      <c r="DR730" s="5"/>
      <c r="DS730" s="5"/>
      <c r="DT730" s="5"/>
      <c r="DU730" s="5"/>
      <c r="DV730" s="5"/>
      <c r="DW730" s="5"/>
      <c r="DX730" s="5"/>
      <c r="DY730" s="5"/>
      <c r="DZ730" s="5"/>
      <c r="EA730" s="5"/>
      <c r="EB730" s="5"/>
      <c r="EC730" s="5"/>
      <c r="ED730" s="5"/>
      <c r="EE730" s="5"/>
    </row>
    <row r="731" spans="1:135" ht="30" customHeight="1" thickBot="1" x14ac:dyDescent="0.3">
      <c r="A731" s="578" t="s">
        <v>2647</v>
      </c>
      <c r="B731" s="8">
        <v>1573</v>
      </c>
      <c r="C731" s="50" t="s">
        <v>2645</v>
      </c>
      <c r="D731" s="10" t="s">
        <v>24</v>
      </c>
      <c r="E731" s="11" t="s">
        <v>25</v>
      </c>
      <c r="F731" s="20"/>
      <c r="G731" s="15" t="s">
        <v>1546</v>
      </c>
      <c r="H731" s="22" t="s">
        <v>2646</v>
      </c>
      <c r="I731" s="142" t="s">
        <v>117</v>
      </c>
      <c r="J731" s="24" t="s">
        <v>32</v>
      </c>
      <c r="K731" s="33" t="s">
        <v>2648</v>
      </c>
      <c r="L731" s="25" t="str">
        <f>"RUTL-"&amp;RIGHT(K731,8)</f>
        <v>RUTL-PW0LW3SE</v>
      </c>
      <c r="M731" s="34" t="s">
        <v>40</v>
      </c>
      <c r="N731" s="23" t="s">
        <v>54</v>
      </c>
      <c r="O731" s="32"/>
      <c r="P731" s="35" t="s">
        <v>46</v>
      </c>
      <c r="Q731" s="36" t="s">
        <v>2649</v>
      </c>
      <c r="R731" s="15" t="s">
        <v>56</v>
      </c>
      <c r="S731" s="40" t="s">
        <v>57</v>
      </c>
      <c r="T731" s="105" t="s">
        <v>148</v>
      </c>
      <c r="U731" s="39" t="s">
        <v>911</v>
      </c>
      <c r="V731" s="338">
        <v>46108</v>
      </c>
      <c r="W731" s="23" t="s">
        <v>63</v>
      </c>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c r="BO731" s="30"/>
      <c r="BP731" s="30"/>
      <c r="BQ731" s="30"/>
      <c r="BR731" s="30"/>
      <c r="BS731" s="30"/>
      <c r="BT731" s="30"/>
      <c r="BU731" s="30"/>
      <c r="BV731" s="30"/>
      <c r="BW731" s="30"/>
      <c r="BX731" s="30"/>
      <c r="BY731" s="30"/>
      <c r="BZ731" s="30"/>
      <c r="CA731" s="30"/>
      <c r="CB731" s="30"/>
      <c r="CC731" s="30"/>
      <c r="CD731" s="30"/>
      <c r="CE731" s="30"/>
      <c r="CF731" s="30"/>
      <c r="CG731" s="30"/>
      <c r="CH731" s="30"/>
      <c r="CI731" s="30"/>
      <c r="CJ731" s="30"/>
      <c r="CK731" s="30"/>
      <c r="CL731" s="30"/>
      <c r="CM731" s="30"/>
      <c r="CN731" s="30"/>
      <c r="CO731" s="30"/>
      <c r="CP731" s="30"/>
      <c r="CQ731" s="30"/>
      <c r="CR731" s="30"/>
      <c r="CS731" s="30"/>
      <c r="CT731" s="30"/>
      <c r="CU731" s="30"/>
      <c r="CV731" s="30"/>
      <c r="CW731" s="30"/>
      <c r="CX731" s="30"/>
      <c r="CY731" s="30"/>
      <c r="CZ731" s="30"/>
      <c r="DA731" s="30"/>
      <c r="DB731" s="30"/>
      <c r="DC731" s="30"/>
      <c r="DD731" s="30"/>
      <c r="DE731" s="30"/>
      <c r="DF731" s="30"/>
      <c r="DG731" s="30"/>
      <c r="DH731" s="30"/>
      <c r="DI731" s="30"/>
      <c r="DJ731" s="30"/>
      <c r="DK731" s="30"/>
      <c r="DL731" s="30"/>
      <c r="DM731" s="30"/>
      <c r="DN731" s="30"/>
      <c r="DO731" s="30"/>
      <c r="DP731" s="30"/>
      <c r="DQ731" s="30"/>
      <c r="DR731" s="30"/>
      <c r="DS731" s="30"/>
      <c r="DT731" s="30"/>
      <c r="DU731" s="30"/>
      <c r="DV731" s="30"/>
      <c r="DW731" s="30"/>
      <c r="DX731" s="30"/>
      <c r="DY731" s="30"/>
      <c r="DZ731" s="30"/>
      <c r="EA731" s="30"/>
      <c r="EB731" s="30"/>
      <c r="EC731" s="30"/>
      <c r="ED731" s="30"/>
      <c r="EE731" s="30"/>
    </row>
    <row r="732" spans="1:135" ht="30" customHeight="1" thickBot="1" x14ac:dyDescent="0.3">
      <c r="A732" s="578" t="s">
        <v>4438</v>
      </c>
      <c r="B732" s="16">
        <v>8444</v>
      </c>
      <c r="C732" s="231" t="s">
        <v>4436</v>
      </c>
      <c r="D732" s="10" t="s">
        <v>24</v>
      </c>
      <c r="E732" s="11" t="s">
        <v>25</v>
      </c>
      <c r="F732" s="20" t="s">
        <v>4437</v>
      </c>
      <c r="G732" s="59" t="s">
        <v>285</v>
      </c>
      <c r="H732" s="22" t="s">
        <v>3752</v>
      </c>
      <c r="I732" s="142" t="s">
        <v>117</v>
      </c>
      <c r="J732" s="24" t="s">
        <v>32</v>
      </c>
      <c r="K732" s="33" t="s">
        <v>4439</v>
      </c>
      <c r="L732" s="25" t="str">
        <f>"RUTL-"&amp;RIGHT(K732,8)</f>
        <v>RUTL-PW0KMMAT</v>
      </c>
      <c r="M732" s="34" t="s">
        <v>40</v>
      </c>
      <c r="N732" s="23" t="s">
        <v>54</v>
      </c>
      <c r="O732" s="32"/>
      <c r="P732" s="35" t="s">
        <v>46</v>
      </c>
      <c r="Q732" s="36" t="s">
        <v>4440</v>
      </c>
      <c r="R732" s="15" t="s">
        <v>56</v>
      </c>
      <c r="S732" s="40" t="s">
        <v>57</v>
      </c>
      <c r="T732" s="35" t="s">
        <v>65</v>
      </c>
      <c r="U732" s="39" t="s">
        <v>3391</v>
      </c>
      <c r="V732" s="338">
        <v>46108</v>
      </c>
      <c r="W732" s="23" t="s">
        <v>63</v>
      </c>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c r="BO732" s="30"/>
      <c r="BP732" s="30"/>
      <c r="BQ732" s="30"/>
      <c r="BR732" s="30"/>
      <c r="BS732" s="30"/>
      <c r="BT732" s="30"/>
      <c r="BU732" s="30"/>
      <c r="BV732" s="30"/>
      <c r="BW732" s="30"/>
      <c r="BX732" s="30"/>
      <c r="BY732" s="30"/>
      <c r="BZ732" s="30"/>
      <c r="CA732" s="30"/>
      <c r="CB732" s="30"/>
      <c r="CC732" s="30"/>
      <c r="CD732" s="30"/>
      <c r="CE732" s="30"/>
      <c r="CF732" s="30"/>
      <c r="CG732" s="30"/>
      <c r="CH732" s="30"/>
      <c r="CI732" s="30"/>
      <c r="CJ732" s="30"/>
      <c r="CK732" s="30"/>
      <c r="CL732" s="30"/>
      <c r="CM732" s="30"/>
      <c r="CN732" s="30"/>
      <c r="CO732" s="30"/>
      <c r="CP732" s="30"/>
      <c r="CQ732" s="30"/>
      <c r="CR732" s="30"/>
      <c r="CS732" s="30"/>
      <c r="CT732" s="30"/>
      <c r="CU732" s="30"/>
      <c r="CV732" s="30"/>
      <c r="CW732" s="30"/>
      <c r="CX732" s="30"/>
      <c r="CY732" s="30"/>
      <c r="CZ732" s="30"/>
      <c r="DA732" s="30"/>
      <c r="DB732" s="30"/>
      <c r="DC732" s="30"/>
      <c r="DD732" s="30"/>
      <c r="DE732" s="30"/>
      <c r="DF732" s="30"/>
      <c r="DG732" s="30"/>
      <c r="DH732" s="30"/>
      <c r="DI732" s="30"/>
      <c r="DJ732" s="30"/>
      <c r="DK732" s="30"/>
      <c r="DL732" s="30"/>
      <c r="DM732" s="30"/>
      <c r="DN732" s="30"/>
      <c r="DO732" s="30"/>
      <c r="DP732" s="30"/>
      <c r="DQ732" s="30"/>
      <c r="DR732" s="30"/>
      <c r="DS732" s="30"/>
      <c r="DT732" s="30"/>
      <c r="DU732" s="30"/>
      <c r="DV732" s="30"/>
      <c r="DW732" s="30"/>
      <c r="DX732" s="30"/>
      <c r="DY732" s="30"/>
      <c r="DZ732" s="30"/>
      <c r="EA732" s="30"/>
      <c r="EB732" s="30"/>
      <c r="EC732" s="30"/>
      <c r="ED732" s="30"/>
      <c r="EE732" s="30"/>
    </row>
    <row r="733" spans="1:135" ht="30" customHeight="1" thickBot="1" x14ac:dyDescent="0.3">
      <c r="A733" s="578" t="s">
        <v>4016</v>
      </c>
      <c r="B733" s="8">
        <v>6837</v>
      </c>
      <c r="C733" s="231" t="s">
        <v>4013</v>
      </c>
      <c r="D733" s="15" t="s">
        <v>24</v>
      </c>
      <c r="E733" s="11" t="s">
        <v>25</v>
      </c>
      <c r="F733" s="20" t="s">
        <v>4014</v>
      </c>
      <c r="G733" s="59" t="s">
        <v>2390</v>
      </c>
      <c r="H733" s="22" t="s">
        <v>4015</v>
      </c>
      <c r="I733" s="142" t="s">
        <v>135</v>
      </c>
      <c r="J733" s="24" t="s">
        <v>32</v>
      </c>
      <c r="K733" s="503" t="s">
        <v>4017</v>
      </c>
      <c r="L733" s="25" t="str">
        <f>"RUTL-"&amp;RIGHT(K733,8)</f>
        <v>RUTL-PW0LW3V6</v>
      </c>
      <c r="M733" s="34" t="s">
        <v>40</v>
      </c>
      <c r="N733" s="23" t="s">
        <v>54</v>
      </c>
      <c r="O733" s="32"/>
      <c r="P733" s="35" t="s">
        <v>46</v>
      </c>
      <c r="Q733" s="36" t="s">
        <v>4018</v>
      </c>
      <c r="R733" s="15" t="s">
        <v>56</v>
      </c>
      <c r="S733" s="40" t="s">
        <v>57</v>
      </c>
      <c r="T733" s="105" t="s">
        <v>148</v>
      </c>
      <c r="U733" s="39" t="s">
        <v>911</v>
      </c>
      <c r="V733" s="338">
        <v>46108</v>
      </c>
      <c r="W733" s="23" t="s">
        <v>63</v>
      </c>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c r="BO733" s="30"/>
      <c r="BP733" s="30"/>
      <c r="BQ733" s="30"/>
      <c r="BR733" s="30"/>
      <c r="BS733" s="30"/>
      <c r="BT733" s="30"/>
      <c r="BU733" s="30"/>
      <c r="BV733" s="30"/>
      <c r="BW733" s="30"/>
      <c r="BX733" s="30"/>
      <c r="BY733" s="30"/>
      <c r="BZ733" s="30"/>
      <c r="CA733" s="30"/>
      <c r="CB733" s="30"/>
      <c r="CC733" s="30"/>
      <c r="CD733" s="30"/>
      <c r="CE733" s="30"/>
      <c r="CF733" s="30"/>
      <c r="CG733" s="30"/>
      <c r="CH733" s="30"/>
      <c r="CI733" s="30"/>
      <c r="CJ733" s="30"/>
      <c r="CK733" s="30"/>
      <c r="CL733" s="30"/>
      <c r="CM733" s="30"/>
      <c r="CN733" s="30"/>
      <c r="CO733" s="30"/>
      <c r="CP733" s="30"/>
      <c r="CQ733" s="30"/>
      <c r="CR733" s="30"/>
      <c r="CS733" s="30"/>
      <c r="CT733" s="30"/>
      <c r="CU733" s="30"/>
      <c r="CV733" s="30"/>
      <c r="CW733" s="30"/>
      <c r="CX733" s="30"/>
      <c r="CY733" s="30"/>
      <c r="CZ733" s="30"/>
      <c r="DA733" s="30"/>
      <c r="DB733" s="30"/>
      <c r="DC733" s="30"/>
      <c r="DD733" s="30"/>
      <c r="DE733" s="30"/>
      <c r="DF733" s="30"/>
      <c r="DG733" s="30"/>
      <c r="DH733" s="30"/>
      <c r="DI733" s="30"/>
      <c r="DJ733" s="30"/>
      <c r="DK733" s="30"/>
      <c r="DL733" s="30"/>
      <c r="DM733" s="30"/>
      <c r="DN733" s="30"/>
      <c r="DO733" s="30"/>
      <c r="DP733" s="30"/>
      <c r="DQ733" s="30"/>
      <c r="DR733" s="30"/>
      <c r="DS733" s="30"/>
      <c r="DT733" s="30"/>
      <c r="DU733" s="30"/>
      <c r="DV733" s="30"/>
      <c r="DW733" s="30"/>
      <c r="DX733" s="30"/>
      <c r="DY733" s="30"/>
      <c r="DZ733" s="30"/>
      <c r="EA733" s="30"/>
      <c r="EB733" s="30"/>
      <c r="EC733" s="30"/>
      <c r="ED733" s="30"/>
      <c r="EE733" s="30"/>
    </row>
    <row r="734" spans="1:135" ht="30" customHeight="1" thickBot="1" x14ac:dyDescent="0.3">
      <c r="A734" s="578" t="s">
        <v>5603</v>
      </c>
      <c r="B734" s="16">
        <v>13365</v>
      </c>
      <c r="C734" s="72" t="s">
        <v>5601</v>
      </c>
      <c r="D734" s="10" t="s">
        <v>5602</v>
      </c>
      <c r="E734" s="465" t="s">
        <v>25</v>
      </c>
      <c r="F734" s="20" t="s">
        <v>2099</v>
      </c>
      <c r="G734" s="59" t="s">
        <v>2100</v>
      </c>
      <c r="H734" s="313" t="s">
        <v>4070</v>
      </c>
      <c r="I734" s="142" t="s">
        <v>48</v>
      </c>
      <c r="J734" s="18" t="s">
        <v>49</v>
      </c>
      <c r="K734" s="495" t="s">
        <v>5604</v>
      </c>
      <c r="L734" s="25" t="str">
        <f>"RUTL-"&amp;RIGHT(K734,8)</f>
        <v>RUTL-1A476N02</v>
      </c>
      <c r="M734" s="34" t="s">
        <v>40</v>
      </c>
      <c r="N734" s="493" t="s">
        <v>54</v>
      </c>
      <c r="O734" s="493"/>
      <c r="P734" s="522" t="s">
        <v>46</v>
      </c>
      <c r="Q734" s="528" t="s">
        <v>5605</v>
      </c>
      <c r="R734" s="15" t="s">
        <v>56</v>
      </c>
      <c r="S734" s="37" t="s">
        <v>57</v>
      </c>
      <c r="T734" s="105" t="s">
        <v>148</v>
      </c>
      <c r="U734" s="39" t="s">
        <v>3435</v>
      </c>
      <c r="V734" s="48">
        <v>46111</v>
      </c>
      <c r="W734" s="23" t="s">
        <v>67</v>
      </c>
      <c r="X734" s="71"/>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c r="DJ734" s="5"/>
      <c r="DK734" s="5"/>
      <c r="DL734" s="5"/>
      <c r="DM734" s="5"/>
      <c r="DN734" s="5"/>
      <c r="DO734" s="5"/>
      <c r="DP734" s="5"/>
      <c r="DQ734" s="5"/>
      <c r="DR734" s="5"/>
      <c r="DS734" s="5"/>
      <c r="DT734" s="5"/>
      <c r="DU734" s="5"/>
      <c r="DV734" s="5"/>
      <c r="DW734" s="5"/>
      <c r="DX734" s="5"/>
      <c r="DY734" s="5"/>
      <c r="DZ734" s="5"/>
      <c r="EA734" s="5"/>
      <c r="EB734" s="5"/>
      <c r="EC734" s="5"/>
      <c r="ED734" s="5"/>
      <c r="EE734" s="5"/>
    </row>
    <row r="735" spans="1:135" ht="30" customHeight="1" thickBot="1" x14ac:dyDescent="0.3">
      <c r="A735" s="578" t="s">
        <v>6568</v>
      </c>
      <c r="B735" s="16">
        <v>16163</v>
      </c>
      <c r="C735" s="69" t="s">
        <v>6566</v>
      </c>
      <c r="D735" s="10" t="s">
        <v>24</v>
      </c>
      <c r="E735" s="11" t="s">
        <v>25</v>
      </c>
      <c r="F735" s="12" t="s">
        <v>6567</v>
      </c>
      <c r="G735" s="15" t="s">
        <v>1521</v>
      </c>
      <c r="H735" s="24" t="s">
        <v>1398</v>
      </c>
      <c r="I735" s="18" t="s">
        <v>48</v>
      </c>
      <c r="J735" s="18" t="s">
        <v>49</v>
      </c>
      <c r="K735" s="23" t="s">
        <v>6569</v>
      </c>
      <c r="L735" s="25" t="str">
        <f>"RUTL-"&amp;RIGHT(K735,8)</f>
        <v>RUTL-1A776N02</v>
      </c>
      <c r="M735" s="34" t="s">
        <v>40</v>
      </c>
      <c r="N735" s="23" t="s">
        <v>54</v>
      </c>
      <c r="O735" s="23"/>
      <c r="P735" s="35" t="s">
        <v>46</v>
      </c>
      <c r="Q735" s="35" t="s">
        <v>6570</v>
      </c>
      <c r="R735" s="15" t="s">
        <v>56</v>
      </c>
      <c r="S735" s="37" t="s">
        <v>57</v>
      </c>
      <c r="T735" s="38" t="s">
        <v>58</v>
      </c>
      <c r="U735" s="39" t="s">
        <v>3990</v>
      </c>
      <c r="V735" s="48">
        <v>46111</v>
      </c>
      <c r="W735" s="23" t="s">
        <v>67</v>
      </c>
      <c r="X735" s="407"/>
      <c r="Y735" s="408"/>
      <c r="Z735" s="408"/>
      <c r="AA735" s="408"/>
      <c r="AB735" s="408"/>
      <c r="AC735" s="408"/>
      <c r="AD735" s="408"/>
      <c r="AE735" s="408"/>
      <c r="AF735" s="408"/>
      <c r="AG735" s="408"/>
      <c r="AH735" s="408"/>
      <c r="AI735" s="408"/>
      <c r="AJ735" s="408"/>
      <c r="AK735" s="408"/>
      <c r="AL735" s="408"/>
      <c r="AM735" s="408"/>
      <c r="AN735" s="408"/>
      <c r="AO735" s="408"/>
      <c r="AP735" s="408"/>
      <c r="AQ735" s="408"/>
      <c r="AR735" s="408"/>
      <c r="AS735" s="408"/>
      <c r="AT735" s="408"/>
      <c r="AU735" s="408"/>
      <c r="AV735" s="408"/>
      <c r="AW735" s="408"/>
      <c r="AX735" s="408"/>
      <c r="AY735" s="408"/>
      <c r="AZ735" s="408"/>
      <c r="BA735" s="408"/>
      <c r="BB735" s="408"/>
      <c r="BC735" s="408"/>
      <c r="BD735" s="408"/>
      <c r="BE735" s="408"/>
      <c r="BF735" s="408"/>
      <c r="BG735" s="408"/>
      <c r="BH735" s="408"/>
      <c r="BI735" s="408"/>
      <c r="BJ735" s="408"/>
      <c r="BK735" s="408"/>
      <c r="BL735" s="408"/>
      <c r="BM735" s="408"/>
      <c r="BN735" s="408"/>
      <c r="BO735" s="408"/>
      <c r="BP735" s="408"/>
      <c r="BQ735" s="408"/>
      <c r="BR735" s="408"/>
      <c r="BS735" s="408"/>
      <c r="BT735" s="408"/>
      <c r="BU735" s="408"/>
      <c r="BV735" s="408"/>
      <c r="BW735" s="408"/>
      <c r="BX735" s="408"/>
      <c r="BY735" s="408"/>
      <c r="BZ735" s="408"/>
      <c r="CA735" s="408"/>
      <c r="CB735" s="408"/>
      <c r="CC735" s="408"/>
      <c r="CD735" s="408"/>
      <c r="CE735" s="408"/>
      <c r="CF735" s="408"/>
      <c r="CG735" s="408"/>
      <c r="CH735" s="408"/>
      <c r="CI735" s="408"/>
      <c r="CJ735" s="408"/>
      <c r="CK735" s="408"/>
      <c r="CL735" s="408"/>
      <c r="CM735" s="408"/>
      <c r="CN735" s="408"/>
      <c r="CO735" s="408"/>
      <c r="CP735" s="408"/>
      <c r="CQ735" s="408"/>
      <c r="CR735" s="408"/>
      <c r="CS735" s="408"/>
      <c r="CT735" s="408"/>
      <c r="CU735" s="408"/>
      <c r="CV735" s="408"/>
      <c r="CW735" s="408"/>
      <c r="CX735" s="408"/>
      <c r="CY735" s="408"/>
      <c r="CZ735" s="408"/>
      <c r="DA735" s="408"/>
      <c r="DB735" s="408"/>
      <c r="DC735" s="408"/>
      <c r="DD735" s="408"/>
      <c r="DE735" s="408"/>
      <c r="DF735" s="408"/>
      <c r="DG735" s="408"/>
      <c r="DH735" s="408"/>
      <c r="DI735" s="408"/>
      <c r="DJ735" s="408"/>
      <c r="DK735" s="408"/>
      <c r="DL735" s="408"/>
      <c r="DM735" s="408"/>
      <c r="DN735" s="408"/>
      <c r="DO735" s="408"/>
      <c r="DP735" s="408"/>
      <c r="DQ735" s="408"/>
      <c r="DR735" s="408"/>
      <c r="DS735" s="408"/>
      <c r="DT735" s="408"/>
      <c r="DU735" s="408"/>
      <c r="DV735" s="408"/>
      <c r="DW735" s="408"/>
      <c r="DX735" s="408"/>
      <c r="DY735" s="408"/>
      <c r="DZ735" s="408"/>
      <c r="EA735" s="408"/>
      <c r="EB735" s="408"/>
      <c r="EC735" s="408"/>
      <c r="ED735" s="408"/>
      <c r="EE735" s="408"/>
    </row>
    <row r="736" spans="1:135" ht="30" customHeight="1" thickBot="1" x14ac:dyDescent="0.3">
      <c r="A736" s="578" t="s">
        <v>6977</v>
      </c>
      <c r="B736" s="51">
        <v>17143</v>
      </c>
      <c r="C736" s="315" t="s">
        <v>6975</v>
      </c>
      <c r="D736" s="10" t="s">
        <v>24</v>
      </c>
      <c r="E736" s="28" t="s">
        <v>25</v>
      </c>
      <c r="F736" s="12" t="s">
        <v>6976</v>
      </c>
      <c r="G736" s="59" t="s">
        <v>2764</v>
      </c>
      <c r="H736" s="31" t="s">
        <v>2041</v>
      </c>
      <c r="I736" s="24" t="s">
        <v>135</v>
      </c>
      <c r="J736" s="24" t="s">
        <v>32</v>
      </c>
      <c r="K736" s="23" t="s">
        <v>6978</v>
      </c>
      <c r="L736" s="25" t="str">
        <f>"RUTL-"&amp;RIGHT(K736,8)</f>
        <v>RUTL-PW0K0DG7</v>
      </c>
      <c r="M736" s="34" t="s">
        <v>40</v>
      </c>
      <c r="N736" s="23" t="s">
        <v>54</v>
      </c>
      <c r="O736" s="396"/>
      <c r="P736" s="35" t="s">
        <v>46</v>
      </c>
      <c r="Q736" s="36" t="s">
        <v>6979</v>
      </c>
      <c r="R736" s="15" t="s">
        <v>56</v>
      </c>
      <c r="S736" s="40" t="s">
        <v>57</v>
      </c>
      <c r="T736" s="118" t="s">
        <v>65</v>
      </c>
      <c r="U736" s="23" t="s">
        <v>6980</v>
      </c>
      <c r="V736" s="270">
        <v>46122</v>
      </c>
      <c r="W736" s="32" t="s">
        <v>62</v>
      </c>
      <c r="X736" s="30"/>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row>
    <row r="737" spans="1:135" ht="30" customHeight="1" thickBot="1" x14ac:dyDescent="0.3">
      <c r="A737" s="578" t="s">
        <v>3924</v>
      </c>
      <c r="B737" s="8">
        <v>6504</v>
      </c>
      <c r="C737" s="231" t="s">
        <v>3921</v>
      </c>
      <c r="D737" s="10" t="s">
        <v>24</v>
      </c>
      <c r="E737" s="11" t="s">
        <v>25</v>
      </c>
      <c r="F737" s="20" t="s">
        <v>3922</v>
      </c>
      <c r="G737" s="15" t="s">
        <v>3923</v>
      </c>
      <c r="H737" s="22" t="s">
        <v>1454</v>
      </c>
      <c r="I737" s="24" t="s">
        <v>135</v>
      </c>
      <c r="J737" s="24" t="s">
        <v>32</v>
      </c>
      <c r="K737" s="33" t="s">
        <v>3925</v>
      </c>
      <c r="L737" s="25" t="str">
        <f>"RUTL-"&amp;RIGHT(K737,8)</f>
        <v>RUTL-PW0K0DV6</v>
      </c>
      <c r="M737" s="34" t="s">
        <v>40</v>
      </c>
      <c r="N737" s="32"/>
      <c r="O737" s="32"/>
      <c r="P737" s="35" t="s">
        <v>46</v>
      </c>
      <c r="Q737" s="36" t="s">
        <v>3926</v>
      </c>
      <c r="R737" s="15" t="s">
        <v>56</v>
      </c>
      <c r="S737" s="40" t="s">
        <v>57</v>
      </c>
      <c r="T737" s="41" t="s">
        <v>65</v>
      </c>
      <c r="U737" s="39" t="s">
        <v>3927</v>
      </c>
      <c r="V737" s="43">
        <v>46122</v>
      </c>
      <c r="W737" s="32" t="s">
        <v>62</v>
      </c>
      <c r="X737" s="71"/>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c r="DG737" s="5"/>
      <c r="DH737" s="5"/>
      <c r="DI737" s="5"/>
      <c r="DJ737" s="5"/>
      <c r="DK737" s="5"/>
      <c r="DL737" s="5"/>
      <c r="DM737" s="5"/>
      <c r="DN737" s="5"/>
      <c r="DO737" s="5"/>
      <c r="DP737" s="5"/>
      <c r="DQ737" s="5"/>
      <c r="DR737" s="5"/>
      <c r="DS737" s="5"/>
      <c r="DT737" s="5"/>
      <c r="DU737" s="5"/>
      <c r="DV737" s="5"/>
      <c r="DW737" s="5"/>
      <c r="DX737" s="5"/>
      <c r="DY737" s="5"/>
      <c r="DZ737" s="5"/>
      <c r="EA737" s="5"/>
      <c r="EB737" s="5"/>
      <c r="EC737" s="5"/>
      <c r="ED737" s="5"/>
      <c r="EE737" s="5"/>
    </row>
    <row r="738" spans="1:135" ht="30" customHeight="1" thickBot="1" x14ac:dyDescent="0.3">
      <c r="A738" s="578" t="s">
        <v>4010</v>
      </c>
      <c r="B738" s="16">
        <v>6832</v>
      </c>
      <c r="C738" s="315" t="s">
        <v>4008</v>
      </c>
      <c r="D738" s="15" t="s">
        <v>24</v>
      </c>
      <c r="E738" s="11" t="s">
        <v>25</v>
      </c>
      <c r="F738" s="20" t="s">
        <v>4009</v>
      </c>
      <c r="G738" s="15" t="s">
        <v>3993</v>
      </c>
      <c r="H738" s="53" t="s">
        <v>1319</v>
      </c>
      <c r="I738" s="18" t="s">
        <v>198</v>
      </c>
      <c r="J738" s="24" t="s">
        <v>32</v>
      </c>
      <c r="K738" s="33" t="s">
        <v>4011</v>
      </c>
      <c r="L738" s="25" t="str">
        <f>"RUTL-"&amp;RIGHT(K738,8)</f>
        <v>RUTL-PW0K0DT1</v>
      </c>
      <c r="M738" s="34" t="s">
        <v>40</v>
      </c>
      <c r="N738" s="39" t="s">
        <v>87</v>
      </c>
      <c r="O738" s="32"/>
      <c r="P738" s="35" t="s">
        <v>46</v>
      </c>
      <c r="Q738" s="36" t="s">
        <v>4012</v>
      </c>
      <c r="R738" s="15" t="s">
        <v>56</v>
      </c>
      <c r="S738" s="37" t="s">
        <v>57</v>
      </c>
      <c r="T738" s="101" t="s">
        <v>96</v>
      </c>
      <c r="U738" s="39" t="s">
        <v>3320</v>
      </c>
      <c r="V738" s="43">
        <v>46122</v>
      </c>
      <c r="W738" s="32" t="s">
        <v>62</v>
      </c>
      <c r="X738" s="71"/>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c r="DJ738" s="5"/>
      <c r="DK738" s="5"/>
      <c r="DL738" s="5"/>
      <c r="DM738" s="5"/>
      <c r="DN738" s="5"/>
      <c r="DO738" s="5"/>
      <c r="DP738" s="5"/>
      <c r="DQ738" s="5"/>
      <c r="DR738" s="5"/>
      <c r="DS738" s="5"/>
      <c r="DT738" s="5"/>
      <c r="DU738" s="5"/>
      <c r="DV738" s="5"/>
      <c r="DW738" s="5"/>
      <c r="DX738" s="5"/>
      <c r="DY738" s="5"/>
      <c r="DZ738" s="5"/>
      <c r="EA738" s="5"/>
      <c r="EB738" s="5"/>
      <c r="EC738" s="5"/>
      <c r="ED738" s="5"/>
      <c r="EE738" s="5"/>
    </row>
    <row r="739" spans="1:135" ht="30" customHeight="1" thickBot="1" x14ac:dyDescent="0.3">
      <c r="A739" s="578" t="s">
        <v>3040</v>
      </c>
      <c r="B739" s="16">
        <v>2551</v>
      </c>
      <c r="C739" s="231" t="s">
        <v>3038</v>
      </c>
      <c r="D739" s="10" t="s">
        <v>24</v>
      </c>
      <c r="E739" s="11" t="s">
        <v>25</v>
      </c>
      <c r="F739" s="12" t="s">
        <v>3039</v>
      </c>
      <c r="G739" s="15" t="s">
        <v>1241</v>
      </c>
      <c r="H739" s="53" t="s">
        <v>1319</v>
      </c>
      <c r="I739" s="18" t="s">
        <v>117</v>
      </c>
      <c r="J739" s="24" t="s">
        <v>32</v>
      </c>
      <c r="K739" s="33" t="s">
        <v>3041</v>
      </c>
      <c r="L739" s="25" t="str">
        <f>"RUTL-"&amp;RIGHT(K739,8)</f>
        <v>RUTL-PW0K0DBG</v>
      </c>
      <c r="M739" s="34" t="s">
        <v>40</v>
      </c>
      <c r="N739" s="32" t="s">
        <v>54</v>
      </c>
      <c r="O739" s="32"/>
      <c r="P739" s="35" t="s">
        <v>46</v>
      </c>
      <c r="Q739" s="36" t="s">
        <v>3042</v>
      </c>
      <c r="R739" s="15" t="s">
        <v>56</v>
      </c>
      <c r="S739" s="40" t="s">
        <v>57</v>
      </c>
      <c r="T739" s="105" t="s">
        <v>148</v>
      </c>
      <c r="U739" s="39" t="s">
        <v>3043</v>
      </c>
      <c r="V739" s="43"/>
      <c r="W739" s="32" t="s">
        <v>62</v>
      </c>
      <c r="X739" s="71"/>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c r="DG739" s="5"/>
      <c r="DH739" s="5"/>
      <c r="DI739" s="5"/>
      <c r="DJ739" s="5"/>
      <c r="DK739" s="5"/>
      <c r="DL739" s="5"/>
      <c r="DM739" s="5"/>
      <c r="DN739" s="5"/>
      <c r="DO739" s="5"/>
      <c r="DP739" s="5"/>
      <c r="DQ739" s="5"/>
      <c r="DR739" s="5"/>
      <c r="DS739" s="5"/>
      <c r="DT739" s="5"/>
      <c r="DU739" s="5"/>
      <c r="DV739" s="5"/>
      <c r="DW739" s="5"/>
      <c r="DX739" s="5"/>
      <c r="DY739" s="5"/>
      <c r="DZ739" s="5"/>
      <c r="EA739" s="5"/>
      <c r="EB739" s="5"/>
      <c r="EC739" s="5"/>
      <c r="ED739" s="5"/>
      <c r="EE739" s="5"/>
    </row>
    <row r="740" spans="1:135" ht="30" customHeight="1" thickBot="1" x14ac:dyDescent="0.3">
      <c r="A740" s="578" t="s">
        <v>2211</v>
      </c>
      <c r="B740" s="16">
        <v>936</v>
      </c>
      <c r="C740" s="231" t="s">
        <v>2205</v>
      </c>
      <c r="D740" s="15" t="s">
        <v>24</v>
      </c>
      <c r="E740" s="11" t="s">
        <v>25</v>
      </c>
      <c r="F740" s="20" t="s">
        <v>2207</v>
      </c>
      <c r="G740" s="59" t="s">
        <v>2209</v>
      </c>
      <c r="H740" s="18" t="s">
        <v>2210</v>
      </c>
      <c r="I740" s="24" t="s">
        <v>117</v>
      </c>
      <c r="J740" s="24" t="s">
        <v>32</v>
      </c>
      <c r="K740" s="23" t="s">
        <v>2213</v>
      </c>
      <c r="L740" s="25" t="str">
        <f>"RUTL-"&amp;RIGHT(K740,8)</f>
        <v>RUTL-PW0K0DCB</v>
      </c>
      <c r="M740" s="34" t="s">
        <v>40</v>
      </c>
      <c r="N740" s="39" t="s">
        <v>410</v>
      </c>
      <c r="O740" s="23"/>
      <c r="P740" s="35" t="s">
        <v>46</v>
      </c>
      <c r="Q740" s="36" t="s">
        <v>2214</v>
      </c>
      <c r="R740" s="15" t="s">
        <v>56</v>
      </c>
      <c r="S740" s="37" t="s">
        <v>57</v>
      </c>
      <c r="T740" s="41" t="s">
        <v>65</v>
      </c>
      <c r="U740" s="39" t="s">
        <v>2216</v>
      </c>
      <c r="V740" s="43">
        <v>46122</v>
      </c>
      <c r="W740" s="32" t="s">
        <v>62</v>
      </c>
      <c r="X740" s="154"/>
    </row>
    <row r="741" spans="1:135" ht="30" customHeight="1" thickBot="1" x14ac:dyDescent="0.3">
      <c r="A741" s="578" t="s">
        <v>4290</v>
      </c>
      <c r="B741" s="8">
        <v>7888</v>
      </c>
      <c r="C741" s="231" t="s">
        <v>4286</v>
      </c>
      <c r="D741" s="10" t="s">
        <v>24</v>
      </c>
      <c r="E741" s="11" t="s">
        <v>25</v>
      </c>
      <c r="F741" s="20" t="s">
        <v>4287</v>
      </c>
      <c r="G741" s="15" t="s">
        <v>4288</v>
      </c>
      <c r="H741" s="47" t="s">
        <v>4289</v>
      </c>
      <c r="I741" s="205" t="s">
        <v>135</v>
      </c>
      <c r="J741" s="24" t="s">
        <v>32</v>
      </c>
      <c r="K741" s="33" t="s">
        <v>4291</v>
      </c>
      <c r="L741" s="25" t="str">
        <f>"RUTL-"&amp;RIGHT(K741,8)</f>
        <v>RUTL-PW0K0DAN</v>
      </c>
      <c r="M741" s="34" t="s">
        <v>40</v>
      </c>
      <c r="N741" s="32" t="s">
        <v>54</v>
      </c>
      <c r="O741" s="32"/>
      <c r="P741" s="35" t="s">
        <v>46</v>
      </c>
      <c r="Q741" s="36" t="s">
        <v>4292</v>
      </c>
      <c r="R741" s="15" t="s">
        <v>56</v>
      </c>
      <c r="S741" s="40" t="s">
        <v>57</v>
      </c>
      <c r="T741" s="105" t="s">
        <v>148</v>
      </c>
      <c r="U741" s="39" t="s">
        <v>3043</v>
      </c>
      <c r="V741" s="43">
        <v>46122</v>
      </c>
      <c r="W741" s="32" t="s">
        <v>62</v>
      </c>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c r="DG741" s="5"/>
      <c r="DH741" s="5"/>
      <c r="DI741" s="5"/>
      <c r="DJ741" s="5"/>
      <c r="DK741" s="5"/>
      <c r="DL741" s="5"/>
      <c r="DM741" s="5"/>
      <c r="DN741" s="5"/>
      <c r="DO741" s="5"/>
      <c r="DP741" s="5"/>
      <c r="DQ741" s="5"/>
      <c r="DR741" s="5"/>
      <c r="DS741" s="5"/>
      <c r="DT741" s="5"/>
      <c r="DU741" s="5"/>
      <c r="DV741" s="5"/>
      <c r="DW741" s="5"/>
      <c r="DX741" s="5"/>
      <c r="DY741" s="5"/>
      <c r="DZ741" s="5"/>
      <c r="EA741" s="5"/>
      <c r="EB741" s="5"/>
      <c r="EC741" s="5"/>
      <c r="ED741" s="5"/>
      <c r="EE741" s="5"/>
    </row>
    <row r="742" spans="1:135" ht="30" customHeight="1" thickBot="1" x14ac:dyDescent="0.3">
      <c r="A742" s="578" t="s">
        <v>1709</v>
      </c>
      <c r="B742" s="16">
        <v>707</v>
      </c>
      <c r="C742" s="50" t="s">
        <v>1703</v>
      </c>
      <c r="D742" s="15" t="s">
        <v>24</v>
      </c>
      <c r="E742" s="11" t="s">
        <v>25</v>
      </c>
      <c r="F742" s="20" t="s">
        <v>1705</v>
      </c>
      <c r="G742" s="59" t="s">
        <v>1706</v>
      </c>
      <c r="H742" s="206" t="s">
        <v>1154</v>
      </c>
      <c r="I742" s="296" t="s">
        <v>135</v>
      </c>
      <c r="J742" s="24" t="s">
        <v>32</v>
      </c>
      <c r="K742" s="371" t="s">
        <v>1711</v>
      </c>
      <c r="L742" s="25" t="str">
        <f>"RUTL-"&amp;RIGHT(K742,8)</f>
        <v>RUTL-PW0K0DSY</v>
      </c>
      <c r="M742" s="34" t="s">
        <v>40</v>
      </c>
      <c r="N742" s="32" t="s">
        <v>54</v>
      </c>
      <c r="O742" s="32"/>
      <c r="P742" s="35" t="s">
        <v>46</v>
      </c>
      <c r="Q742" s="36" t="s">
        <v>1715</v>
      </c>
      <c r="R742" s="15" t="s">
        <v>56</v>
      </c>
      <c r="S742" s="40" t="s">
        <v>57</v>
      </c>
      <c r="T742" s="274" t="s">
        <v>58</v>
      </c>
      <c r="U742" s="39" t="s">
        <v>1719</v>
      </c>
      <c r="V742" s="270">
        <v>46108</v>
      </c>
      <c r="W742" s="32" t="s">
        <v>63</v>
      </c>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c r="BO742" s="30"/>
      <c r="BP742" s="30"/>
      <c r="BQ742" s="30"/>
      <c r="BR742" s="30"/>
      <c r="BS742" s="30"/>
      <c r="BT742" s="30"/>
      <c r="BU742" s="30"/>
      <c r="BV742" s="30"/>
      <c r="BW742" s="30"/>
      <c r="BX742" s="30"/>
      <c r="BY742" s="30"/>
      <c r="BZ742" s="30"/>
      <c r="CA742" s="30"/>
      <c r="CB742" s="30"/>
      <c r="CC742" s="30"/>
      <c r="CD742" s="30"/>
      <c r="CE742" s="30"/>
      <c r="CF742" s="30"/>
      <c r="CG742" s="30"/>
      <c r="CH742" s="30"/>
      <c r="CI742" s="30"/>
      <c r="CJ742" s="30"/>
      <c r="CK742" s="30"/>
      <c r="CL742" s="30"/>
      <c r="CM742" s="30"/>
      <c r="CN742" s="30"/>
      <c r="CO742" s="30"/>
      <c r="CP742" s="30"/>
      <c r="CQ742" s="30"/>
      <c r="CR742" s="30"/>
      <c r="CS742" s="30"/>
      <c r="CT742" s="30"/>
      <c r="CU742" s="30"/>
      <c r="CV742" s="30"/>
      <c r="CW742" s="30"/>
      <c r="CX742" s="30"/>
      <c r="CY742" s="30"/>
      <c r="CZ742" s="30"/>
      <c r="DA742" s="30"/>
      <c r="DB742" s="30"/>
      <c r="DC742" s="30"/>
      <c r="DD742" s="30"/>
      <c r="DE742" s="30"/>
      <c r="DF742" s="30"/>
      <c r="DG742" s="30"/>
      <c r="DH742" s="30"/>
      <c r="DI742" s="30"/>
      <c r="DJ742" s="30"/>
      <c r="DK742" s="30"/>
      <c r="DL742" s="30"/>
      <c r="DM742" s="30"/>
      <c r="DN742" s="30"/>
      <c r="DO742" s="30"/>
      <c r="DP742" s="30"/>
      <c r="DQ742" s="30"/>
      <c r="DR742" s="30"/>
      <c r="DS742" s="30"/>
      <c r="DT742" s="30"/>
      <c r="DU742" s="30"/>
      <c r="DV742" s="30"/>
      <c r="DW742" s="30"/>
      <c r="DX742" s="30"/>
      <c r="DY742" s="30"/>
      <c r="DZ742" s="30"/>
      <c r="EA742" s="30"/>
      <c r="EB742" s="30"/>
      <c r="EC742" s="30"/>
      <c r="ED742" s="30"/>
      <c r="EE742" s="30"/>
    </row>
    <row r="743" spans="1:135" ht="30" customHeight="1" thickBot="1" x14ac:dyDescent="0.35">
      <c r="A743" s="578" t="s">
        <v>1739</v>
      </c>
      <c r="B743" s="448" t="s">
        <v>1632</v>
      </c>
      <c r="C743" s="26" t="s">
        <v>1849</v>
      </c>
      <c r="D743" s="322" t="s">
        <v>1724</v>
      </c>
      <c r="E743" s="266" t="s">
        <v>25</v>
      </c>
      <c r="F743" s="29" t="s">
        <v>1726</v>
      </c>
      <c r="G743" s="15" t="s">
        <v>1728</v>
      </c>
      <c r="H743" s="267" t="s">
        <v>1646</v>
      </c>
      <c r="I743" s="24" t="s">
        <v>135</v>
      </c>
      <c r="J743" s="24" t="s">
        <v>32</v>
      </c>
      <c r="K743" s="33" t="s">
        <v>1740</v>
      </c>
      <c r="L743" s="21" t="str">
        <f>"RUTL-"&amp;RIGHT(K743,8)</f>
        <v>RUTL-PW0K0DC9</v>
      </c>
      <c r="M743" s="34" t="s">
        <v>40</v>
      </c>
      <c r="N743" s="23" t="s">
        <v>43</v>
      </c>
      <c r="O743" s="32"/>
      <c r="P743" s="35" t="s">
        <v>46</v>
      </c>
      <c r="Q743" s="36" t="s">
        <v>1744</v>
      </c>
      <c r="R743" s="15" t="s">
        <v>56</v>
      </c>
      <c r="S743" s="40" t="s">
        <v>57</v>
      </c>
      <c r="T743" s="105" t="s">
        <v>148</v>
      </c>
      <c r="U743" s="39" t="s">
        <v>1599</v>
      </c>
      <c r="V743" s="43">
        <v>46122</v>
      </c>
      <c r="W743" s="32" t="s">
        <v>62</v>
      </c>
      <c r="X743" s="71"/>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c r="DJ743" s="5"/>
      <c r="DK743" s="5"/>
      <c r="DL743" s="5"/>
      <c r="DM743" s="5"/>
      <c r="DN743" s="5"/>
      <c r="DO743" s="5"/>
      <c r="DP743" s="5"/>
      <c r="DQ743" s="5"/>
      <c r="DR743" s="5"/>
      <c r="DS743" s="5"/>
      <c r="DT743" s="5"/>
      <c r="DU743" s="5"/>
      <c r="DV743" s="5"/>
      <c r="DW743" s="5"/>
      <c r="DX743" s="5"/>
      <c r="DY743" s="5"/>
      <c r="DZ743" s="5"/>
      <c r="EA743" s="5"/>
      <c r="EB743" s="5"/>
      <c r="EC743" s="5"/>
      <c r="ED743" s="5"/>
      <c r="EE743" s="5"/>
    </row>
    <row r="744" spans="1:135" ht="30" customHeight="1" thickBot="1" x14ac:dyDescent="0.3">
      <c r="A744" s="578" t="s">
        <v>6595</v>
      </c>
      <c r="B744" s="51">
        <v>16211</v>
      </c>
      <c r="C744" s="72" t="s">
        <v>6593</v>
      </c>
      <c r="D744" s="10" t="s">
        <v>24</v>
      </c>
      <c r="E744" s="11" t="s">
        <v>25</v>
      </c>
      <c r="F744" s="12" t="s">
        <v>6594</v>
      </c>
      <c r="G744" s="15" t="s">
        <v>1007</v>
      </c>
      <c r="H744" s="104" t="s">
        <v>329</v>
      </c>
      <c r="I744" s="205" t="s">
        <v>135</v>
      </c>
      <c r="J744" s="24" t="s">
        <v>32</v>
      </c>
      <c r="K744" s="23" t="s">
        <v>6596</v>
      </c>
      <c r="L744" s="25" t="str">
        <f>"RUTL-"&amp;RIGHT(K744,8)</f>
        <v>RUTL-PW0K0DKE</v>
      </c>
      <c r="M744" s="34" t="s">
        <v>40</v>
      </c>
      <c r="N744" s="23" t="s">
        <v>54</v>
      </c>
      <c r="O744" s="94"/>
      <c r="P744" s="45" t="s">
        <v>46</v>
      </c>
      <c r="Q744" s="36" t="s">
        <v>6597</v>
      </c>
      <c r="R744" s="15" t="s">
        <v>56</v>
      </c>
      <c r="S744" s="37" t="s">
        <v>57</v>
      </c>
      <c r="T744" s="23" t="s">
        <v>273</v>
      </c>
      <c r="U744" s="124" t="s">
        <v>3193</v>
      </c>
      <c r="V744" s="43">
        <v>46122</v>
      </c>
      <c r="W744" s="32" t="s">
        <v>62</v>
      </c>
      <c r="X744" s="30"/>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row>
    <row r="745" spans="1:135" ht="30" customHeight="1" thickBot="1" x14ac:dyDescent="0.3">
      <c r="A745" s="578" t="s">
        <v>6734</v>
      </c>
      <c r="B745" s="51">
        <v>16571</v>
      </c>
      <c r="C745" s="72" t="s">
        <v>6732</v>
      </c>
      <c r="D745" s="10" t="s">
        <v>24</v>
      </c>
      <c r="E745" s="11" t="s">
        <v>25</v>
      </c>
      <c r="F745" s="20" t="s">
        <v>6733</v>
      </c>
      <c r="G745" s="15" t="s">
        <v>3745</v>
      </c>
      <c r="H745" s="119" t="s">
        <v>852</v>
      </c>
      <c r="I745" s="18" t="s">
        <v>135</v>
      </c>
      <c r="J745" s="18" t="s">
        <v>32</v>
      </c>
      <c r="K745" s="23" t="s">
        <v>6735</v>
      </c>
      <c r="L745" s="25" t="str">
        <f>"RUTL-"&amp;RIGHT(K745,8)</f>
        <v>RUTL-PW0K0DRT</v>
      </c>
      <c r="M745" s="34" t="s">
        <v>40</v>
      </c>
      <c r="N745" s="32" t="s">
        <v>54</v>
      </c>
      <c r="O745" s="32"/>
      <c r="P745" s="35" t="s">
        <v>46</v>
      </c>
      <c r="Q745" s="36" t="s">
        <v>6736</v>
      </c>
      <c r="R745" s="15" t="s">
        <v>56</v>
      </c>
      <c r="S745" s="40" t="s">
        <v>57</v>
      </c>
      <c r="T745" s="118" t="s">
        <v>65</v>
      </c>
      <c r="U745" s="39" t="s">
        <v>5361</v>
      </c>
      <c r="V745" s="43">
        <v>46122</v>
      </c>
      <c r="W745" s="32" t="s">
        <v>62</v>
      </c>
      <c r="X745" s="71"/>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c r="DG745" s="5"/>
      <c r="DH745" s="5"/>
      <c r="DI745" s="5"/>
      <c r="DJ745" s="5"/>
      <c r="DK745" s="5"/>
      <c r="DL745" s="5"/>
      <c r="DM745" s="5"/>
      <c r="DN745" s="5"/>
      <c r="DO745" s="5"/>
      <c r="DP745" s="5"/>
      <c r="DQ745" s="5"/>
      <c r="DR745" s="5"/>
      <c r="DS745" s="5"/>
      <c r="DT745" s="5"/>
      <c r="DU745" s="5"/>
      <c r="DV745" s="5"/>
      <c r="DW745" s="5"/>
      <c r="DX745" s="5"/>
      <c r="DY745" s="5"/>
      <c r="DZ745" s="5"/>
      <c r="EA745" s="5"/>
      <c r="EB745" s="5"/>
      <c r="EC745" s="5"/>
      <c r="ED745" s="5"/>
      <c r="EE745" s="5"/>
    </row>
    <row r="746" spans="1:135" ht="30" customHeight="1" thickBot="1" x14ac:dyDescent="0.3">
      <c r="A746" s="578" t="s">
        <v>7557</v>
      </c>
      <c r="B746" s="220" t="s">
        <v>7553</v>
      </c>
      <c r="C746" s="69" t="s">
        <v>7554</v>
      </c>
      <c r="D746" s="10" t="s">
        <v>24</v>
      </c>
      <c r="E746" s="11" t="s">
        <v>25</v>
      </c>
      <c r="F746" s="20" t="s">
        <v>7555</v>
      </c>
      <c r="G746" s="59" t="s">
        <v>7556</v>
      </c>
      <c r="H746" s="143" t="s">
        <v>811</v>
      </c>
      <c r="I746" s="142" t="s">
        <v>48</v>
      </c>
      <c r="J746" s="18" t="s">
        <v>49</v>
      </c>
      <c r="K746" s="23" t="s">
        <v>7558</v>
      </c>
      <c r="L746" s="21" t="str">
        <f>"RUTL-"&amp;RIGHT(K746,8)</f>
        <v>RUTL-1D056N02</v>
      </c>
      <c r="M746" s="34" t="s">
        <v>40</v>
      </c>
      <c r="N746" s="23" t="s">
        <v>54</v>
      </c>
      <c r="O746" s="23"/>
      <c r="P746" s="35" t="s">
        <v>46</v>
      </c>
      <c r="Q746" s="36" t="s">
        <v>7559</v>
      </c>
      <c r="R746" s="15" t="s">
        <v>56</v>
      </c>
      <c r="S746" s="40" t="s">
        <v>57</v>
      </c>
      <c r="T746" s="41" t="s">
        <v>7560</v>
      </c>
      <c r="U746" s="47" t="s">
        <v>7561</v>
      </c>
      <c r="V746" s="82"/>
      <c r="W746" s="23" t="s">
        <v>99</v>
      </c>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c r="BO746" s="30"/>
      <c r="BP746" s="30"/>
      <c r="BQ746" s="30"/>
      <c r="BR746" s="30"/>
      <c r="BS746" s="30"/>
      <c r="BT746" s="30"/>
      <c r="BU746" s="30"/>
      <c r="BV746" s="30"/>
      <c r="BW746" s="30"/>
      <c r="BX746" s="30"/>
      <c r="BY746" s="30"/>
      <c r="BZ746" s="30"/>
      <c r="CA746" s="30"/>
      <c r="CB746" s="30"/>
      <c r="CC746" s="30"/>
      <c r="CD746" s="30"/>
      <c r="CE746" s="30"/>
      <c r="CF746" s="30"/>
      <c r="CG746" s="30"/>
      <c r="CH746" s="30"/>
      <c r="CI746" s="30"/>
      <c r="CJ746" s="30"/>
      <c r="CK746" s="30"/>
      <c r="CL746" s="30"/>
      <c r="CM746" s="30"/>
      <c r="CN746" s="30"/>
      <c r="CO746" s="30"/>
      <c r="CP746" s="30"/>
      <c r="CQ746" s="30"/>
      <c r="CR746" s="30"/>
      <c r="CS746" s="30"/>
      <c r="CT746" s="30"/>
      <c r="CU746" s="30"/>
      <c r="CV746" s="30"/>
      <c r="CW746" s="30"/>
      <c r="CX746" s="30"/>
      <c r="CY746" s="30"/>
      <c r="CZ746" s="30"/>
      <c r="DA746" s="30"/>
      <c r="DB746" s="30"/>
      <c r="DC746" s="30"/>
      <c r="DD746" s="30"/>
      <c r="DE746" s="30"/>
      <c r="DF746" s="30"/>
      <c r="DG746" s="30"/>
      <c r="DH746" s="30"/>
      <c r="DI746" s="30"/>
      <c r="DJ746" s="30"/>
      <c r="DK746" s="30"/>
      <c r="DL746" s="30"/>
      <c r="DM746" s="30"/>
      <c r="DN746" s="30"/>
      <c r="DO746" s="30"/>
      <c r="DP746" s="30"/>
      <c r="DQ746" s="30"/>
      <c r="DR746" s="30"/>
      <c r="DS746" s="30"/>
      <c r="DT746" s="30"/>
      <c r="DU746" s="30"/>
      <c r="DV746" s="30"/>
      <c r="DW746" s="30"/>
      <c r="DX746" s="30"/>
      <c r="DY746" s="30"/>
      <c r="DZ746" s="30"/>
      <c r="EA746" s="30"/>
      <c r="EB746" s="30"/>
      <c r="EC746" s="30"/>
      <c r="ED746" s="30"/>
      <c r="EE746" s="30"/>
    </row>
    <row r="747" spans="1:135" ht="30" customHeight="1" thickBot="1" x14ac:dyDescent="0.3">
      <c r="A747" s="578" t="s">
        <v>6683</v>
      </c>
      <c r="B747" s="8">
        <v>16470</v>
      </c>
      <c r="C747" s="72" t="s">
        <v>6680</v>
      </c>
      <c r="D747" s="10" t="s">
        <v>24</v>
      </c>
      <c r="E747" s="11" t="s">
        <v>25</v>
      </c>
      <c r="F747" s="29" t="s">
        <v>6681</v>
      </c>
      <c r="G747" s="15" t="s">
        <v>4153</v>
      </c>
      <c r="H747" s="17" t="s">
        <v>1846</v>
      </c>
      <c r="I747" s="18" t="s">
        <v>6682</v>
      </c>
      <c r="J747" s="18" t="s">
        <v>102</v>
      </c>
      <c r="K747" s="33" t="s">
        <v>6684</v>
      </c>
      <c r="L747" s="25" t="str">
        <f>"RUTL-"&amp;RIGHT(K747,8)</f>
        <v>RUTL-K0127435</v>
      </c>
      <c r="M747" s="34" t="s">
        <v>40</v>
      </c>
      <c r="N747" s="23" t="s">
        <v>54</v>
      </c>
      <c r="O747" s="23"/>
      <c r="P747" s="45" t="s">
        <v>46</v>
      </c>
      <c r="Q747" s="35" t="s">
        <v>6685</v>
      </c>
      <c r="R747" s="15" t="s">
        <v>56</v>
      </c>
      <c r="S747" s="40" t="s">
        <v>57</v>
      </c>
      <c r="T747" s="118" t="s">
        <v>65</v>
      </c>
      <c r="U747" s="39" t="s">
        <v>66</v>
      </c>
      <c r="V747" s="48">
        <v>46010</v>
      </c>
      <c r="W747" s="23"/>
      <c r="X747" s="154"/>
    </row>
    <row r="748" spans="1:135" ht="30" customHeight="1" thickBot="1" x14ac:dyDescent="0.3">
      <c r="A748" s="578" t="s">
        <v>6328</v>
      </c>
      <c r="B748" s="16">
        <v>15704</v>
      </c>
      <c r="C748" s="52" t="s">
        <v>6325</v>
      </c>
      <c r="D748" s="10" t="s">
        <v>24</v>
      </c>
      <c r="E748" s="11" t="s">
        <v>25</v>
      </c>
      <c r="F748" s="20" t="s">
        <v>6326</v>
      </c>
      <c r="G748" s="15" t="s">
        <v>6327</v>
      </c>
      <c r="H748" s="76" t="s">
        <v>3543</v>
      </c>
      <c r="I748" s="24" t="s">
        <v>198</v>
      </c>
      <c r="J748" s="24" t="s">
        <v>32</v>
      </c>
      <c r="K748" s="23" t="s">
        <v>6329</v>
      </c>
      <c r="L748" s="25" t="str">
        <f>"RUTL-"&amp;RIGHT(K748,8)</f>
        <v>RUTL-PW0K0DF0</v>
      </c>
      <c r="M748" s="34" t="s">
        <v>40</v>
      </c>
      <c r="N748" s="90" t="s">
        <v>473</v>
      </c>
      <c r="O748" s="32"/>
      <c r="P748" s="35" t="s">
        <v>46</v>
      </c>
      <c r="Q748" s="36" t="s">
        <v>6330</v>
      </c>
      <c r="R748" s="15" t="s">
        <v>56</v>
      </c>
      <c r="S748" s="40" t="s">
        <v>57</v>
      </c>
      <c r="T748" s="101" t="s">
        <v>96</v>
      </c>
      <c r="U748" s="39" t="s">
        <v>4232</v>
      </c>
      <c r="V748" s="43">
        <v>46122</v>
      </c>
      <c r="W748" s="32" t="s">
        <v>62</v>
      </c>
      <c r="X748" s="71"/>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c r="DG748" s="5"/>
      <c r="DH748" s="5"/>
      <c r="DI748" s="5"/>
      <c r="DJ748" s="5"/>
      <c r="DK748" s="5"/>
      <c r="DL748" s="5"/>
      <c r="DM748" s="5"/>
      <c r="DN748" s="5"/>
      <c r="DO748" s="5"/>
      <c r="DP748" s="5"/>
      <c r="DQ748" s="5"/>
      <c r="DR748" s="5"/>
      <c r="DS748" s="5"/>
      <c r="DT748" s="5"/>
      <c r="DU748" s="5"/>
      <c r="DV748" s="5"/>
      <c r="DW748" s="5"/>
      <c r="DX748" s="5"/>
      <c r="DY748" s="5"/>
      <c r="DZ748" s="5"/>
      <c r="EA748" s="5"/>
      <c r="EB748" s="5"/>
      <c r="EC748" s="5"/>
      <c r="ED748" s="5"/>
      <c r="EE748" s="5"/>
    </row>
    <row r="749" spans="1:135" ht="30" customHeight="1" thickBot="1" x14ac:dyDescent="0.3">
      <c r="A749" s="578" t="s">
        <v>3630</v>
      </c>
      <c r="B749" s="8">
        <v>4824</v>
      </c>
      <c r="C749" s="72" t="s">
        <v>3626</v>
      </c>
      <c r="D749" s="15" t="s">
        <v>24</v>
      </c>
      <c r="E749" s="11" t="s">
        <v>25</v>
      </c>
      <c r="F749" s="29" t="s">
        <v>3627</v>
      </c>
      <c r="G749" s="15" t="s">
        <v>3628</v>
      </c>
      <c r="H749" s="291" t="s">
        <v>3268</v>
      </c>
      <c r="I749" s="24" t="s">
        <v>3629</v>
      </c>
      <c r="J749" s="24" t="s">
        <v>32</v>
      </c>
      <c r="K749" s="33" t="s">
        <v>3631</v>
      </c>
      <c r="L749" s="25" t="str">
        <f>"RUTL-"&amp;RIGHT(K749,8)</f>
        <v>RUTL-PW0K0DA5</v>
      </c>
      <c r="M749" s="34" t="s">
        <v>40</v>
      </c>
      <c r="N749" s="32" t="s">
        <v>54</v>
      </c>
      <c r="O749" s="32"/>
      <c r="P749" s="35" t="s">
        <v>46</v>
      </c>
      <c r="Q749" s="36" t="s">
        <v>3632</v>
      </c>
      <c r="R749" s="15" t="s">
        <v>56</v>
      </c>
      <c r="S749" s="40" t="s">
        <v>57</v>
      </c>
      <c r="T749" s="105" t="s">
        <v>148</v>
      </c>
      <c r="U749" s="39" t="s">
        <v>3043</v>
      </c>
      <c r="V749" s="43">
        <v>46122</v>
      </c>
      <c r="W749" s="32" t="s">
        <v>62</v>
      </c>
      <c r="X749" s="71"/>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c r="DG749" s="5"/>
      <c r="DH749" s="5"/>
      <c r="DI749" s="5"/>
      <c r="DJ749" s="5"/>
      <c r="DK749" s="5"/>
      <c r="DL749" s="5"/>
      <c r="DM749" s="5"/>
      <c r="DN749" s="5"/>
      <c r="DO749" s="5"/>
      <c r="DP749" s="5"/>
      <c r="DQ749" s="5"/>
      <c r="DR749" s="5"/>
      <c r="DS749" s="5"/>
      <c r="DT749" s="5"/>
      <c r="DU749" s="5"/>
      <c r="DV749" s="5"/>
      <c r="DW749" s="5"/>
      <c r="DX749" s="5"/>
      <c r="DY749" s="5"/>
      <c r="DZ749" s="5"/>
      <c r="EA749" s="5"/>
      <c r="EB749" s="5"/>
      <c r="EC749" s="5"/>
      <c r="ED749" s="5"/>
      <c r="EE749" s="5"/>
    </row>
    <row r="750" spans="1:135" ht="30" customHeight="1" thickBot="1" x14ac:dyDescent="0.3">
      <c r="A750" s="578" t="s">
        <v>5817</v>
      </c>
      <c r="B750" s="437">
        <v>14198</v>
      </c>
      <c r="C750" s="72" t="s">
        <v>5815</v>
      </c>
      <c r="D750" s="10" t="s">
        <v>24</v>
      </c>
      <c r="E750" s="11" t="s">
        <v>25</v>
      </c>
      <c r="F750" s="20" t="s">
        <v>5816</v>
      </c>
      <c r="G750" s="59" t="s">
        <v>2384</v>
      </c>
      <c r="H750" s="291" t="s">
        <v>2294</v>
      </c>
      <c r="I750" s="142" t="s">
        <v>135</v>
      </c>
      <c r="J750" s="24" t="s">
        <v>32</v>
      </c>
      <c r="K750" s="23" t="s">
        <v>5818</v>
      </c>
      <c r="L750" s="25" t="str">
        <f>"RUTL-"&amp;RIGHT(K750,8)</f>
        <v>RUTL-PW0K0DW9</v>
      </c>
      <c r="M750" s="34" t="s">
        <v>40</v>
      </c>
      <c r="N750" s="39" t="s">
        <v>414</v>
      </c>
      <c r="O750" s="39" t="s">
        <v>5819</v>
      </c>
      <c r="P750" s="35" t="s">
        <v>46</v>
      </c>
      <c r="Q750" s="528" t="s">
        <v>5820</v>
      </c>
      <c r="R750" s="15" t="s">
        <v>56</v>
      </c>
      <c r="S750" s="37" t="s">
        <v>57</v>
      </c>
      <c r="T750" s="41" t="s">
        <v>65</v>
      </c>
      <c r="U750" s="39" t="s">
        <v>2216</v>
      </c>
      <c r="V750" s="270">
        <v>46122</v>
      </c>
      <c r="W750" s="32" t="s">
        <v>62</v>
      </c>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c r="BO750" s="30"/>
      <c r="BP750" s="30"/>
      <c r="BQ750" s="30"/>
      <c r="BR750" s="30"/>
      <c r="BS750" s="30"/>
      <c r="BT750" s="30"/>
      <c r="BU750" s="30"/>
      <c r="BV750" s="30"/>
      <c r="BW750" s="30"/>
      <c r="BX750" s="30"/>
      <c r="BY750" s="30"/>
      <c r="BZ750" s="30"/>
      <c r="CA750" s="30"/>
      <c r="CB750" s="30"/>
      <c r="CC750" s="30"/>
      <c r="CD750" s="30"/>
      <c r="CE750" s="30"/>
      <c r="CF750" s="30"/>
      <c r="CG750" s="30"/>
      <c r="CH750" s="30"/>
      <c r="CI750" s="30"/>
      <c r="CJ750" s="30"/>
      <c r="CK750" s="30"/>
      <c r="CL750" s="30"/>
      <c r="CM750" s="30"/>
      <c r="CN750" s="30"/>
      <c r="CO750" s="30"/>
      <c r="CP750" s="30"/>
      <c r="CQ750" s="30"/>
      <c r="CR750" s="30"/>
      <c r="CS750" s="30"/>
      <c r="CT750" s="30"/>
      <c r="CU750" s="30"/>
      <c r="CV750" s="30"/>
      <c r="CW750" s="30"/>
      <c r="CX750" s="30"/>
      <c r="CY750" s="30"/>
      <c r="CZ750" s="30"/>
      <c r="DA750" s="30"/>
      <c r="DB750" s="30"/>
      <c r="DC750" s="30"/>
      <c r="DD750" s="30"/>
      <c r="DE750" s="30"/>
      <c r="DF750" s="30"/>
      <c r="DG750" s="30"/>
      <c r="DH750" s="30"/>
      <c r="DI750" s="30"/>
      <c r="DJ750" s="30"/>
      <c r="DK750" s="30"/>
      <c r="DL750" s="30"/>
      <c r="DM750" s="30"/>
      <c r="DN750" s="30"/>
      <c r="DO750" s="30"/>
      <c r="DP750" s="30"/>
      <c r="DQ750" s="30"/>
      <c r="DR750" s="30"/>
      <c r="DS750" s="30"/>
      <c r="DT750" s="30"/>
      <c r="DU750" s="30"/>
      <c r="DV750" s="30"/>
      <c r="DW750" s="30"/>
      <c r="DX750" s="30"/>
      <c r="DY750" s="30"/>
      <c r="DZ750" s="30"/>
      <c r="EA750" s="30"/>
      <c r="EB750" s="30"/>
      <c r="EC750" s="30"/>
      <c r="ED750" s="30"/>
      <c r="EE750" s="30"/>
    </row>
    <row r="751" spans="1:135" ht="30" customHeight="1" x14ac:dyDescent="0.25">
      <c r="A751" s="578" t="s">
        <v>5876</v>
      </c>
      <c r="B751" s="51">
        <v>14674</v>
      </c>
      <c r="C751" s="72" t="s">
        <v>5873</v>
      </c>
      <c r="D751" s="10" t="s">
        <v>24</v>
      </c>
      <c r="E751" s="11" t="s">
        <v>25</v>
      </c>
      <c r="F751" s="29" t="s">
        <v>5874</v>
      </c>
      <c r="G751" s="15" t="s">
        <v>3745</v>
      </c>
      <c r="H751" s="370" t="s">
        <v>5875</v>
      </c>
      <c r="I751" s="296" t="s">
        <v>135</v>
      </c>
      <c r="J751" s="24" t="s">
        <v>32</v>
      </c>
      <c r="K751" s="23" t="s">
        <v>5877</v>
      </c>
      <c r="L751" s="25" t="str">
        <f>"RUTL-"&amp;RIGHT(K751,8)</f>
        <v>RUTL-PW0K0DYZ</v>
      </c>
      <c r="M751" s="34" t="s">
        <v>40</v>
      </c>
      <c r="N751" s="32" t="s">
        <v>54</v>
      </c>
      <c r="O751" s="32"/>
      <c r="P751" s="35" t="s">
        <v>46</v>
      </c>
      <c r="Q751" s="36" t="s">
        <v>5878</v>
      </c>
      <c r="R751" s="15" t="s">
        <v>56</v>
      </c>
      <c r="S751" s="40" t="s">
        <v>57</v>
      </c>
      <c r="T751" s="41" t="s">
        <v>65</v>
      </c>
      <c r="U751" s="39" t="s">
        <v>3672</v>
      </c>
      <c r="V751" s="43">
        <v>46122</v>
      </c>
      <c r="W751" s="32" t="s">
        <v>62</v>
      </c>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row>
    <row r="752" spans="1:135" ht="30" customHeight="1" x14ac:dyDescent="0.25">
      <c r="A752" s="578" t="s">
        <v>6355</v>
      </c>
      <c r="B752" s="16">
        <v>15754</v>
      </c>
      <c r="C752" s="72" t="s">
        <v>6353</v>
      </c>
      <c r="D752" s="10" t="s">
        <v>24</v>
      </c>
      <c r="E752" s="11" t="s">
        <v>25</v>
      </c>
      <c r="F752" s="20" t="s">
        <v>6354</v>
      </c>
      <c r="G752" s="15" t="s">
        <v>5614</v>
      </c>
      <c r="H752" s="76" t="s">
        <v>2294</v>
      </c>
      <c r="I752" s="296" t="s">
        <v>135</v>
      </c>
      <c r="J752" s="24" t="s">
        <v>32</v>
      </c>
      <c r="K752" s="23" t="s">
        <v>6356</v>
      </c>
      <c r="L752" s="25" t="str">
        <f>"RUTL-"&amp;RIGHT(K752,8)</f>
        <v>RUTL-PW0K0DAD</v>
      </c>
      <c r="M752" s="34" t="s">
        <v>40</v>
      </c>
      <c r="N752" s="32" t="s">
        <v>54</v>
      </c>
      <c r="O752" s="32"/>
      <c r="P752" s="35" t="s">
        <v>46</v>
      </c>
      <c r="Q752" s="36" t="s">
        <v>6357</v>
      </c>
      <c r="R752" s="15" t="s">
        <v>56</v>
      </c>
      <c r="S752" s="37" t="s">
        <v>57</v>
      </c>
      <c r="T752" s="101" t="s">
        <v>96</v>
      </c>
      <c r="U752" s="39" t="s">
        <v>1511</v>
      </c>
      <c r="V752" s="43">
        <v>46122</v>
      </c>
      <c r="W752" s="32" t="s">
        <v>62</v>
      </c>
      <c r="X752" s="30"/>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row>
    <row r="753" spans="1:135" ht="30" customHeight="1" x14ac:dyDescent="0.25">
      <c r="A753" s="578" t="s">
        <v>2713</v>
      </c>
      <c r="B753" s="436"/>
      <c r="C753" s="9" t="s">
        <v>2710</v>
      </c>
      <c r="D753" s="10" t="s">
        <v>24</v>
      </c>
      <c r="E753" s="11" t="s">
        <v>25</v>
      </c>
      <c r="F753" s="12" t="s">
        <v>2711</v>
      </c>
      <c r="G753" s="59" t="s">
        <v>2712</v>
      </c>
      <c r="H753" s="147" t="s">
        <v>1109</v>
      </c>
      <c r="I753" s="296" t="s">
        <v>135</v>
      </c>
      <c r="J753" s="24" t="s">
        <v>32</v>
      </c>
      <c r="K753" s="23" t="s">
        <v>2714</v>
      </c>
      <c r="L753" s="21" t="str">
        <f>"RUTL-"&amp;RIGHT(K753,8)</f>
        <v>RUTL-PW0K0DX8</v>
      </c>
      <c r="M753" s="34" t="s">
        <v>40</v>
      </c>
      <c r="N753" s="39" t="s">
        <v>54</v>
      </c>
      <c r="O753" s="32"/>
      <c r="P753" s="35" t="s">
        <v>46</v>
      </c>
      <c r="Q753" s="36" t="s">
        <v>2719</v>
      </c>
      <c r="R753" s="15" t="s">
        <v>56</v>
      </c>
      <c r="S753" s="37" t="s">
        <v>57</v>
      </c>
      <c r="T753" s="107" t="s">
        <v>453</v>
      </c>
      <c r="U753" s="39" t="s">
        <v>2720</v>
      </c>
      <c r="V753" s="43">
        <v>46122</v>
      </c>
      <c r="W753" s="32" t="s">
        <v>62</v>
      </c>
      <c r="X753" s="30"/>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c r="DJ753" s="5"/>
      <c r="DK753" s="5"/>
      <c r="DL753" s="5"/>
      <c r="DM753" s="5"/>
      <c r="DN753" s="5"/>
      <c r="DO753" s="5"/>
      <c r="DP753" s="5"/>
      <c r="DQ753" s="5"/>
      <c r="DR753" s="5"/>
      <c r="DS753" s="5"/>
      <c r="DT753" s="5"/>
      <c r="DU753" s="5"/>
      <c r="DV753" s="5"/>
      <c r="DW753" s="5"/>
      <c r="DX753" s="5"/>
      <c r="DY753" s="5"/>
      <c r="DZ753" s="5"/>
      <c r="EA753" s="5"/>
      <c r="EB753" s="5"/>
      <c r="EC753" s="5"/>
      <c r="ED753" s="5"/>
      <c r="EE753" s="5"/>
    </row>
    <row r="754" spans="1:135" ht="30" customHeight="1" x14ac:dyDescent="0.25">
      <c r="A754" s="578" t="s">
        <v>6233</v>
      </c>
      <c r="B754" s="16">
        <v>15494</v>
      </c>
      <c r="C754" s="69" t="s">
        <v>6230</v>
      </c>
      <c r="D754" s="10" t="s">
        <v>24</v>
      </c>
      <c r="E754" s="11" t="s">
        <v>25</v>
      </c>
      <c r="F754" s="20" t="s">
        <v>6231</v>
      </c>
      <c r="G754" s="59" t="s">
        <v>2565</v>
      </c>
      <c r="H754" s="147" t="s">
        <v>6232</v>
      </c>
      <c r="I754" s="296" t="s">
        <v>135</v>
      </c>
      <c r="J754" s="24" t="s">
        <v>32</v>
      </c>
      <c r="K754" s="23" t="s">
        <v>6234</v>
      </c>
      <c r="L754" s="25" t="str">
        <f>"RUTL-"&amp;RIGHT(K754,8)</f>
        <v>RUTL-PW0K0DV4</v>
      </c>
      <c r="M754" s="34" t="s">
        <v>40</v>
      </c>
      <c r="N754" s="23" t="s">
        <v>54</v>
      </c>
      <c r="O754" s="32"/>
      <c r="P754" s="35" t="s">
        <v>46</v>
      </c>
      <c r="Q754" s="536" t="s">
        <v>6235</v>
      </c>
      <c r="R754" s="15" t="s">
        <v>56</v>
      </c>
      <c r="S754" s="37" t="s">
        <v>57</v>
      </c>
      <c r="T754" s="41" t="s">
        <v>65</v>
      </c>
      <c r="U754" s="39" t="s">
        <v>6077</v>
      </c>
      <c r="V754" s="43">
        <v>46122</v>
      </c>
      <c r="W754" s="32" t="s">
        <v>62</v>
      </c>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row>
    <row r="755" spans="1:135" ht="30" customHeight="1" thickBot="1" x14ac:dyDescent="0.3">
      <c r="A755" s="578" t="s">
        <v>2729</v>
      </c>
      <c r="B755" s="16" t="s">
        <v>2723</v>
      </c>
      <c r="C755" s="72" t="s">
        <v>2724</v>
      </c>
      <c r="D755" s="10" t="s">
        <v>24</v>
      </c>
      <c r="E755" s="11" t="s">
        <v>25</v>
      </c>
      <c r="F755" s="20" t="s">
        <v>2725</v>
      </c>
      <c r="G755" s="15" t="s">
        <v>2727</v>
      </c>
      <c r="H755" s="147" t="s">
        <v>1109</v>
      </c>
      <c r="I755" s="296" t="s">
        <v>2728</v>
      </c>
      <c r="J755" s="24" t="s">
        <v>32</v>
      </c>
      <c r="K755" s="124" t="s">
        <v>2732</v>
      </c>
      <c r="L755" s="127" t="str">
        <f>"RUTL-"&amp;RIGHT(K755,8)</f>
        <v>RUTL-PW0K0DXV</v>
      </c>
      <c r="M755" s="109"/>
      <c r="N755" s="98"/>
      <c r="O755" s="98"/>
      <c r="P755" s="45" t="s">
        <v>46</v>
      </c>
      <c r="Q755" s="35"/>
      <c r="R755" s="121" t="s">
        <v>56</v>
      </c>
      <c r="S755" s="133"/>
      <c r="T755" s="41" t="s">
        <v>65</v>
      </c>
      <c r="U755" s="47" t="s">
        <v>2737</v>
      </c>
      <c r="V755" s="43">
        <v>46122</v>
      </c>
      <c r="W755" s="32" t="s">
        <v>62</v>
      </c>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row>
    <row r="756" spans="1:135" ht="30" customHeight="1" thickBot="1" x14ac:dyDescent="0.3">
      <c r="A756" s="578" t="s">
        <v>6344</v>
      </c>
      <c r="B756" s="16">
        <v>15742</v>
      </c>
      <c r="C756" s="69" t="s">
        <v>6341</v>
      </c>
      <c r="D756" s="10" t="s">
        <v>24</v>
      </c>
      <c r="E756" s="11" t="s">
        <v>25</v>
      </c>
      <c r="F756" s="20" t="s">
        <v>6342</v>
      </c>
      <c r="G756" s="15" t="s">
        <v>6343</v>
      </c>
      <c r="H756" s="147" t="s">
        <v>6232</v>
      </c>
      <c r="I756" s="296" t="s">
        <v>135</v>
      </c>
      <c r="J756" s="24" t="s">
        <v>32</v>
      </c>
      <c r="K756" s="23" t="s">
        <v>6345</v>
      </c>
      <c r="L756" s="25" t="str">
        <f>"RUTL-"&amp;RIGHT(K756,8)</f>
        <v>RUTL-PW0K0DC1</v>
      </c>
      <c r="M756" s="34" t="s">
        <v>40</v>
      </c>
      <c r="N756" s="23" t="s">
        <v>54</v>
      </c>
      <c r="O756" s="396"/>
      <c r="P756" s="35" t="s">
        <v>46</v>
      </c>
      <c r="Q756" s="536" t="s">
        <v>6346</v>
      </c>
      <c r="R756" s="15" t="s">
        <v>56</v>
      </c>
      <c r="S756" s="37" t="s">
        <v>57</v>
      </c>
      <c r="T756" s="118" t="s">
        <v>65</v>
      </c>
      <c r="U756" s="39" t="s">
        <v>6077</v>
      </c>
      <c r="V756" s="270">
        <v>46122</v>
      </c>
      <c r="W756" s="32" t="s">
        <v>62</v>
      </c>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c r="BO756" s="30"/>
      <c r="BP756" s="30"/>
      <c r="BQ756" s="30"/>
      <c r="BR756" s="30"/>
      <c r="BS756" s="30"/>
      <c r="BT756" s="30"/>
      <c r="BU756" s="30"/>
      <c r="BV756" s="30"/>
      <c r="BW756" s="30"/>
      <c r="BX756" s="30"/>
      <c r="BY756" s="30"/>
      <c r="BZ756" s="30"/>
      <c r="CA756" s="30"/>
      <c r="CB756" s="30"/>
      <c r="CC756" s="30"/>
      <c r="CD756" s="30"/>
      <c r="CE756" s="30"/>
      <c r="CF756" s="30"/>
      <c r="CG756" s="30"/>
      <c r="CH756" s="30"/>
      <c r="CI756" s="30"/>
      <c r="CJ756" s="30"/>
      <c r="CK756" s="30"/>
      <c r="CL756" s="30"/>
      <c r="CM756" s="30"/>
      <c r="CN756" s="30"/>
      <c r="CO756" s="30"/>
      <c r="CP756" s="30"/>
      <c r="CQ756" s="30"/>
      <c r="CR756" s="30"/>
      <c r="CS756" s="30"/>
      <c r="CT756" s="30"/>
      <c r="CU756" s="30"/>
      <c r="CV756" s="30"/>
      <c r="CW756" s="30"/>
      <c r="CX756" s="30"/>
      <c r="CY756" s="30"/>
      <c r="CZ756" s="30"/>
      <c r="DA756" s="30"/>
      <c r="DB756" s="30"/>
      <c r="DC756" s="30"/>
      <c r="DD756" s="30"/>
      <c r="DE756" s="30"/>
      <c r="DF756" s="30"/>
      <c r="DG756" s="30"/>
      <c r="DH756" s="30"/>
      <c r="DI756" s="30"/>
      <c r="DJ756" s="30"/>
      <c r="DK756" s="30"/>
      <c r="DL756" s="30"/>
      <c r="DM756" s="30"/>
      <c r="DN756" s="30"/>
      <c r="DO756" s="30"/>
      <c r="DP756" s="30"/>
      <c r="DQ756" s="30"/>
      <c r="DR756" s="30"/>
      <c r="DS756" s="30"/>
      <c r="DT756" s="30"/>
      <c r="DU756" s="30"/>
      <c r="DV756" s="30"/>
      <c r="DW756" s="30"/>
      <c r="DX756" s="30"/>
      <c r="DY756" s="30"/>
      <c r="DZ756" s="30"/>
      <c r="EA756" s="30"/>
      <c r="EB756" s="30"/>
      <c r="EC756" s="30"/>
      <c r="ED756" s="30"/>
      <c r="EE756" s="30"/>
    </row>
    <row r="757" spans="1:135" ht="30" customHeight="1" thickBot="1" x14ac:dyDescent="0.3">
      <c r="A757" s="578" t="s">
        <v>989</v>
      </c>
      <c r="B757" s="220" t="s">
        <v>981</v>
      </c>
      <c r="C757" s="69" t="s">
        <v>985</v>
      </c>
      <c r="D757" s="15" t="s">
        <v>24</v>
      </c>
      <c r="E757" s="11" t="s">
        <v>25</v>
      </c>
      <c r="F757" s="20" t="s">
        <v>986</v>
      </c>
      <c r="G757" s="15" t="s">
        <v>988</v>
      </c>
      <c r="H757" s="119" t="s">
        <v>960</v>
      </c>
      <c r="I757" s="54" t="s">
        <v>38</v>
      </c>
      <c r="J757" s="24" t="s">
        <v>32</v>
      </c>
      <c r="K757" s="23" t="s">
        <v>993</v>
      </c>
      <c r="L757" s="127" t="str">
        <f>"RUTL-"&amp;RIGHT(K757,8)</f>
        <v>RUTL-PW0K0DNA</v>
      </c>
      <c r="M757" s="144" t="s">
        <v>40</v>
      </c>
      <c r="N757" s="34" t="s">
        <v>40</v>
      </c>
      <c r="O757" s="98"/>
      <c r="P757" s="45" t="s">
        <v>46</v>
      </c>
      <c r="Q757" s="35" t="s">
        <v>995</v>
      </c>
      <c r="R757" s="121" t="s">
        <v>56</v>
      </c>
      <c r="S757" s="40" t="s">
        <v>57</v>
      </c>
      <c r="T757" s="105" t="s">
        <v>937</v>
      </c>
      <c r="U757" s="47" t="s">
        <v>996</v>
      </c>
      <c r="V757" s="43">
        <v>46122</v>
      </c>
      <c r="W757" s="32" t="s">
        <v>62</v>
      </c>
      <c r="X757" s="30"/>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row>
    <row r="758" spans="1:135" ht="30" customHeight="1" thickBot="1" x14ac:dyDescent="0.3">
      <c r="A758" s="578" t="s">
        <v>6291</v>
      </c>
      <c r="B758" s="16">
        <v>15597</v>
      </c>
      <c r="C758" s="72" t="s">
        <v>6288</v>
      </c>
      <c r="D758" s="10" t="s">
        <v>24</v>
      </c>
      <c r="E758" s="11" t="s">
        <v>25</v>
      </c>
      <c r="F758" s="20" t="s">
        <v>6289</v>
      </c>
      <c r="G758" s="15" t="s">
        <v>6290</v>
      </c>
      <c r="H758" s="104" t="s">
        <v>3573</v>
      </c>
      <c r="I758" s="296" t="s">
        <v>117</v>
      </c>
      <c r="J758" s="24" t="s">
        <v>32</v>
      </c>
      <c r="K758" s="23" t="s">
        <v>6292</v>
      </c>
      <c r="L758" s="25" t="str">
        <f>"RUTL-"&amp;RIGHT(K758,8)</f>
        <v>RUTL-PW0K0DHL</v>
      </c>
      <c r="M758" s="34" t="s">
        <v>40</v>
      </c>
      <c r="N758" s="32" t="s">
        <v>54</v>
      </c>
      <c r="O758" s="32"/>
      <c r="P758" s="35" t="s">
        <v>46</v>
      </c>
      <c r="Q758" s="36" t="s">
        <v>6293</v>
      </c>
      <c r="R758" s="15" t="s">
        <v>56</v>
      </c>
      <c r="S758" s="40" t="s">
        <v>57</v>
      </c>
      <c r="T758" s="101" t="s">
        <v>96</v>
      </c>
      <c r="U758" s="39" t="s">
        <v>6294</v>
      </c>
      <c r="V758" s="82">
        <v>46122</v>
      </c>
      <c r="W758" s="32" t="s">
        <v>62</v>
      </c>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c r="BO758" s="30"/>
      <c r="BP758" s="30"/>
      <c r="BQ758" s="30"/>
      <c r="BR758" s="30"/>
      <c r="BS758" s="30"/>
      <c r="BT758" s="30"/>
      <c r="BU758" s="30"/>
      <c r="BV758" s="30"/>
      <c r="BW758" s="30"/>
      <c r="BX758" s="30"/>
      <c r="BY758" s="30"/>
      <c r="BZ758" s="30"/>
      <c r="CA758" s="30"/>
      <c r="CB758" s="30"/>
      <c r="CC758" s="30"/>
      <c r="CD758" s="30"/>
      <c r="CE758" s="30"/>
      <c r="CF758" s="30"/>
      <c r="CG758" s="30"/>
      <c r="CH758" s="30"/>
      <c r="CI758" s="30"/>
      <c r="CJ758" s="30"/>
      <c r="CK758" s="30"/>
      <c r="CL758" s="30"/>
      <c r="CM758" s="30"/>
      <c r="CN758" s="30"/>
      <c r="CO758" s="30"/>
      <c r="CP758" s="30"/>
      <c r="CQ758" s="30"/>
      <c r="CR758" s="30"/>
      <c r="CS758" s="30"/>
      <c r="CT758" s="30"/>
      <c r="CU758" s="30"/>
      <c r="CV758" s="30"/>
      <c r="CW758" s="30"/>
      <c r="CX758" s="30"/>
      <c r="CY758" s="30"/>
      <c r="CZ758" s="30"/>
      <c r="DA758" s="30"/>
      <c r="DB758" s="30"/>
      <c r="DC758" s="30"/>
      <c r="DD758" s="30"/>
      <c r="DE758" s="30"/>
      <c r="DF758" s="30"/>
      <c r="DG758" s="30"/>
      <c r="DH758" s="30"/>
      <c r="DI758" s="30"/>
      <c r="DJ758" s="30"/>
      <c r="DK758" s="30"/>
      <c r="DL758" s="30"/>
      <c r="DM758" s="30"/>
      <c r="DN758" s="30"/>
      <c r="DO758" s="30"/>
      <c r="DP758" s="30"/>
      <c r="DQ758" s="30"/>
      <c r="DR758" s="30"/>
      <c r="DS758" s="30"/>
      <c r="DT758" s="30"/>
      <c r="DU758" s="30"/>
      <c r="DV758" s="30"/>
      <c r="DW758" s="30"/>
      <c r="DX758" s="30"/>
      <c r="DY758" s="30"/>
      <c r="DZ758" s="30"/>
      <c r="EA758" s="30"/>
      <c r="EB758" s="30"/>
      <c r="EC758" s="30"/>
      <c r="ED758" s="30"/>
      <c r="EE758" s="30"/>
    </row>
    <row r="759" spans="1:135" ht="30" customHeight="1" thickBot="1" x14ac:dyDescent="0.3">
      <c r="A759" s="578" t="s">
        <v>6350</v>
      </c>
      <c r="B759" s="16">
        <v>15750</v>
      </c>
      <c r="C759" s="52" t="s">
        <v>6347</v>
      </c>
      <c r="D759" s="10" t="s">
        <v>24</v>
      </c>
      <c r="E759" s="11" t="s">
        <v>25</v>
      </c>
      <c r="F759" s="20" t="s">
        <v>6348</v>
      </c>
      <c r="G759" s="15" t="s">
        <v>6349</v>
      </c>
      <c r="H759" s="104" t="s">
        <v>5082</v>
      </c>
      <c r="I759" s="296" t="s">
        <v>135</v>
      </c>
      <c r="J759" s="24" t="s">
        <v>32</v>
      </c>
      <c r="K759" s="23" t="s">
        <v>6351</v>
      </c>
      <c r="L759" s="25" t="str">
        <f>"RUTL-"&amp;RIGHT(K759,8)</f>
        <v>RUTL-PW0K0DWA</v>
      </c>
      <c r="M759" s="34" t="s">
        <v>40</v>
      </c>
      <c r="N759" s="32" t="s">
        <v>54</v>
      </c>
      <c r="O759" s="32"/>
      <c r="P759" s="35" t="s">
        <v>46</v>
      </c>
      <c r="Q759" s="36" t="s">
        <v>6352</v>
      </c>
      <c r="R759" s="15" t="s">
        <v>56</v>
      </c>
      <c r="S759" s="40" t="s">
        <v>57</v>
      </c>
      <c r="T759" s="101" t="s">
        <v>96</v>
      </c>
      <c r="U759" s="39" t="s">
        <v>4232</v>
      </c>
      <c r="V759" s="270">
        <v>46122</v>
      </c>
      <c r="W759" s="32" t="s">
        <v>62</v>
      </c>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c r="BO759" s="30"/>
      <c r="BP759" s="30"/>
      <c r="BQ759" s="30"/>
      <c r="BR759" s="30"/>
      <c r="BS759" s="30"/>
      <c r="BT759" s="30"/>
      <c r="BU759" s="30"/>
      <c r="BV759" s="30"/>
      <c r="BW759" s="30"/>
      <c r="BX759" s="30"/>
      <c r="BY759" s="30"/>
      <c r="BZ759" s="30"/>
      <c r="CA759" s="30"/>
      <c r="CB759" s="30"/>
      <c r="CC759" s="30"/>
      <c r="CD759" s="30"/>
      <c r="CE759" s="30"/>
      <c r="CF759" s="30"/>
      <c r="CG759" s="30"/>
      <c r="CH759" s="30"/>
      <c r="CI759" s="30"/>
      <c r="CJ759" s="30"/>
      <c r="CK759" s="30"/>
      <c r="CL759" s="30"/>
      <c r="CM759" s="30"/>
      <c r="CN759" s="30"/>
      <c r="CO759" s="30"/>
      <c r="CP759" s="30"/>
      <c r="CQ759" s="30"/>
      <c r="CR759" s="30"/>
      <c r="CS759" s="30"/>
      <c r="CT759" s="30"/>
      <c r="CU759" s="30"/>
      <c r="CV759" s="30"/>
      <c r="CW759" s="30"/>
      <c r="CX759" s="30"/>
      <c r="CY759" s="30"/>
      <c r="CZ759" s="30"/>
      <c r="DA759" s="30"/>
      <c r="DB759" s="30"/>
      <c r="DC759" s="30"/>
      <c r="DD759" s="30"/>
      <c r="DE759" s="30"/>
      <c r="DF759" s="30"/>
      <c r="DG759" s="30"/>
      <c r="DH759" s="30"/>
      <c r="DI759" s="30"/>
      <c r="DJ759" s="30"/>
      <c r="DK759" s="30"/>
      <c r="DL759" s="30"/>
      <c r="DM759" s="30"/>
      <c r="DN759" s="30"/>
      <c r="DO759" s="30"/>
      <c r="DP759" s="30"/>
      <c r="DQ759" s="30"/>
      <c r="DR759" s="30"/>
      <c r="DS759" s="30"/>
      <c r="DT759" s="30"/>
      <c r="DU759" s="30"/>
      <c r="DV759" s="30"/>
      <c r="DW759" s="30"/>
      <c r="DX759" s="30"/>
      <c r="DY759" s="30"/>
      <c r="DZ759" s="30"/>
      <c r="EA759" s="30"/>
      <c r="EB759" s="30"/>
      <c r="EC759" s="30"/>
      <c r="ED759" s="30"/>
      <c r="EE759" s="30"/>
    </row>
    <row r="760" spans="1:135" ht="30" customHeight="1" thickBot="1" x14ac:dyDescent="0.3">
      <c r="A760" s="578" t="s">
        <v>4929</v>
      </c>
      <c r="B760" s="8">
        <v>11035</v>
      </c>
      <c r="C760" s="72" t="s">
        <v>4927</v>
      </c>
      <c r="D760" s="10" t="s">
        <v>24</v>
      </c>
      <c r="E760" s="10" t="s">
        <v>25</v>
      </c>
      <c r="F760" s="20" t="s">
        <v>4928</v>
      </c>
      <c r="G760" s="15" t="s">
        <v>988</v>
      </c>
      <c r="H760" s="119" t="s">
        <v>960</v>
      </c>
      <c r="I760" s="54" t="s">
        <v>117</v>
      </c>
      <c r="J760" s="24" t="s">
        <v>32</v>
      </c>
      <c r="K760" s="23" t="s">
        <v>4930</v>
      </c>
      <c r="L760" s="25" t="str">
        <f>"RUTL-"&amp;RIGHT(K760,8)</f>
        <v>RUTL-PW0K0DHH</v>
      </c>
      <c r="M760" s="34" t="s">
        <v>40</v>
      </c>
      <c r="N760" s="23" t="s">
        <v>54</v>
      </c>
      <c r="O760" s="32"/>
      <c r="P760" s="35" t="s">
        <v>46</v>
      </c>
      <c r="Q760" s="392" t="s">
        <v>4931</v>
      </c>
      <c r="R760" s="15" t="s">
        <v>56</v>
      </c>
      <c r="S760" s="40" t="s">
        <v>57</v>
      </c>
      <c r="T760" s="105" t="s">
        <v>148</v>
      </c>
      <c r="U760" s="39" t="s">
        <v>2216</v>
      </c>
      <c r="V760" s="270">
        <v>46122</v>
      </c>
      <c r="W760" s="32" t="s">
        <v>62</v>
      </c>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c r="BO760" s="30"/>
      <c r="BP760" s="30"/>
      <c r="BQ760" s="30"/>
      <c r="BR760" s="30"/>
      <c r="BS760" s="30"/>
      <c r="BT760" s="30"/>
      <c r="BU760" s="30"/>
      <c r="BV760" s="30"/>
      <c r="BW760" s="30"/>
      <c r="BX760" s="30"/>
      <c r="BY760" s="30"/>
      <c r="BZ760" s="30"/>
      <c r="CA760" s="30"/>
      <c r="CB760" s="30"/>
      <c r="CC760" s="30"/>
      <c r="CD760" s="30"/>
      <c r="CE760" s="30"/>
      <c r="CF760" s="30"/>
      <c r="CG760" s="30"/>
      <c r="CH760" s="30"/>
      <c r="CI760" s="30"/>
      <c r="CJ760" s="30"/>
      <c r="CK760" s="30"/>
      <c r="CL760" s="30"/>
      <c r="CM760" s="30"/>
      <c r="CN760" s="30"/>
      <c r="CO760" s="30"/>
      <c r="CP760" s="30"/>
      <c r="CQ760" s="30"/>
      <c r="CR760" s="30"/>
      <c r="CS760" s="30"/>
      <c r="CT760" s="30"/>
      <c r="CU760" s="30"/>
      <c r="CV760" s="30"/>
      <c r="CW760" s="30"/>
      <c r="CX760" s="30"/>
      <c r="CY760" s="30"/>
      <c r="CZ760" s="30"/>
      <c r="DA760" s="30"/>
      <c r="DB760" s="30"/>
      <c r="DC760" s="30"/>
      <c r="DD760" s="30"/>
      <c r="DE760" s="30"/>
      <c r="DF760" s="30"/>
      <c r="DG760" s="30"/>
      <c r="DH760" s="30"/>
      <c r="DI760" s="30"/>
      <c r="DJ760" s="30"/>
      <c r="DK760" s="30"/>
      <c r="DL760" s="30"/>
      <c r="DM760" s="30"/>
      <c r="DN760" s="30"/>
      <c r="DO760" s="30"/>
      <c r="DP760" s="30"/>
      <c r="DQ760" s="30"/>
      <c r="DR760" s="30"/>
      <c r="DS760" s="30"/>
      <c r="DT760" s="30"/>
      <c r="DU760" s="30"/>
      <c r="DV760" s="30"/>
      <c r="DW760" s="30"/>
      <c r="DX760" s="30"/>
      <c r="DY760" s="30"/>
      <c r="DZ760" s="30"/>
      <c r="EA760" s="30"/>
      <c r="EB760" s="30"/>
      <c r="EC760" s="30"/>
      <c r="ED760" s="30"/>
      <c r="EE760" s="30"/>
    </row>
    <row r="761" spans="1:135" ht="30" customHeight="1" thickBot="1" x14ac:dyDescent="0.3">
      <c r="A761" s="578" t="s">
        <v>6425</v>
      </c>
      <c r="B761" s="51">
        <v>15894</v>
      </c>
      <c r="C761" s="72" t="s">
        <v>6423</v>
      </c>
      <c r="D761" s="10" t="s">
        <v>24</v>
      </c>
      <c r="E761" s="11" t="s">
        <v>25</v>
      </c>
      <c r="F761" s="29" t="s">
        <v>6424</v>
      </c>
      <c r="G761" s="15" t="s">
        <v>443</v>
      </c>
      <c r="H761" s="22" t="s">
        <v>2484</v>
      </c>
      <c r="I761" s="54" t="s">
        <v>48</v>
      </c>
      <c r="J761" s="18" t="s">
        <v>49</v>
      </c>
      <c r="K761" s="330" t="s">
        <v>6426</v>
      </c>
      <c r="L761" s="25" t="str">
        <f>"RUTL-"&amp;RIGHT(K761,8)</f>
        <v>RUTL-1D4A6N02</v>
      </c>
      <c r="M761" s="34" t="s">
        <v>40</v>
      </c>
      <c r="N761" s="23" t="s">
        <v>54</v>
      </c>
      <c r="O761" s="23"/>
      <c r="P761" s="35" t="s">
        <v>46</v>
      </c>
      <c r="Q761" s="324"/>
      <c r="R761" s="15" t="s">
        <v>56</v>
      </c>
      <c r="S761" s="40" t="s">
        <v>57</v>
      </c>
      <c r="T761" s="118" t="s">
        <v>65</v>
      </c>
      <c r="U761" s="39" t="s">
        <v>3119</v>
      </c>
      <c r="V761" s="82"/>
      <c r="W761" s="23" t="s">
        <v>99</v>
      </c>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c r="BO761" s="30"/>
      <c r="BP761" s="30"/>
      <c r="BQ761" s="30"/>
      <c r="BR761" s="30"/>
      <c r="BS761" s="30"/>
      <c r="BT761" s="30"/>
      <c r="BU761" s="30"/>
      <c r="BV761" s="30"/>
      <c r="BW761" s="30"/>
      <c r="BX761" s="30"/>
      <c r="BY761" s="30"/>
      <c r="BZ761" s="30"/>
      <c r="CA761" s="30"/>
      <c r="CB761" s="30"/>
      <c r="CC761" s="30"/>
      <c r="CD761" s="30"/>
      <c r="CE761" s="30"/>
      <c r="CF761" s="30"/>
      <c r="CG761" s="30"/>
      <c r="CH761" s="30"/>
      <c r="CI761" s="30"/>
      <c r="CJ761" s="30"/>
      <c r="CK761" s="30"/>
      <c r="CL761" s="30"/>
      <c r="CM761" s="30"/>
      <c r="CN761" s="30"/>
      <c r="CO761" s="30"/>
      <c r="CP761" s="30"/>
      <c r="CQ761" s="30"/>
      <c r="CR761" s="30"/>
      <c r="CS761" s="30"/>
      <c r="CT761" s="30"/>
      <c r="CU761" s="30"/>
      <c r="CV761" s="30"/>
      <c r="CW761" s="30"/>
      <c r="CX761" s="30"/>
      <c r="CY761" s="30"/>
      <c r="CZ761" s="30"/>
      <c r="DA761" s="30"/>
      <c r="DB761" s="30"/>
      <c r="DC761" s="30"/>
      <c r="DD761" s="30"/>
      <c r="DE761" s="30"/>
      <c r="DF761" s="30"/>
      <c r="DG761" s="30"/>
      <c r="DH761" s="30"/>
      <c r="DI761" s="30"/>
      <c r="DJ761" s="30"/>
      <c r="DK761" s="30"/>
      <c r="DL761" s="30"/>
      <c r="DM761" s="30"/>
      <c r="DN761" s="30"/>
      <c r="DO761" s="30"/>
      <c r="DP761" s="30"/>
      <c r="DQ761" s="30"/>
      <c r="DR761" s="30"/>
      <c r="DS761" s="30"/>
      <c r="DT761" s="30"/>
      <c r="DU761" s="30"/>
      <c r="DV761" s="30"/>
      <c r="DW761" s="30"/>
      <c r="DX761" s="30"/>
      <c r="DY761" s="30"/>
      <c r="DZ761" s="30"/>
      <c r="EA761" s="30"/>
      <c r="EB761" s="30"/>
      <c r="EC761" s="30"/>
      <c r="ED761" s="30"/>
      <c r="EE761" s="30"/>
    </row>
    <row r="762" spans="1:135" ht="30" customHeight="1" thickBot="1" x14ac:dyDescent="0.3">
      <c r="A762" s="578" t="s">
        <v>6559</v>
      </c>
      <c r="B762" s="16">
        <v>16157</v>
      </c>
      <c r="C762" s="9" t="s">
        <v>6557</v>
      </c>
      <c r="D762" s="10" t="s">
        <v>24</v>
      </c>
      <c r="E762" s="11" t="s">
        <v>25</v>
      </c>
      <c r="F762" s="20" t="s">
        <v>6558</v>
      </c>
      <c r="G762" s="15" t="s">
        <v>443</v>
      </c>
      <c r="H762" s="31" t="s">
        <v>2484</v>
      </c>
      <c r="I762" s="142" t="s">
        <v>48</v>
      </c>
      <c r="J762" s="18" t="s">
        <v>49</v>
      </c>
      <c r="K762" s="330" t="s">
        <v>6560</v>
      </c>
      <c r="L762" s="25" t="str">
        <f>"RUTL-"&amp;RIGHT(K762,8)</f>
        <v>RUTL-1D2F6N02</v>
      </c>
      <c r="M762" s="34" t="s">
        <v>40</v>
      </c>
      <c r="N762" s="23" t="s">
        <v>54</v>
      </c>
      <c r="O762" s="23"/>
      <c r="P762" s="35" t="s">
        <v>46</v>
      </c>
      <c r="Q762" s="36" t="s">
        <v>146</v>
      </c>
      <c r="R762" s="15" t="s">
        <v>56</v>
      </c>
      <c r="S762" s="40" t="s">
        <v>57</v>
      </c>
      <c r="T762" s="118" t="s">
        <v>65</v>
      </c>
      <c r="U762" s="39" t="s">
        <v>3119</v>
      </c>
      <c r="V762" s="82"/>
      <c r="W762" s="23" t="s">
        <v>99</v>
      </c>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c r="BO762" s="30"/>
      <c r="BP762" s="30"/>
      <c r="BQ762" s="30"/>
      <c r="BR762" s="30"/>
      <c r="BS762" s="30"/>
      <c r="BT762" s="30"/>
      <c r="BU762" s="30"/>
      <c r="BV762" s="30"/>
      <c r="BW762" s="30"/>
      <c r="BX762" s="30"/>
      <c r="BY762" s="30"/>
      <c r="BZ762" s="30"/>
      <c r="CA762" s="30"/>
      <c r="CB762" s="30"/>
      <c r="CC762" s="30"/>
      <c r="CD762" s="30"/>
      <c r="CE762" s="30"/>
      <c r="CF762" s="30"/>
      <c r="CG762" s="30"/>
      <c r="CH762" s="30"/>
      <c r="CI762" s="30"/>
      <c r="CJ762" s="30"/>
      <c r="CK762" s="30"/>
      <c r="CL762" s="30"/>
      <c r="CM762" s="30"/>
      <c r="CN762" s="30"/>
      <c r="CO762" s="30"/>
      <c r="CP762" s="30"/>
      <c r="CQ762" s="30"/>
      <c r="CR762" s="30"/>
      <c r="CS762" s="30"/>
      <c r="CT762" s="30"/>
      <c r="CU762" s="30"/>
      <c r="CV762" s="30"/>
      <c r="CW762" s="30"/>
      <c r="CX762" s="30"/>
      <c r="CY762" s="30"/>
      <c r="CZ762" s="30"/>
      <c r="DA762" s="30"/>
      <c r="DB762" s="30"/>
      <c r="DC762" s="30"/>
      <c r="DD762" s="30"/>
      <c r="DE762" s="30"/>
      <c r="DF762" s="30"/>
      <c r="DG762" s="30"/>
      <c r="DH762" s="30"/>
      <c r="DI762" s="30"/>
      <c r="DJ762" s="30"/>
      <c r="DK762" s="30"/>
      <c r="DL762" s="30"/>
      <c r="DM762" s="30"/>
      <c r="DN762" s="30"/>
      <c r="DO762" s="30"/>
      <c r="DP762" s="30"/>
      <c r="DQ762" s="30"/>
      <c r="DR762" s="30"/>
      <c r="DS762" s="30"/>
      <c r="DT762" s="30"/>
      <c r="DU762" s="30"/>
      <c r="DV762" s="30"/>
      <c r="DW762" s="30"/>
      <c r="DX762" s="30"/>
      <c r="DY762" s="30"/>
      <c r="DZ762" s="30"/>
      <c r="EA762" s="30"/>
      <c r="EB762" s="30"/>
      <c r="EC762" s="30"/>
      <c r="ED762" s="30"/>
      <c r="EE762" s="30"/>
    </row>
    <row r="763" spans="1:135" ht="30" customHeight="1" thickBot="1" x14ac:dyDescent="0.3">
      <c r="A763" s="578" t="s">
        <v>6378</v>
      </c>
      <c r="B763" s="8">
        <v>15798</v>
      </c>
      <c r="C763" s="72" t="s">
        <v>6376</v>
      </c>
      <c r="D763" s="10" t="s">
        <v>24</v>
      </c>
      <c r="E763" s="11" t="s">
        <v>25</v>
      </c>
      <c r="F763" s="20" t="s">
        <v>6377</v>
      </c>
      <c r="G763" s="15" t="s">
        <v>2764</v>
      </c>
      <c r="H763" s="22" t="s">
        <v>550</v>
      </c>
      <c r="I763" s="296" t="s">
        <v>48</v>
      </c>
      <c r="J763" s="24" t="s">
        <v>49</v>
      </c>
      <c r="K763" s="23" t="s">
        <v>6379</v>
      </c>
      <c r="L763" s="25" t="str">
        <f>"RUTL-"&amp;RIGHT(K763,8)</f>
        <v>RUTL-0ECE6N02</v>
      </c>
      <c r="M763" s="34" t="s">
        <v>40</v>
      </c>
      <c r="N763" s="90" t="s">
        <v>54</v>
      </c>
      <c r="O763" s="32"/>
      <c r="P763" s="35" t="s">
        <v>46</v>
      </c>
      <c r="Q763" s="35" t="s">
        <v>6380</v>
      </c>
      <c r="R763" s="15" t="s">
        <v>56</v>
      </c>
      <c r="S763" s="40" t="s">
        <v>57</v>
      </c>
      <c r="T763" s="68" t="s">
        <v>453</v>
      </c>
      <c r="U763" s="39" t="s">
        <v>748</v>
      </c>
      <c r="V763" s="48">
        <v>46111</v>
      </c>
      <c r="W763" s="32" t="s">
        <v>67</v>
      </c>
      <c r="X763" s="71"/>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c r="DJ763" s="5"/>
      <c r="DK763" s="5"/>
      <c r="DL763" s="5"/>
      <c r="DM763" s="5"/>
      <c r="DN763" s="5"/>
      <c r="DO763" s="5"/>
      <c r="DP763" s="5"/>
      <c r="DQ763" s="5"/>
      <c r="DR763" s="5"/>
      <c r="DS763" s="5"/>
      <c r="DT763" s="5"/>
      <c r="DU763" s="5"/>
      <c r="DV763" s="5"/>
      <c r="DW763" s="5"/>
      <c r="DX763" s="5"/>
      <c r="DY763" s="5"/>
      <c r="DZ763" s="5"/>
      <c r="EA763" s="5"/>
      <c r="EB763" s="5"/>
      <c r="EC763" s="5"/>
      <c r="ED763" s="5"/>
      <c r="EE763" s="5"/>
    </row>
    <row r="764" spans="1:135" ht="30" customHeight="1" thickBot="1" x14ac:dyDescent="0.3">
      <c r="A764" s="578" t="s">
        <v>6398</v>
      </c>
      <c r="B764" s="8">
        <v>15841</v>
      </c>
      <c r="C764" s="72" t="s">
        <v>6395</v>
      </c>
      <c r="D764" s="10" t="s">
        <v>24</v>
      </c>
      <c r="E764" s="11" t="s">
        <v>25</v>
      </c>
      <c r="F764" s="20" t="s">
        <v>6396</v>
      </c>
      <c r="G764" s="15" t="s">
        <v>6397</v>
      </c>
      <c r="H764" s="22" t="s">
        <v>1454</v>
      </c>
      <c r="I764" s="54" t="s">
        <v>48</v>
      </c>
      <c r="J764" s="18" t="s">
        <v>49</v>
      </c>
      <c r="K764" s="23" t="s">
        <v>6399</v>
      </c>
      <c r="L764" s="25" t="str">
        <f>"RUTL-"&amp;RIGHT(K764,8)</f>
        <v>RUTL-1A9D6N02</v>
      </c>
      <c r="M764" s="34" t="s">
        <v>40</v>
      </c>
      <c r="N764" s="32" t="s">
        <v>54</v>
      </c>
      <c r="O764" s="23"/>
      <c r="P764" s="35" t="s">
        <v>46</v>
      </c>
      <c r="Q764" s="35" t="s">
        <v>6400</v>
      </c>
      <c r="R764" s="15" t="s">
        <v>56</v>
      </c>
      <c r="S764" s="37" t="s">
        <v>57</v>
      </c>
      <c r="T764" s="68" t="s">
        <v>453</v>
      </c>
      <c r="U764" s="39" t="s">
        <v>748</v>
      </c>
      <c r="V764" s="48">
        <v>46111</v>
      </c>
      <c r="W764" s="23" t="s">
        <v>67</v>
      </c>
      <c r="X764" s="71"/>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c r="DJ764" s="5"/>
      <c r="DK764" s="5"/>
      <c r="DL764" s="5"/>
      <c r="DM764" s="5"/>
      <c r="DN764" s="5"/>
      <c r="DO764" s="5"/>
      <c r="DP764" s="5"/>
      <c r="DQ764" s="5"/>
      <c r="DR764" s="5"/>
      <c r="DS764" s="5"/>
      <c r="DT764" s="5"/>
      <c r="DU764" s="5"/>
      <c r="DV764" s="5"/>
      <c r="DW764" s="5"/>
      <c r="DX764" s="5"/>
      <c r="DY764" s="5"/>
      <c r="DZ764" s="5"/>
      <c r="EA764" s="5"/>
      <c r="EB764" s="5"/>
      <c r="EC764" s="5"/>
      <c r="ED764" s="5"/>
      <c r="EE764" s="5"/>
    </row>
    <row r="765" spans="1:135" ht="30" customHeight="1" thickBot="1" x14ac:dyDescent="0.3">
      <c r="A765" s="578" t="s">
        <v>6447</v>
      </c>
      <c r="B765" s="51">
        <v>15933</v>
      </c>
      <c r="C765" s="69" t="s">
        <v>6445</v>
      </c>
      <c r="D765" s="10" t="s">
        <v>24</v>
      </c>
      <c r="E765" s="28" t="s">
        <v>25</v>
      </c>
      <c r="F765" s="12" t="s">
        <v>6446</v>
      </c>
      <c r="G765" s="15" t="s">
        <v>2764</v>
      </c>
      <c r="H765" s="22" t="s">
        <v>550</v>
      </c>
      <c r="I765" s="142" t="s">
        <v>48</v>
      </c>
      <c r="J765" s="18" t="s">
        <v>49</v>
      </c>
      <c r="K765" s="32" t="s">
        <v>6448</v>
      </c>
      <c r="L765" s="25" t="str">
        <f>"RUTL-"&amp;RIGHT(K765,8)</f>
        <v>RUTL-1A786N02</v>
      </c>
      <c r="M765" s="34" t="s">
        <v>40</v>
      </c>
      <c r="N765" s="39" t="s">
        <v>43</v>
      </c>
      <c r="O765" s="23"/>
      <c r="P765" s="35" t="s">
        <v>46</v>
      </c>
      <c r="Q765" s="285" t="s">
        <v>6449</v>
      </c>
      <c r="R765" s="15" t="s">
        <v>56</v>
      </c>
      <c r="S765" s="40" t="s">
        <v>57</v>
      </c>
      <c r="T765" s="105" t="s">
        <v>148</v>
      </c>
      <c r="U765" s="39" t="s">
        <v>6450</v>
      </c>
      <c r="V765" s="48">
        <v>46111</v>
      </c>
      <c r="W765" s="32" t="s">
        <v>67</v>
      </c>
      <c r="X765" s="154"/>
    </row>
    <row r="766" spans="1:135" ht="30" customHeight="1" thickBot="1" x14ac:dyDescent="0.3">
      <c r="A766" s="578" t="s">
        <v>6147</v>
      </c>
      <c r="B766" s="16">
        <v>15261</v>
      </c>
      <c r="C766" s="9" t="s">
        <v>6145</v>
      </c>
      <c r="D766" s="10" t="s">
        <v>24</v>
      </c>
      <c r="E766" s="11" t="s">
        <v>25</v>
      </c>
      <c r="F766" s="20" t="s">
        <v>6146</v>
      </c>
      <c r="G766" s="15" t="s">
        <v>2764</v>
      </c>
      <c r="H766" s="22" t="s">
        <v>550</v>
      </c>
      <c r="I766" s="18" t="s">
        <v>48</v>
      </c>
      <c r="J766" s="18" t="s">
        <v>49</v>
      </c>
      <c r="K766" s="23" t="s">
        <v>6148</v>
      </c>
      <c r="L766" s="25" t="str">
        <f>"RUTL-"&amp;RIGHT(K766,8)</f>
        <v>RUTL-1A496N02</v>
      </c>
      <c r="M766" s="34" t="s">
        <v>40</v>
      </c>
      <c r="N766" s="39" t="s">
        <v>43</v>
      </c>
      <c r="O766" s="23"/>
      <c r="P766" s="35" t="s">
        <v>46</v>
      </c>
      <c r="Q766" s="285" t="s">
        <v>6149</v>
      </c>
      <c r="R766" s="15" t="s">
        <v>56</v>
      </c>
      <c r="S766" s="37" t="s">
        <v>57</v>
      </c>
      <c r="T766" s="105" t="s">
        <v>148</v>
      </c>
      <c r="U766" s="39" t="s">
        <v>4904</v>
      </c>
      <c r="V766" s="48">
        <v>46111</v>
      </c>
      <c r="W766" s="23" t="s">
        <v>67</v>
      </c>
      <c r="X766" s="71"/>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row>
    <row r="767" spans="1:135" ht="30" customHeight="1" thickBot="1" x14ac:dyDescent="0.3">
      <c r="A767" s="578" t="s">
        <v>2853</v>
      </c>
      <c r="B767" s="51" t="s">
        <v>2849</v>
      </c>
      <c r="C767" s="69" t="s">
        <v>2850</v>
      </c>
      <c r="D767" s="10" t="s">
        <v>24</v>
      </c>
      <c r="E767" s="11" t="s">
        <v>25</v>
      </c>
      <c r="F767" s="12" t="s">
        <v>2851</v>
      </c>
      <c r="G767" s="15" t="s">
        <v>2852</v>
      </c>
      <c r="H767" s="22" t="s">
        <v>550</v>
      </c>
      <c r="I767" s="24" t="s">
        <v>48</v>
      </c>
      <c r="J767" s="24" t="s">
        <v>49</v>
      </c>
      <c r="K767" s="32" t="s">
        <v>2854</v>
      </c>
      <c r="L767" s="21" t="str">
        <f>"RUTL-"&amp;RIGHT(K767,8)</f>
        <v>RUTL-1A876N02</v>
      </c>
      <c r="M767" s="92" t="s">
        <v>40</v>
      </c>
      <c r="N767" s="90" t="s">
        <v>54</v>
      </c>
      <c r="O767" s="32"/>
      <c r="P767" s="35" t="s">
        <v>46</v>
      </c>
      <c r="Q767" s="35" t="s">
        <v>2855</v>
      </c>
      <c r="R767" s="15" t="s">
        <v>56</v>
      </c>
      <c r="S767" s="40" t="s">
        <v>57</v>
      </c>
      <c r="T767" s="68" t="s">
        <v>1390</v>
      </c>
      <c r="U767" s="39" t="s">
        <v>2857</v>
      </c>
      <c r="V767" s="48">
        <v>46111</v>
      </c>
      <c r="W767" s="32" t="s">
        <v>67</v>
      </c>
      <c r="X767" s="24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c r="DV767" s="5"/>
      <c r="DW767" s="5"/>
      <c r="DX767" s="5"/>
      <c r="DY767" s="5"/>
      <c r="DZ767" s="5"/>
      <c r="EA767" s="5"/>
      <c r="EB767" s="5"/>
      <c r="EC767" s="5"/>
      <c r="ED767" s="5"/>
      <c r="EE767" s="5"/>
    </row>
    <row r="768" spans="1:135" ht="30" customHeight="1" thickBot="1" x14ac:dyDescent="0.3">
      <c r="A768" s="578" t="s">
        <v>4569</v>
      </c>
      <c r="B768" s="51">
        <v>9173</v>
      </c>
      <c r="C768" s="72" t="s">
        <v>4565</v>
      </c>
      <c r="D768" s="10" t="s">
        <v>24</v>
      </c>
      <c r="E768" s="11" t="s">
        <v>25</v>
      </c>
      <c r="F768" s="12" t="s">
        <v>4566</v>
      </c>
      <c r="G768" s="15" t="s">
        <v>4567</v>
      </c>
      <c r="H768" s="22" t="s">
        <v>4568</v>
      </c>
      <c r="I768" s="24" t="s">
        <v>48</v>
      </c>
      <c r="J768" s="24" t="s">
        <v>49</v>
      </c>
      <c r="K768" s="33" t="s">
        <v>4570</v>
      </c>
      <c r="L768" s="25" t="str">
        <f>"RUTL-"&amp;RIGHT(K768,8)</f>
        <v>RUTL-1A6F6N02</v>
      </c>
      <c r="M768" s="92" t="s">
        <v>40</v>
      </c>
      <c r="N768" s="90" t="s">
        <v>54</v>
      </c>
      <c r="O768" s="32"/>
      <c r="P768" s="35" t="s">
        <v>46</v>
      </c>
      <c r="Q768" s="352" t="s">
        <v>4571</v>
      </c>
      <c r="R768" s="15" t="s">
        <v>56</v>
      </c>
      <c r="S768" s="40" t="s">
        <v>57</v>
      </c>
      <c r="T768" s="68" t="s">
        <v>453</v>
      </c>
      <c r="U768" s="39" t="s">
        <v>748</v>
      </c>
      <c r="V768" s="48">
        <v>46111</v>
      </c>
      <c r="W768" s="32" t="s">
        <v>67</v>
      </c>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row>
    <row r="769" spans="1:135" ht="30" customHeight="1" thickBot="1" x14ac:dyDescent="0.3">
      <c r="A769" s="578" t="s">
        <v>6420</v>
      </c>
      <c r="B769" s="51">
        <v>15890</v>
      </c>
      <c r="C769" s="72" t="s">
        <v>6418</v>
      </c>
      <c r="D769" s="10" t="s">
        <v>24</v>
      </c>
      <c r="E769" s="11" t="s">
        <v>25</v>
      </c>
      <c r="F769" s="20" t="s">
        <v>6419</v>
      </c>
      <c r="G769" s="15" t="s">
        <v>2512</v>
      </c>
      <c r="H769" s="22" t="s">
        <v>5065</v>
      </c>
      <c r="I769" s="18" t="s">
        <v>48</v>
      </c>
      <c r="J769" s="18" t="s">
        <v>49</v>
      </c>
      <c r="K769" s="23" t="s">
        <v>6421</v>
      </c>
      <c r="L769" s="25" t="str">
        <f>"RUTL-"&amp;RIGHT(K769,8)</f>
        <v>RUTL-1A576N02</v>
      </c>
      <c r="M769" s="34" t="s">
        <v>40</v>
      </c>
      <c r="N769" s="32" t="s">
        <v>54</v>
      </c>
      <c r="O769" s="23"/>
      <c r="P769" s="35" t="s">
        <v>46</v>
      </c>
      <c r="Q769" s="35" t="s">
        <v>6422</v>
      </c>
      <c r="R769" s="15" t="s">
        <v>56</v>
      </c>
      <c r="S769" s="37" t="s">
        <v>57</v>
      </c>
      <c r="T769" s="68" t="s">
        <v>453</v>
      </c>
      <c r="U769" s="39" t="s">
        <v>748</v>
      </c>
      <c r="V769" s="48">
        <v>46111</v>
      </c>
      <c r="W769" s="23" t="s">
        <v>67</v>
      </c>
      <c r="X769" s="24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row>
    <row r="770" spans="1:135" ht="30" customHeight="1" x14ac:dyDescent="0.25">
      <c r="A770" s="578" t="s">
        <v>6047</v>
      </c>
      <c r="B770" s="437">
        <v>14937</v>
      </c>
      <c r="C770" s="72" t="s">
        <v>6045</v>
      </c>
      <c r="D770" s="10" t="s">
        <v>24</v>
      </c>
      <c r="E770" s="11" t="s">
        <v>25</v>
      </c>
      <c r="F770" s="20" t="s">
        <v>6046</v>
      </c>
      <c r="G770" s="15" t="s">
        <v>1961</v>
      </c>
      <c r="H770" s="22" t="s">
        <v>5065</v>
      </c>
      <c r="I770" s="54" t="s">
        <v>48</v>
      </c>
      <c r="J770" s="18" t="s">
        <v>49</v>
      </c>
      <c r="K770" s="23" t="s">
        <v>6048</v>
      </c>
      <c r="L770" s="25" t="str">
        <f>"RUTL-"&amp;RIGHT(K770,8)</f>
        <v>RUTL-1A866N02</v>
      </c>
      <c r="M770" s="34" t="s">
        <v>40</v>
      </c>
      <c r="N770" s="39" t="s">
        <v>54</v>
      </c>
      <c r="O770" s="23"/>
      <c r="P770" s="35" t="s">
        <v>46</v>
      </c>
      <c r="Q770" s="36" t="s">
        <v>146</v>
      </c>
      <c r="R770" s="15" t="s">
        <v>56</v>
      </c>
      <c r="S770" s="37" t="s">
        <v>57</v>
      </c>
      <c r="T770" s="107" t="s">
        <v>453</v>
      </c>
      <c r="U770" s="39" t="s">
        <v>748</v>
      </c>
      <c r="V770" s="48">
        <v>46111</v>
      </c>
      <c r="W770" s="23" t="s">
        <v>67</v>
      </c>
      <c r="X770" s="30"/>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c r="DG770" s="5"/>
      <c r="DH770" s="5"/>
      <c r="DI770" s="5"/>
      <c r="DJ770" s="5"/>
      <c r="DK770" s="5"/>
      <c r="DL770" s="5"/>
      <c r="DM770" s="5"/>
      <c r="DN770" s="5"/>
      <c r="DO770" s="5"/>
      <c r="DP770" s="5"/>
      <c r="DQ770" s="5"/>
      <c r="DR770" s="5"/>
      <c r="DS770" s="5"/>
      <c r="DT770" s="5"/>
      <c r="DU770" s="5"/>
      <c r="DV770" s="5"/>
      <c r="DW770" s="5"/>
      <c r="DX770" s="5"/>
      <c r="DY770" s="5"/>
      <c r="DZ770" s="5"/>
      <c r="EA770" s="5"/>
      <c r="EB770" s="5"/>
      <c r="EC770" s="5"/>
      <c r="ED770" s="5"/>
      <c r="EE770" s="5"/>
    </row>
    <row r="771" spans="1:135" ht="30" customHeight="1" thickBot="1" x14ac:dyDescent="0.3">
      <c r="A771" s="578" t="s">
        <v>6636</v>
      </c>
      <c r="B771" s="16">
        <v>16387</v>
      </c>
      <c r="C771" s="72" t="s">
        <v>6634</v>
      </c>
      <c r="D771" s="10" t="s">
        <v>24</v>
      </c>
      <c r="E771" s="11" t="s">
        <v>25</v>
      </c>
      <c r="F771" s="29" t="s">
        <v>6635</v>
      </c>
      <c r="G771" s="15" t="s">
        <v>889</v>
      </c>
      <c r="H771" s="22" t="s">
        <v>6068</v>
      </c>
      <c r="I771" s="205" t="s">
        <v>135</v>
      </c>
      <c r="J771" s="24" t="s">
        <v>32</v>
      </c>
      <c r="K771" s="23" t="s">
        <v>6637</v>
      </c>
      <c r="L771" s="25" t="str">
        <f>"RUTL-"&amp;RIGHT(K771,8)</f>
        <v>RUTL-PW0K0D40</v>
      </c>
      <c r="M771" s="34" t="s">
        <v>40</v>
      </c>
      <c r="N771" s="39" t="s">
        <v>54</v>
      </c>
      <c r="O771" s="32"/>
      <c r="P771" s="35" t="s">
        <v>46</v>
      </c>
      <c r="Q771" s="36" t="s">
        <v>6638</v>
      </c>
      <c r="R771" s="15" t="s">
        <v>56</v>
      </c>
      <c r="S771" s="40" t="s">
        <v>57</v>
      </c>
      <c r="T771" s="118" t="s">
        <v>65</v>
      </c>
      <c r="U771" s="39" t="s">
        <v>4060</v>
      </c>
      <c r="V771" s="43">
        <v>46122</v>
      </c>
      <c r="W771" s="32" t="s">
        <v>62</v>
      </c>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row>
    <row r="772" spans="1:135" ht="30" customHeight="1" thickBot="1" x14ac:dyDescent="0.3">
      <c r="A772" s="578" t="s">
        <v>6625</v>
      </c>
      <c r="B772" s="16">
        <v>16384</v>
      </c>
      <c r="C772" s="72" t="s">
        <v>6623</v>
      </c>
      <c r="D772" s="10" t="s">
        <v>24</v>
      </c>
      <c r="E772" s="11" t="s">
        <v>25</v>
      </c>
      <c r="F772" s="12" t="s">
        <v>6624</v>
      </c>
      <c r="G772" s="15" t="s">
        <v>889</v>
      </c>
      <c r="H772" s="22" t="s">
        <v>6068</v>
      </c>
      <c r="I772" s="296" t="s">
        <v>135</v>
      </c>
      <c r="J772" s="24" t="s">
        <v>32</v>
      </c>
      <c r="K772" s="23" t="s">
        <v>6626</v>
      </c>
      <c r="L772" s="25" t="str">
        <f>"RUTL-"&amp;RIGHT(K772,8)</f>
        <v>RUTL-PW0K0DNJ</v>
      </c>
      <c r="M772" s="34" t="s">
        <v>40</v>
      </c>
      <c r="N772" s="39" t="s">
        <v>54</v>
      </c>
      <c r="O772" s="32"/>
      <c r="P772" s="35" t="s">
        <v>46</v>
      </c>
      <c r="Q772" s="36" t="s">
        <v>6627</v>
      </c>
      <c r="R772" s="15" t="s">
        <v>56</v>
      </c>
      <c r="S772" s="40" t="s">
        <v>57</v>
      </c>
      <c r="T772" s="118" t="s">
        <v>65</v>
      </c>
      <c r="U772" s="39" t="s">
        <v>4060</v>
      </c>
      <c r="V772" s="270">
        <v>46122</v>
      </c>
      <c r="W772" s="32" t="s">
        <v>62</v>
      </c>
      <c r="X772" s="71"/>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c r="DJ772" s="5"/>
      <c r="DK772" s="5"/>
      <c r="DL772" s="5"/>
      <c r="DM772" s="5"/>
      <c r="DN772" s="5"/>
      <c r="DO772" s="5"/>
      <c r="DP772" s="5"/>
      <c r="DQ772" s="5"/>
      <c r="DR772" s="5"/>
      <c r="DS772" s="5"/>
      <c r="DT772" s="5"/>
      <c r="DU772" s="5"/>
      <c r="DV772" s="5"/>
      <c r="DW772" s="5"/>
      <c r="DX772" s="5"/>
      <c r="DY772" s="5"/>
      <c r="DZ772" s="5"/>
      <c r="EA772" s="5"/>
      <c r="EB772" s="5"/>
      <c r="EC772" s="5"/>
      <c r="ED772" s="5"/>
      <c r="EE772" s="5"/>
    </row>
    <row r="773" spans="1:135" ht="30" customHeight="1" thickBot="1" x14ac:dyDescent="0.3">
      <c r="A773" s="578" t="s">
        <v>1649</v>
      </c>
      <c r="B773" s="159" t="s">
        <v>661</v>
      </c>
      <c r="C773" s="99" t="s">
        <v>1605</v>
      </c>
      <c r="D773" s="10" t="s">
        <v>24</v>
      </c>
      <c r="E773" s="28" t="s">
        <v>25</v>
      </c>
      <c r="F773" s="339"/>
      <c r="G773" s="12" t="s">
        <v>1607</v>
      </c>
      <c r="H773" s="22" t="s">
        <v>1647</v>
      </c>
      <c r="I773" s="296" t="s">
        <v>135</v>
      </c>
      <c r="J773" s="24" t="s">
        <v>32</v>
      </c>
      <c r="K773" s="371" t="s">
        <v>1654</v>
      </c>
      <c r="L773" s="21" t="str">
        <f>"RUTL-"&amp;RIGHT(K773,8)</f>
        <v>RUTL-PW0K0DGQ</v>
      </c>
      <c r="M773" s="34" t="s">
        <v>40</v>
      </c>
      <c r="N773" s="23" t="s">
        <v>54</v>
      </c>
      <c r="O773" s="94"/>
      <c r="P773" s="45" t="s">
        <v>46</v>
      </c>
      <c r="Q773" s="35" t="s">
        <v>1662</v>
      </c>
      <c r="R773" s="15" t="s">
        <v>56</v>
      </c>
      <c r="S773" s="40" t="s">
        <v>1664</v>
      </c>
      <c r="T773" s="68" t="s">
        <v>453</v>
      </c>
      <c r="U773" s="47" t="s">
        <v>1672</v>
      </c>
      <c r="V773" s="270">
        <v>46122</v>
      </c>
      <c r="W773" s="32" t="s">
        <v>62</v>
      </c>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c r="BO773" s="30"/>
      <c r="BP773" s="30"/>
      <c r="BQ773" s="30"/>
      <c r="BR773" s="30"/>
      <c r="BS773" s="30"/>
      <c r="BT773" s="30"/>
      <c r="BU773" s="30"/>
      <c r="BV773" s="30"/>
      <c r="BW773" s="30"/>
      <c r="BX773" s="30"/>
      <c r="BY773" s="30"/>
      <c r="BZ773" s="30"/>
      <c r="CA773" s="30"/>
      <c r="CB773" s="30"/>
      <c r="CC773" s="30"/>
      <c r="CD773" s="30"/>
      <c r="CE773" s="30"/>
      <c r="CF773" s="30"/>
      <c r="CG773" s="30"/>
      <c r="CH773" s="30"/>
      <c r="CI773" s="30"/>
      <c r="CJ773" s="30"/>
      <c r="CK773" s="30"/>
      <c r="CL773" s="30"/>
      <c r="CM773" s="30"/>
      <c r="CN773" s="30"/>
      <c r="CO773" s="30"/>
      <c r="CP773" s="30"/>
      <c r="CQ773" s="30"/>
      <c r="CR773" s="30"/>
      <c r="CS773" s="30"/>
      <c r="CT773" s="30"/>
      <c r="CU773" s="30"/>
      <c r="CV773" s="30"/>
      <c r="CW773" s="30"/>
      <c r="CX773" s="30"/>
      <c r="CY773" s="30"/>
      <c r="CZ773" s="30"/>
      <c r="DA773" s="30"/>
      <c r="DB773" s="30"/>
      <c r="DC773" s="30"/>
      <c r="DD773" s="30"/>
      <c r="DE773" s="30"/>
      <c r="DF773" s="30"/>
      <c r="DG773" s="30"/>
      <c r="DH773" s="30"/>
      <c r="DI773" s="30"/>
      <c r="DJ773" s="30"/>
      <c r="DK773" s="30"/>
      <c r="DL773" s="30"/>
      <c r="DM773" s="30"/>
      <c r="DN773" s="30"/>
      <c r="DO773" s="30"/>
      <c r="DP773" s="30"/>
      <c r="DQ773" s="30"/>
      <c r="DR773" s="30"/>
      <c r="DS773" s="30"/>
      <c r="DT773" s="30"/>
      <c r="DU773" s="30"/>
      <c r="DV773" s="30"/>
      <c r="DW773" s="30"/>
      <c r="DX773" s="30"/>
      <c r="DY773" s="30"/>
      <c r="DZ773" s="30"/>
      <c r="EA773" s="30"/>
      <c r="EB773" s="30"/>
      <c r="EC773" s="30"/>
      <c r="ED773" s="30"/>
      <c r="EE773" s="30"/>
    </row>
    <row r="774" spans="1:135" ht="30" customHeight="1" thickBot="1" x14ac:dyDescent="0.3">
      <c r="A774" s="578" t="s">
        <v>6646</v>
      </c>
      <c r="B774" s="51">
        <v>16389</v>
      </c>
      <c r="C774" s="52" t="s">
        <v>6644</v>
      </c>
      <c r="D774" s="10" t="s">
        <v>24</v>
      </c>
      <c r="E774" s="28" t="s">
        <v>25</v>
      </c>
      <c r="F774" s="20" t="s">
        <v>6645</v>
      </c>
      <c r="G774" s="15" t="s">
        <v>889</v>
      </c>
      <c r="H774" s="17" t="s">
        <v>891</v>
      </c>
      <c r="I774" s="296" t="s">
        <v>135</v>
      </c>
      <c r="J774" s="24" t="s">
        <v>32</v>
      </c>
      <c r="K774" s="371" t="s">
        <v>6647</v>
      </c>
      <c r="L774" s="25" t="str">
        <f>"RUTL-"&amp;RIGHT(K774,8)</f>
        <v>RUTL-PW0K0DXN</v>
      </c>
      <c r="M774" s="34" t="s">
        <v>40</v>
      </c>
      <c r="N774" s="23" t="s">
        <v>54</v>
      </c>
      <c r="O774" s="32"/>
      <c r="P774" s="35" t="s">
        <v>46</v>
      </c>
      <c r="Q774" s="36" t="s">
        <v>6648</v>
      </c>
      <c r="R774" s="15" t="s">
        <v>56</v>
      </c>
      <c r="S774" s="37" t="s">
        <v>57</v>
      </c>
      <c r="T774" s="118" t="s">
        <v>65</v>
      </c>
      <c r="U774" s="39" t="s">
        <v>6649</v>
      </c>
      <c r="V774" s="270">
        <v>46122</v>
      </c>
      <c r="W774" s="32" t="s">
        <v>62</v>
      </c>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c r="BO774" s="30"/>
      <c r="BP774" s="30"/>
      <c r="BQ774" s="30"/>
      <c r="BR774" s="30"/>
      <c r="BS774" s="30"/>
      <c r="BT774" s="30"/>
      <c r="BU774" s="30"/>
      <c r="BV774" s="30"/>
      <c r="BW774" s="30"/>
      <c r="BX774" s="30"/>
      <c r="BY774" s="30"/>
      <c r="BZ774" s="30"/>
      <c r="CA774" s="30"/>
      <c r="CB774" s="30"/>
      <c r="CC774" s="30"/>
      <c r="CD774" s="30"/>
      <c r="CE774" s="30"/>
      <c r="CF774" s="30"/>
      <c r="CG774" s="30"/>
      <c r="CH774" s="30"/>
      <c r="CI774" s="30"/>
      <c r="CJ774" s="30"/>
      <c r="CK774" s="30"/>
      <c r="CL774" s="30"/>
      <c r="CM774" s="30"/>
      <c r="CN774" s="30"/>
      <c r="CO774" s="30"/>
      <c r="CP774" s="30"/>
      <c r="CQ774" s="30"/>
      <c r="CR774" s="30"/>
      <c r="CS774" s="30"/>
      <c r="CT774" s="30"/>
      <c r="CU774" s="30"/>
      <c r="CV774" s="30"/>
      <c r="CW774" s="30"/>
      <c r="CX774" s="30"/>
      <c r="CY774" s="30"/>
      <c r="CZ774" s="30"/>
      <c r="DA774" s="30"/>
      <c r="DB774" s="30"/>
      <c r="DC774" s="30"/>
      <c r="DD774" s="30"/>
      <c r="DE774" s="30"/>
      <c r="DF774" s="30"/>
      <c r="DG774" s="30"/>
      <c r="DH774" s="30"/>
      <c r="DI774" s="30"/>
      <c r="DJ774" s="30"/>
      <c r="DK774" s="30"/>
      <c r="DL774" s="30"/>
      <c r="DM774" s="30"/>
      <c r="DN774" s="30"/>
      <c r="DO774" s="30"/>
      <c r="DP774" s="30"/>
      <c r="DQ774" s="30"/>
      <c r="DR774" s="30"/>
      <c r="DS774" s="30"/>
      <c r="DT774" s="30"/>
      <c r="DU774" s="30"/>
      <c r="DV774" s="30"/>
      <c r="DW774" s="30"/>
      <c r="DX774" s="30"/>
      <c r="DY774" s="30"/>
      <c r="DZ774" s="30"/>
      <c r="EA774" s="30"/>
      <c r="EB774" s="30"/>
      <c r="EC774" s="30"/>
      <c r="ED774" s="30"/>
      <c r="EE774" s="30"/>
    </row>
    <row r="775" spans="1:135" ht="30" customHeight="1" thickBot="1" x14ac:dyDescent="0.3">
      <c r="A775" s="578" t="s">
        <v>6677</v>
      </c>
      <c r="B775" s="8">
        <v>16468</v>
      </c>
      <c r="C775" s="72" t="s">
        <v>6675</v>
      </c>
      <c r="D775" s="10" t="s">
        <v>24</v>
      </c>
      <c r="E775" s="11" t="s">
        <v>25</v>
      </c>
      <c r="F775" s="20" t="s">
        <v>6676</v>
      </c>
      <c r="G775" s="15" t="s">
        <v>889</v>
      </c>
      <c r="H775" s="22" t="s">
        <v>6068</v>
      </c>
      <c r="I775" s="24" t="s">
        <v>135</v>
      </c>
      <c r="J775" s="24" t="s">
        <v>32</v>
      </c>
      <c r="K775" s="23" t="s">
        <v>6678</v>
      </c>
      <c r="L775" s="25" t="str">
        <f>"RUTL-"&amp;RIGHT(K775,8)</f>
        <v>RUTL-PW0K0DTN</v>
      </c>
      <c r="M775" s="34" t="s">
        <v>40</v>
      </c>
      <c r="N775" s="32"/>
      <c r="O775" s="32"/>
      <c r="P775" s="35" t="s">
        <v>46</v>
      </c>
      <c r="Q775" s="36" t="s">
        <v>6679</v>
      </c>
      <c r="R775" s="15" t="s">
        <v>56</v>
      </c>
      <c r="S775" s="40" t="s">
        <v>57</v>
      </c>
      <c r="T775" s="118" t="s">
        <v>65</v>
      </c>
      <c r="U775" s="39" t="s">
        <v>3193</v>
      </c>
      <c r="V775" s="43">
        <v>46122</v>
      </c>
      <c r="W775" s="32" t="s">
        <v>62</v>
      </c>
      <c r="X775" s="71"/>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c r="DJ775" s="5"/>
      <c r="DK775" s="5"/>
      <c r="DL775" s="5"/>
      <c r="DM775" s="5"/>
      <c r="DN775" s="5"/>
      <c r="DO775" s="5"/>
      <c r="DP775" s="5"/>
      <c r="DQ775" s="5"/>
      <c r="DR775" s="5"/>
      <c r="DS775" s="5"/>
      <c r="DT775" s="5"/>
      <c r="DU775" s="5"/>
      <c r="DV775" s="5"/>
      <c r="DW775" s="5"/>
      <c r="DX775" s="5"/>
      <c r="DY775" s="5"/>
      <c r="DZ775" s="5"/>
      <c r="EA775" s="5"/>
      <c r="EB775" s="5"/>
      <c r="EC775" s="5"/>
      <c r="ED775" s="5"/>
      <c r="EE775" s="5"/>
    </row>
    <row r="776" spans="1:135" ht="30" customHeight="1" thickBot="1" x14ac:dyDescent="0.3">
      <c r="A776" s="578" t="s">
        <v>6712</v>
      </c>
      <c r="B776" s="51">
        <v>16532</v>
      </c>
      <c r="C776" s="72" t="s">
        <v>6710</v>
      </c>
      <c r="D776" s="10" t="s">
        <v>24</v>
      </c>
      <c r="E776" s="11" t="s">
        <v>25</v>
      </c>
      <c r="F776" s="29" t="s">
        <v>6711</v>
      </c>
      <c r="G776" s="15" t="s">
        <v>889</v>
      </c>
      <c r="H776" s="22" t="s">
        <v>6068</v>
      </c>
      <c r="I776" s="205" t="s">
        <v>135</v>
      </c>
      <c r="J776" s="24" t="s">
        <v>32</v>
      </c>
      <c r="K776" s="23" t="s">
        <v>6713</v>
      </c>
      <c r="L776" s="25" t="str">
        <f>"RUTL-"&amp;RIGHT(K776,8)</f>
        <v>RUTL-PW0K0DBK</v>
      </c>
      <c r="M776" s="34" t="s">
        <v>40</v>
      </c>
      <c r="N776" s="23" t="s">
        <v>54</v>
      </c>
      <c r="O776" s="94"/>
      <c r="P776" s="45" t="s">
        <v>46</v>
      </c>
      <c r="Q776" s="35" t="s">
        <v>6714</v>
      </c>
      <c r="R776" s="15" t="s">
        <v>56</v>
      </c>
      <c r="S776" s="40" t="s">
        <v>57</v>
      </c>
      <c r="T776" s="118" t="s">
        <v>65</v>
      </c>
      <c r="U776" s="39" t="s">
        <v>6417</v>
      </c>
      <c r="V776" s="43">
        <v>46122</v>
      </c>
      <c r="W776" s="32" t="s">
        <v>62</v>
      </c>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row>
    <row r="777" spans="1:135" ht="30" customHeight="1" thickBot="1" x14ac:dyDescent="0.3">
      <c r="A777" s="578" t="s">
        <v>7370</v>
      </c>
      <c r="B777" s="51">
        <v>18499</v>
      </c>
      <c r="C777" s="69" t="s">
        <v>7368</v>
      </c>
      <c r="D777" s="10" t="s">
        <v>24</v>
      </c>
      <c r="E777" s="28" t="s">
        <v>25</v>
      </c>
      <c r="F777" s="20" t="s">
        <v>7369</v>
      </c>
      <c r="G777" s="15" t="s">
        <v>889</v>
      </c>
      <c r="H777" s="22" t="s">
        <v>6068</v>
      </c>
      <c r="I777" s="24" t="s">
        <v>135</v>
      </c>
      <c r="J777" s="24" t="s">
        <v>32</v>
      </c>
      <c r="K777" s="33" t="s">
        <v>7371</v>
      </c>
      <c r="L777" s="25" t="str">
        <f>"RUTL-"&amp;RIGHT(K777,8)</f>
        <v>RUTL-PW0K0DRW</v>
      </c>
      <c r="M777" s="34" t="s">
        <v>40</v>
      </c>
      <c r="N777" s="23" t="s">
        <v>54</v>
      </c>
      <c r="O777" s="32"/>
      <c r="P777" s="35" t="s">
        <v>46</v>
      </c>
      <c r="Q777" s="36" t="s">
        <v>7372</v>
      </c>
      <c r="R777" s="15" t="s">
        <v>56</v>
      </c>
      <c r="S777" s="37" t="s">
        <v>57</v>
      </c>
      <c r="T777" s="107" t="s">
        <v>453</v>
      </c>
      <c r="U777" s="39" t="s">
        <v>7373</v>
      </c>
      <c r="V777" s="270">
        <v>46122</v>
      </c>
      <c r="W777" s="32" t="s">
        <v>62</v>
      </c>
      <c r="X777" s="71"/>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c r="DG777" s="5"/>
      <c r="DH777" s="5"/>
      <c r="DI777" s="5"/>
      <c r="DJ777" s="5"/>
      <c r="DK777" s="5"/>
      <c r="DL777" s="5"/>
      <c r="DM777" s="5"/>
      <c r="DN777" s="5"/>
      <c r="DO777" s="5"/>
      <c r="DP777" s="5"/>
      <c r="DQ777" s="5"/>
      <c r="DR777" s="5"/>
      <c r="DS777" s="5"/>
      <c r="DT777" s="5"/>
      <c r="DU777" s="5"/>
      <c r="DV777" s="5"/>
      <c r="DW777" s="5"/>
      <c r="DX777" s="5"/>
      <c r="DY777" s="5"/>
      <c r="DZ777" s="5"/>
      <c r="EA777" s="5"/>
      <c r="EB777" s="5"/>
      <c r="EC777" s="5"/>
      <c r="ED777" s="5"/>
      <c r="EE777" s="5"/>
    </row>
    <row r="778" spans="1:135" ht="30" customHeight="1" x14ac:dyDescent="0.25">
      <c r="A778" s="578" t="s">
        <v>6706</v>
      </c>
      <c r="B778" s="16">
        <v>16529</v>
      </c>
      <c r="C778" s="52" t="s">
        <v>6704</v>
      </c>
      <c r="D778" s="10" t="s">
        <v>24</v>
      </c>
      <c r="E778" s="28" t="s">
        <v>25</v>
      </c>
      <c r="F778" s="12" t="s">
        <v>6705</v>
      </c>
      <c r="G778" s="15" t="s">
        <v>2764</v>
      </c>
      <c r="H778" s="22" t="s">
        <v>550</v>
      </c>
      <c r="I778" s="205" t="s">
        <v>135</v>
      </c>
      <c r="J778" s="24" t="s">
        <v>32</v>
      </c>
      <c r="K778" s="23" t="s">
        <v>6707</v>
      </c>
      <c r="L778" s="25" t="str">
        <f>"RUTL-"&amp;RIGHT(K778,8)</f>
        <v>RUTL-PW0K0DSB</v>
      </c>
      <c r="M778" s="34" t="s">
        <v>40</v>
      </c>
      <c r="N778" s="23" t="s">
        <v>54</v>
      </c>
      <c r="O778" s="32"/>
      <c r="P778" s="35" t="s">
        <v>46</v>
      </c>
      <c r="Q778" s="36" t="s">
        <v>6708</v>
      </c>
      <c r="R778" s="15" t="s">
        <v>56</v>
      </c>
      <c r="S778" s="37" t="s">
        <v>57</v>
      </c>
      <c r="T778" s="118" t="s">
        <v>65</v>
      </c>
      <c r="U778" s="39" t="s">
        <v>6709</v>
      </c>
      <c r="V778" s="43">
        <v>46122</v>
      </c>
      <c r="W778" s="32" t="s">
        <v>62</v>
      </c>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row>
    <row r="779" spans="1:135" ht="30" customHeight="1" x14ac:dyDescent="0.25">
      <c r="A779" s="578" t="s">
        <v>6658</v>
      </c>
      <c r="B779" s="344">
        <v>16435</v>
      </c>
      <c r="C779" s="72" t="s">
        <v>6656</v>
      </c>
      <c r="D779" s="10" t="s">
        <v>24</v>
      </c>
      <c r="E779" s="11" t="s">
        <v>25</v>
      </c>
      <c r="F779" s="20" t="s">
        <v>6657</v>
      </c>
      <c r="G779" s="15" t="s">
        <v>889</v>
      </c>
      <c r="H779" s="22" t="s">
        <v>6068</v>
      </c>
      <c r="I779" s="205" t="s">
        <v>135</v>
      </c>
      <c r="J779" s="24" t="s">
        <v>32</v>
      </c>
      <c r="K779" s="23" t="s">
        <v>6659</v>
      </c>
      <c r="L779" s="25" t="str">
        <f>"RUTL-"&amp;RIGHT(K779,8)</f>
        <v>RUTL-PW0K0DZS</v>
      </c>
      <c r="M779" s="34" t="s">
        <v>40</v>
      </c>
      <c r="N779" s="23" t="s">
        <v>54</v>
      </c>
      <c r="O779" s="32"/>
      <c r="P779" s="35" t="s">
        <v>46</v>
      </c>
      <c r="Q779" s="36" t="s">
        <v>6660</v>
      </c>
      <c r="R779" s="15" t="s">
        <v>56</v>
      </c>
      <c r="S779" s="40" t="s">
        <v>57</v>
      </c>
      <c r="T779" s="118" t="s">
        <v>65</v>
      </c>
      <c r="U779" s="39" t="s">
        <v>3781</v>
      </c>
      <c r="V779" s="43">
        <v>46122</v>
      </c>
      <c r="W779" s="32" t="s">
        <v>62</v>
      </c>
      <c r="X779" s="30"/>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row>
    <row r="780" spans="1:135" ht="30" customHeight="1" thickBot="1" x14ac:dyDescent="0.3">
      <c r="A780" s="578" t="s">
        <v>2807</v>
      </c>
      <c r="B780" s="436" t="s">
        <v>2801</v>
      </c>
      <c r="C780" s="52" t="s">
        <v>2803</v>
      </c>
      <c r="D780" s="10" t="s">
        <v>24</v>
      </c>
      <c r="E780" s="11" t="s">
        <v>25</v>
      </c>
      <c r="F780" s="12" t="s">
        <v>2806</v>
      </c>
      <c r="G780" s="15" t="s">
        <v>1622</v>
      </c>
      <c r="H780" s="22" t="s">
        <v>1647</v>
      </c>
      <c r="I780" s="205" t="s">
        <v>135</v>
      </c>
      <c r="J780" s="18" t="s">
        <v>32</v>
      </c>
      <c r="K780" s="23" t="s">
        <v>2810</v>
      </c>
      <c r="L780" s="21" t="str">
        <f>"RUTL-"&amp;RIGHT(K780,8)</f>
        <v>RUTL-PW0K0DSS</v>
      </c>
      <c r="M780" s="34" t="s">
        <v>40</v>
      </c>
      <c r="N780" s="23" t="s">
        <v>54</v>
      </c>
      <c r="O780" s="32"/>
      <c r="P780" s="35" t="s">
        <v>46</v>
      </c>
      <c r="Q780" s="36" t="s">
        <v>2811</v>
      </c>
      <c r="R780" s="15" t="s">
        <v>56</v>
      </c>
      <c r="S780" s="40" t="s">
        <v>57</v>
      </c>
      <c r="T780" s="118" t="s">
        <v>65</v>
      </c>
      <c r="U780" s="39" t="s">
        <v>2813</v>
      </c>
      <c r="V780" s="43">
        <v>46122</v>
      </c>
      <c r="W780" s="32" t="s">
        <v>62</v>
      </c>
      <c r="X780" s="30"/>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row>
    <row r="781" spans="1:135" ht="30" customHeight="1" thickBot="1" x14ac:dyDescent="0.3">
      <c r="A781" s="578" t="s">
        <v>6631</v>
      </c>
      <c r="B781" s="381">
        <v>16385</v>
      </c>
      <c r="C781" s="72" t="s">
        <v>6628</v>
      </c>
      <c r="D781" s="10" t="s">
        <v>24</v>
      </c>
      <c r="E781" s="11" t="s">
        <v>25</v>
      </c>
      <c r="F781" s="20" t="s">
        <v>6629</v>
      </c>
      <c r="G781" s="15" t="s">
        <v>6630</v>
      </c>
      <c r="H781" s="22" t="s">
        <v>1454</v>
      </c>
      <c r="I781" s="18" t="s">
        <v>135</v>
      </c>
      <c r="J781" s="18" t="s">
        <v>32</v>
      </c>
      <c r="K781" s="330" t="s">
        <v>6632</v>
      </c>
      <c r="L781" s="25" t="str">
        <f>"RUTL-"&amp;RIGHT(K781,8)</f>
        <v>RUTL-PW0K0DG4</v>
      </c>
      <c r="M781" s="34" t="s">
        <v>40</v>
      </c>
      <c r="N781" s="39" t="s">
        <v>54</v>
      </c>
      <c r="O781" s="23"/>
      <c r="P781" s="35" t="s">
        <v>46</v>
      </c>
      <c r="Q781" s="36" t="s">
        <v>6633</v>
      </c>
      <c r="R781" s="15" t="s">
        <v>56</v>
      </c>
      <c r="S781" s="40" t="s">
        <v>57</v>
      </c>
      <c r="T781" s="38" t="s">
        <v>58</v>
      </c>
      <c r="U781" s="39" t="s">
        <v>1803</v>
      </c>
      <c r="V781" s="48">
        <v>46122</v>
      </c>
      <c r="W781" s="23" t="s">
        <v>62</v>
      </c>
      <c r="X781" s="66"/>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row>
    <row r="782" spans="1:135" ht="30" customHeight="1" thickBot="1" x14ac:dyDescent="0.3">
      <c r="A782" s="578" t="s">
        <v>2456</v>
      </c>
      <c r="B782" s="220" t="s">
        <v>2450</v>
      </c>
      <c r="C782" s="72" t="s">
        <v>2451</v>
      </c>
      <c r="D782" s="10" t="s">
        <v>24</v>
      </c>
      <c r="E782" s="28" t="s">
        <v>25</v>
      </c>
      <c r="F782" s="12" t="s">
        <v>2452</v>
      </c>
      <c r="G782" s="15" t="s">
        <v>651</v>
      </c>
      <c r="H782" s="370" t="s">
        <v>1647</v>
      </c>
      <c r="I782" s="24" t="s">
        <v>135</v>
      </c>
      <c r="J782" s="24" t="s">
        <v>32</v>
      </c>
      <c r="K782" s="23" t="s">
        <v>2459</v>
      </c>
      <c r="L782" s="21" t="str">
        <f>"RUTL-"&amp;RIGHT(K782,8)</f>
        <v>RUTL-PW0K0DHP</v>
      </c>
      <c r="M782" s="34" t="s">
        <v>40</v>
      </c>
      <c r="N782" s="39" t="s">
        <v>54</v>
      </c>
      <c r="O782" s="32"/>
      <c r="P782" s="35" t="s">
        <v>46</v>
      </c>
      <c r="Q782" s="36" t="s">
        <v>2462</v>
      </c>
      <c r="R782" s="15" t="s">
        <v>56</v>
      </c>
      <c r="S782" s="37" t="s">
        <v>57</v>
      </c>
      <c r="T782" s="107" t="s">
        <v>453</v>
      </c>
      <c r="U782" s="39" t="s">
        <v>2463</v>
      </c>
      <c r="V782" s="270">
        <v>46122</v>
      </c>
      <c r="W782" s="32" t="s">
        <v>62</v>
      </c>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row>
    <row r="783" spans="1:135" ht="30" customHeight="1" thickBot="1" x14ac:dyDescent="0.3">
      <c r="A783" s="578" t="s">
        <v>6302</v>
      </c>
      <c r="B783" s="8">
        <v>15610</v>
      </c>
      <c r="C783" s="52" t="s">
        <v>6300</v>
      </c>
      <c r="D783" s="10" t="s">
        <v>24</v>
      </c>
      <c r="E783" s="11" t="s">
        <v>25</v>
      </c>
      <c r="F783" s="20" t="s">
        <v>6301</v>
      </c>
      <c r="G783" s="15" t="s">
        <v>1622</v>
      </c>
      <c r="H783" s="370" t="s">
        <v>1647</v>
      </c>
      <c r="I783" s="24" t="s">
        <v>135</v>
      </c>
      <c r="J783" s="24" t="s">
        <v>32</v>
      </c>
      <c r="K783" s="23" t="s">
        <v>6303</v>
      </c>
      <c r="L783" s="25" t="str">
        <f>"RUTL-"&amp;RIGHT(K783,8)</f>
        <v>RUTL-PW0K0DHZ</v>
      </c>
      <c r="M783" s="34" t="s">
        <v>40</v>
      </c>
      <c r="N783" s="32" t="s">
        <v>54</v>
      </c>
      <c r="O783" s="32"/>
      <c r="P783" s="35" t="s">
        <v>46</v>
      </c>
      <c r="Q783" s="36" t="s">
        <v>6304</v>
      </c>
      <c r="R783" s="15" t="s">
        <v>56</v>
      </c>
      <c r="S783" s="40" t="s">
        <v>57</v>
      </c>
      <c r="T783" s="105" t="s">
        <v>148</v>
      </c>
      <c r="U783" s="39" t="s">
        <v>1719</v>
      </c>
      <c r="V783" s="43">
        <v>46122</v>
      </c>
      <c r="W783" s="32" t="s">
        <v>62</v>
      </c>
      <c r="X783" s="71"/>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row>
    <row r="784" spans="1:135" ht="30" customHeight="1" thickBot="1" x14ac:dyDescent="0.3">
      <c r="A784" s="578" t="s">
        <v>2824</v>
      </c>
      <c r="B784" s="51" t="s">
        <v>2820</v>
      </c>
      <c r="C784" s="52" t="s">
        <v>2822</v>
      </c>
      <c r="D784" s="10" t="s">
        <v>24</v>
      </c>
      <c r="E784" s="11" t="s">
        <v>25</v>
      </c>
      <c r="F784" s="20" t="s">
        <v>2823</v>
      </c>
      <c r="G784" s="15" t="s">
        <v>369</v>
      </c>
      <c r="H784" s="22" t="s">
        <v>1647</v>
      </c>
      <c r="I784" s="24" t="s">
        <v>135</v>
      </c>
      <c r="J784" s="24" t="s">
        <v>32</v>
      </c>
      <c r="K784" s="23" t="s">
        <v>2826</v>
      </c>
      <c r="L784" s="21" t="str">
        <f>"RUTL-"&amp;RIGHT(K784,8)</f>
        <v>RUTL-PW0K0DGG</v>
      </c>
      <c r="M784" s="34" t="s">
        <v>40</v>
      </c>
      <c r="N784" s="23" t="s">
        <v>54</v>
      </c>
      <c r="O784" s="32"/>
      <c r="P784" s="35" t="s">
        <v>46</v>
      </c>
      <c r="Q784" s="36" t="s">
        <v>2827</v>
      </c>
      <c r="R784" s="15" t="s">
        <v>56</v>
      </c>
      <c r="S784" s="37" t="s">
        <v>57</v>
      </c>
      <c r="T784" s="309" t="s">
        <v>1370</v>
      </c>
      <c r="U784" s="39" t="s">
        <v>2828</v>
      </c>
      <c r="V784" s="43">
        <v>46122</v>
      </c>
      <c r="W784" s="32" t="s">
        <v>62</v>
      </c>
      <c r="X784" s="71"/>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c r="BO784" s="30"/>
      <c r="BP784" s="30"/>
      <c r="BQ784" s="30"/>
      <c r="BR784" s="30"/>
      <c r="BS784" s="30"/>
      <c r="BT784" s="30"/>
      <c r="BU784" s="30"/>
      <c r="BV784" s="30"/>
      <c r="BW784" s="30"/>
      <c r="BX784" s="30"/>
      <c r="BY784" s="30"/>
      <c r="BZ784" s="30"/>
      <c r="CA784" s="30"/>
      <c r="CB784" s="30"/>
      <c r="CC784" s="30"/>
      <c r="CD784" s="30"/>
      <c r="CE784" s="30"/>
      <c r="CF784" s="30"/>
      <c r="CG784" s="30"/>
      <c r="CH784" s="30"/>
      <c r="CI784" s="30"/>
      <c r="CJ784" s="30"/>
      <c r="CK784" s="30"/>
      <c r="CL784" s="30"/>
      <c r="CM784" s="30"/>
      <c r="CN784" s="30"/>
      <c r="CO784" s="30"/>
      <c r="CP784" s="30"/>
      <c r="CQ784" s="30"/>
      <c r="CR784" s="30"/>
      <c r="CS784" s="30"/>
      <c r="CT784" s="30"/>
      <c r="CU784" s="30"/>
      <c r="CV784" s="30"/>
      <c r="CW784" s="30"/>
      <c r="CX784" s="30"/>
      <c r="CY784" s="30"/>
      <c r="CZ784" s="30"/>
      <c r="DA784" s="30"/>
      <c r="DB784" s="30"/>
      <c r="DC784" s="30"/>
      <c r="DD784" s="30"/>
      <c r="DE784" s="30"/>
      <c r="DF784" s="30"/>
      <c r="DG784" s="30"/>
      <c r="DH784" s="30"/>
      <c r="DI784" s="30"/>
      <c r="DJ784" s="30"/>
      <c r="DK784" s="30"/>
      <c r="DL784" s="30"/>
      <c r="DM784" s="30"/>
      <c r="DN784" s="30"/>
      <c r="DO784" s="30"/>
      <c r="DP784" s="30"/>
      <c r="DQ784" s="30"/>
      <c r="DR784" s="30"/>
      <c r="DS784" s="30"/>
      <c r="DT784" s="30"/>
      <c r="DU784" s="30"/>
      <c r="DV784" s="30"/>
      <c r="DW784" s="30"/>
      <c r="DX784" s="30"/>
      <c r="DY784" s="30"/>
      <c r="DZ784" s="30"/>
      <c r="EA784" s="30"/>
      <c r="EB784" s="30"/>
      <c r="EC784" s="30"/>
      <c r="ED784" s="30"/>
      <c r="EE784" s="30"/>
    </row>
    <row r="785" spans="1:135" ht="30" customHeight="1" x14ac:dyDescent="0.25">
      <c r="A785" s="578" t="s">
        <v>6323</v>
      </c>
      <c r="B785" s="16">
        <v>15654</v>
      </c>
      <c r="C785" s="52" t="s">
        <v>6321</v>
      </c>
      <c r="D785" s="10" t="s">
        <v>24</v>
      </c>
      <c r="E785" s="11" t="s">
        <v>25</v>
      </c>
      <c r="F785" s="20" t="s">
        <v>6322</v>
      </c>
      <c r="G785" s="15" t="s">
        <v>4153</v>
      </c>
      <c r="H785" s="31" t="s">
        <v>6068</v>
      </c>
      <c r="I785" s="205" t="s">
        <v>135</v>
      </c>
      <c r="J785" s="24" t="s">
        <v>32</v>
      </c>
      <c r="K785" s="23" t="s">
        <v>6324</v>
      </c>
      <c r="L785" s="25" t="str">
        <f>"RUTL-"&amp;RIGHT(K785,8)</f>
        <v>RUTL-PW0K0DWM</v>
      </c>
      <c r="M785" s="34" t="s">
        <v>40</v>
      </c>
      <c r="N785" s="32" t="s">
        <v>54</v>
      </c>
      <c r="O785" s="32"/>
      <c r="P785" s="35" t="s">
        <v>46</v>
      </c>
      <c r="Q785" s="36" t="s">
        <v>1744</v>
      </c>
      <c r="R785" s="15" t="s">
        <v>56</v>
      </c>
      <c r="S785" s="40" t="s">
        <v>57</v>
      </c>
      <c r="T785" s="105" t="s">
        <v>148</v>
      </c>
      <c r="U785" s="39" t="s">
        <v>1719</v>
      </c>
      <c r="V785" s="43">
        <v>46122</v>
      </c>
      <c r="W785" s="32" t="s">
        <v>62</v>
      </c>
      <c r="X785" s="30"/>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row>
    <row r="786" spans="1:135" ht="30" customHeight="1" x14ac:dyDescent="0.25">
      <c r="A786" s="578" t="s">
        <v>6590</v>
      </c>
      <c r="B786" s="16">
        <v>16207</v>
      </c>
      <c r="C786" s="72" t="s">
        <v>6588</v>
      </c>
      <c r="D786" s="10" t="s">
        <v>24</v>
      </c>
      <c r="E786" s="11" t="s">
        <v>25</v>
      </c>
      <c r="F786" s="12" t="s">
        <v>6589</v>
      </c>
      <c r="G786" s="15" t="s">
        <v>448</v>
      </c>
      <c r="H786" s="22" t="s">
        <v>4568</v>
      </c>
      <c r="I786" s="24" t="s">
        <v>117</v>
      </c>
      <c r="J786" s="24" t="s">
        <v>32</v>
      </c>
      <c r="K786" s="23" t="s">
        <v>6591</v>
      </c>
      <c r="L786" s="25" t="str">
        <f>"RUTL-"&amp;RIGHT(K786,8)</f>
        <v>RUTL-PW0K0DY8</v>
      </c>
      <c r="M786" s="34" t="s">
        <v>40</v>
      </c>
      <c r="N786" s="23" t="s">
        <v>54</v>
      </c>
      <c r="O786" s="32"/>
      <c r="P786" s="35" t="s">
        <v>46</v>
      </c>
      <c r="Q786" s="36" t="s">
        <v>6592</v>
      </c>
      <c r="R786" s="15" t="s">
        <v>56</v>
      </c>
      <c r="S786" s="40" t="s">
        <v>57</v>
      </c>
      <c r="T786" s="118" t="s">
        <v>65</v>
      </c>
      <c r="U786" s="39" t="s">
        <v>2004</v>
      </c>
      <c r="V786" s="43">
        <v>46122</v>
      </c>
      <c r="W786" s="32" t="s">
        <v>62</v>
      </c>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row>
    <row r="787" spans="1:135" ht="30" customHeight="1" thickBot="1" x14ac:dyDescent="0.3">
      <c r="A787" s="578" t="s">
        <v>6544</v>
      </c>
      <c r="B787" s="16">
        <v>16121</v>
      </c>
      <c r="C787" s="315" t="s">
        <v>6542</v>
      </c>
      <c r="D787" s="10" t="s">
        <v>24</v>
      </c>
      <c r="E787" s="11" t="s">
        <v>25</v>
      </c>
      <c r="F787" s="20" t="s">
        <v>6543</v>
      </c>
      <c r="G787" s="15" t="s">
        <v>606</v>
      </c>
      <c r="H787" s="22" t="s">
        <v>550</v>
      </c>
      <c r="I787" s="296" t="s">
        <v>135</v>
      </c>
      <c r="J787" s="24" t="s">
        <v>32</v>
      </c>
      <c r="K787" s="23" t="s">
        <v>6545</v>
      </c>
      <c r="L787" s="25" t="str">
        <f>"RUTL-"&amp;RIGHT(K787,8)</f>
        <v>RUTL-PW0K0DZG</v>
      </c>
      <c r="M787" s="34" t="s">
        <v>40</v>
      </c>
      <c r="N787" s="23" t="s">
        <v>54</v>
      </c>
      <c r="O787" s="32"/>
      <c r="P787" s="35" t="s">
        <v>46</v>
      </c>
      <c r="Q787" s="36" t="s">
        <v>6546</v>
      </c>
      <c r="R787" s="15" t="s">
        <v>56</v>
      </c>
      <c r="S787" s="37" t="s">
        <v>57</v>
      </c>
      <c r="T787" s="38" t="s">
        <v>58</v>
      </c>
      <c r="U787" s="39" t="s">
        <v>3990</v>
      </c>
      <c r="V787" s="43">
        <v>46122</v>
      </c>
      <c r="W787" s="32" t="s">
        <v>62</v>
      </c>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c r="CB787" s="30"/>
      <c r="CC787" s="30"/>
      <c r="CD787" s="30"/>
      <c r="CE787" s="30"/>
      <c r="CF787" s="30"/>
      <c r="CG787" s="30"/>
      <c r="CH787" s="30"/>
      <c r="CI787" s="30"/>
      <c r="CJ787" s="30"/>
      <c r="CK787" s="30"/>
      <c r="CL787" s="30"/>
      <c r="CM787" s="30"/>
      <c r="CN787" s="30"/>
      <c r="CO787" s="30"/>
      <c r="CP787" s="30"/>
      <c r="CQ787" s="30"/>
      <c r="CR787" s="30"/>
      <c r="CS787" s="30"/>
      <c r="CT787" s="30"/>
      <c r="CU787" s="30"/>
      <c r="CV787" s="30"/>
      <c r="CW787" s="30"/>
      <c r="CX787" s="30"/>
      <c r="CY787" s="30"/>
      <c r="CZ787" s="30"/>
      <c r="DA787" s="30"/>
      <c r="DB787" s="30"/>
      <c r="DC787" s="30"/>
      <c r="DD787" s="30"/>
      <c r="DE787" s="30"/>
      <c r="DF787" s="30"/>
      <c r="DG787" s="30"/>
      <c r="DH787" s="30"/>
      <c r="DI787" s="30"/>
      <c r="DJ787" s="30"/>
      <c r="DK787" s="30"/>
      <c r="DL787" s="30"/>
      <c r="DM787" s="30"/>
      <c r="DN787" s="30"/>
      <c r="DO787" s="30"/>
      <c r="DP787" s="30"/>
      <c r="DQ787" s="30"/>
      <c r="DR787" s="30"/>
      <c r="DS787" s="30"/>
      <c r="DT787" s="30"/>
      <c r="DU787" s="30"/>
      <c r="DV787" s="30"/>
      <c r="DW787" s="30"/>
      <c r="DX787" s="30"/>
      <c r="DY787" s="30"/>
      <c r="DZ787" s="30"/>
      <c r="EA787" s="30"/>
      <c r="EB787" s="30"/>
      <c r="EC787" s="30"/>
      <c r="ED787" s="30"/>
      <c r="EE787" s="30"/>
    </row>
    <row r="788" spans="1:135" ht="30" customHeight="1" thickBot="1" x14ac:dyDescent="0.3">
      <c r="A788" s="578" t="s">
        <v>6585</v>
      </c>
      <c r="B788" s="16">
        <v>16206</v>
      </c>
      <c r="C788" s="269" t="s">
        <v>6583</v>
      </c>
      <c r="D788" s="10" t="s">
        <v>24</v>
      </c>
      <c r="E788" s="11" t="s">
        <v>25</v>
      </c>
      <c r="F788" s="12" t="s">
        <v>6584</v>
      </c>
      <c r="G788" s="15" t="s">
        <v>904</v>
      </c>
      <c r="H788" s="22" t="s">
        <v>1647</v>
      </c>
      <c r="I788" s="24" t="s">
        <v>135</v>
      </c>
      <c r="J788" s="24" t="s">
        <v>32</v>
      </c>
      <c r="K788" s="23" t="s">
        <v>6586</v>
      </c>
      <c r="L788" s="25" t="str">
        <f>"RUTL-"&amp;RIGHT(K788,8)</f>
        <v>RUTL-PW0K0DXY</v>
      </c>
      <c r="M788" s="34" t="s">
        <v>40</v>
      </c>
      <c r="N788" s="39" t="s">
        <v>54</v>
      </c>
      <c r="O788" s="32"/>
      <c r="P788" s="35" t="s">
        <v>46</v>
      </c>
      <c r="Q788" s="410" t="s">
        <v>6587</v>
      </c>
      <c r="R788" s="15" t="s">
        <v>56</v>
      </c>
      <c r="S788" s="37" t="s">
        <v>57</v>
      </c>
      <c r="T788" s="118" t="s">
        <v>65</v>
      </c>
      <c r="U788" s="39" t="s">
        <v>4904</v>
      </c>
      <c r="V788" s="43">
        <v>46122</v>
      </c>
      <c r="W788" s="32" t="s">
        <v>62</v>
      </c>
      <c r="X788" s="24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c r="DJ788" s="5"/>
      <c r="DK788" s="5"/>
      <c r="DL788" s="5"/>
      <c r="DM788" s="5"/>
      <c r="DN788" s="5"/>
      <c r="DO788" s="5"/>
      <c r="DP788" s="5"/>
      <c r="DQ788" s="5"/>
      <c r="DR788" s="5"/>
      <c r="DS788" s="5"/>
      <c r="DT788" s="5"/>
      <c r="DU788" s="5"/>
      <c r="DV788" s="5"/>
      <c r="DW788" s="5"/>
      <c r="DX788" s="5"/>
      <c r="DY788" s="5"/>
      <c r="DZ788" s="5"/>
      <c r="EA788" s="5"/>
      <c r="EB788" s="5"/>
      <c r="EC788" s="5"/>
      <c r="ED788" s="5"/>
      <c r="EE788" s="5"/>
    </row>
    <row r="789" spans="1:135" ht="30" customHeight="1" thickBot="1" x14ac:dyDescent="0.3">
      <c r="A789" s="578" t="s">
        <v>6318</v>
      </c>
      <c r="B789" s="16">
        <v>15651</v>
      </c>
      <c r="C789" s="231" t="s">
        <v>6316</v>
      </c>
      <c r="D789" s="10" t="s">
        <v>24</v>
      </c>
      <c r="E789" s="11" t="s">
        <v>25</v>
      </c>
      <c r="F789" s="20" t="s">
        <v>6317</v>
      </c>
      <c r="G789" s="15" t="s">
        <v>469</v>
      </c>
      <c r="H789" s="22" t="s">
        <v>2754</v>
      </c>
      <c r="I789" s="205" t="s">
        <v>117</v>
      </c>
      <c r="J789" s="24" t="s">
        <v>32</v>
      </c>
      <c r="K789" s="23" t="s">
        <v>6319</v>
      </c>
      <c r="L789" s="25" t="str">
        <f>"RUTL-"&amp;RIGHT(K789,8)</f>
        <v>RUTL-PW0K0DB0</v>
      </c>
      <c r="M789" s="34" t="s">
        <v>40</v>
      </c>
      <c r="N789" s="32" t="s">
        <v>54</v>
      </c>
      <c r="O789" s="32"/>
      <c r="P789" s="35" t="s">
        <v>46</v>
      </c>
      <c r="Q789" s="36" t="s">
        <v>6320</v>
      </c>
      <c r="R789" s="15" t="s">
        <v>56</v>
      </c>
      <c r="S789" s="40" t="s">
        <v>57</v>
      </c>
      <c r="T789" s="105" t="s">
        <v>148</v>
      </c>
      <c r="U789" s="39" t="s">
        <v>1511</v>
      </c>
      <c r="V789" s="43">
        <v>46122</v>
      </c>
      <c r="W789" s="32" t="s">
        <v>62</v>
      </c>
      <c r="X789" s="30"/>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row>
    <row r="790" spans="1:135" ht="30" customHeight="1" thickBot="1" x14ac:dyDescent="0.3">
      <c r="A790" s="578" t="s">
        <v>6007</v>
      </c>
      <c r="B790" s="437">
        <v>14868</v>
      </c>
      <c r="C790" s="52" t="s">
        <v>6005</v>
      </c>
      <c r="D790" s="10" t="s">
        <v>24</v>
      </c>
      <c r="E790" s="11" t="s">
        <v>25</v>
      </c>
      <c r="F790" s="20" t="s">
        <v>6006</v>
      </c>
      <c r="G790" s="15" t="s">
        <v>2271</v>
      </c>
      <c r="H790" s="31" t="s">
        <v>2484</v>
      </c>
      <c r="I790" s="24" t="s">
        <v>135</v>
      </c>
      <c r="J790" s="24" t="s">
        <v>32</v>
      </c>
      <c r="K790" s="23" t="s">
        <v>6008</v>
      </c>
      <c r="L790" s="25" t="str">
        <f>"RUTL-"&amp;RIGHT(K790,8)</f>
        <v>RUTL-PW0K0DWN</v>
      </c>
      <c r="M790" s="34" t="s">
        <v>40</v>
      </c>
      <c r="N790" s="23" t="s">
        <v>54</v>
      </c>
      <c r="O790" s="32"/>
      <c r="P790" s="35" t="s">
        <v>46</v>
      </c>
      <c r="Q790" s="113"/>
      <c r="R790" s="15" t="s">
        <v>56</v>
      </c>
      <c r="S790" s="40" t="s">
        <v>57</v>
      </c>
      <c r="T790" s="105" t="s">
        <v>148</v>
      </c>
      <c r="U790" s="39" t="s">
        <v>1511</v>
      </c>
      <c r="V790" s="43">
        <v>46122</v>
      </c>
      <c r="W790" s="32" t="s">
        <v>62</v>
      </c>
      <c r="X790" s="194"/>
      <c r="Y790" s="195"/>
      <c r="Z790" s="195"/>
      <c r="AA790" s="195"/>
      <c r="AB790" s="195"/>
      <c r="AC790" s="195"/>
      <c r="AD790" s="195"/>
      <c r="AE790" s="195"/>
      <c r="AF790" s="195"/>
      <c r="AG790" s="195"/>
      <c r="AH790" s="195"/>
      <c r="AI790" s="195"/>
      <c r="AJ790" s="195"/>
      <c r="AK790" s="195"/>
      <c r="AL790" s="195"/>
      <c r="AM790" s="195"/>
      <c r="AN790" s="195"/>
      <c r="AO790" s="195"/>
      <c r="AP790" s="195"/>
      <c r="AQ790" s="195"/>
      <c r="AR790" s="195"/>
      <c r="AS790" s="195"/>
      <c r="AT790" s="195"/>
      <c r="AU790" s="195"/>
      <c r="AV790" s="195"/>
      <c r="AW790" s="195"/>
      <c r="AX790" s="195"/>
      <c r="AY790" s="195"/>
      <c r="AZ790" s="195"/>
      <c r="BA790" s="195"/>
      <c r="BB790" s="195"/>
      <c r="BC790" s="195"/>
      <c r="BD790" s="195"/>
      <c r="BE790" s="195"/>
      <c r="BF790" s="195"/>
      <c r="BG790" s="195"/>
      <c r="BH790" s="195"/>
      <c r="BI790" s="195"/>
      <c r="BJ790" s="195"/>
      <c r="BK790" s="195"/>
      <c r="BL790" s="195"/>
      <c r="BM790" s="195"/>
      <c r="BN790" s="195"/>
      <c r="BO790" s="195"/>
      <c r="BP790" s="195"/>
      <c r="BQ790" s="195"/>
      <c r="BR790" s="195"/>
      <c r="BS790" s="195"/>
      <c r="BT790" s="195"/>
      <c r="BU790" s="195"/>
      <c r="BV790" s="195"/>
      <c r="BW790" s="195"/>
      <c r="BX790" s="195"/>
      <c r="BY790" s="195"/>
      <c r="BZ790" s="195"/>
      <c r="CA790" s="195"/>
      <c r="CB790" s="195"/>
      <c r="CC790" s="195"/>
      <c r="CD790" s="195"/>
      <c r="CE790" s="195"/>
      <c r="CF790" s="195"/>
      <c r="CG790" s="195"/>
      <c r="CH790" s="195"/>
      <c r="CI790" s="195"/>
      <c r="CJ790" s="195"/>
      <c r="CK790" s="195"/>
      <c r="CL790" s="195"/>
      <c r="CM790" s="195"/>
      <c r="CN790" s="195"/>
      <c r="CO790" s="195"/>
      <c r="CP790" s="195"/>
      <c r="CQ790" s="195"/>
      <c r="CR790" s="195"/>
      <c r="CS790" s="195"/>
      <c r="CT790" s="195"/>
      <c r="CU790" s="195"/>
      <c r="CV790" s="195"/>
      <c r="CW790" s="195"/>
      <c r="CX790" s="195"/>
      <c r="CY790" s="195"/>
      <c r="CZ790" s="195"/>
      <c r="DA790" s="195"/>
      <c r="DB790" s="195"/>
      <c r="DC790" s="195"/>
      <c r="DD790" s="195"/>
      <c r="DE790" s="195"/>
      <c r="DF790" s="195"/>
      <c r="DG790" s="195"/>
      <c r="DH790" s="195"/>
      <c r="DI790" s="195"/>
      <c r="DJ790" s="195"/>
      <c r="DK790" s="195"/>
      <c r="DL790" s="195"/>
      <c r="DM790" s="195"/>
      <c r="DN790" s="195"/>
      <c r="DO790" s="195"/>
      <c r="DP790" s="195"/>
      <c r="DQ790" s="195"/>
      <c r="DR790" s="195"/>
      <c r="DS790" s="195"/>
      <c r="DT790" s="195"/>
      <c r="DU790" s="195"/>
      <c r="DV790" s="195"/>
      <c r="DW790" s="195"/>
      <c r="DX790" s="195"/>
      <c r="DY790" s="195"/>
      <c r="DZ790" s="195"/>
      <c r="EA790" s="195"/>
      <c r="EB790" s="195"/>
      <c r="EC790" s="195"/>
      <c r="ED790" s="195"/>
      <c r="EE790" s="195"/>
    </row>
    <row r="791" spans="1:135" ht="30" customHeight="1" thickBot="1" x14ac:dyDescent="0.3">
      <c r="A791" s="578" t="s">
        <v>6794</v>
      </c>
      <c r="B791" s="16">
        <v>16794</v>
      </c>
      <c r="C791" s="72" t="s">
        <v>6792</v>
      </c>
      <c r="D791" s="10" t="s">
        <v>24</v>
      </c>
      <c r="E791" s="11" t="s">
        <v>25</v>
      </c>
      <c r="F791" s="20" t="s">
        <v>6793</v>
      </c>
      <c r="G791" s="15" t="s">
        <v>2764</v>
      </c>
      <c r="H791" s="22" t="s">
        <v>550</v>
      </c>
      <c r="I791" s="205" t="s">
        <v>135</v>
      </c>
      <c r="J791" s="24" t="s">
        <v>32</v>
      </c>
      <c r="K791" s="23" t="s">
        <v>6795</v>
      </c>
      <c r="L791" s="25" t="str">
        <f>"RUTL-"&amp;RIGHT(K791,8)</f>
        <v>RUTL-PW0K0DC5</v>
      </c>
      <c r="M791" s="34" t="s">
        <v>40</v>
      </c>
      <c r="N791" s="23" t="s">
        <v>54</v>
      </c>
      <c r="O791" s="94"/>
      <c r="P791" s="45" t="s">
        <v>46</v>
      </c>
      <c r="Q791" s="35"/>
      <c r="R791" s="15" t="s">
        <v>56</v>
      </c>
      <c r="S791" s="37" t="s">
        <v>57</v>
      </c>
      <c r="T791" s="35" t="s">
        <v>65</v>
      </c>
      <c r="U791" s="39" t="s">
        <v>5865</v>
      </c>
      <c r="V791" s="23" t="s">
        <v>6796</v>
      </c>
      <c r="W791" s="32" t="s">
        <v>62</v>
      </c>
      <c r="X791" s="195"/>
      <c r="Y791" s="195"/>
      <c r="Z791" s="195"/>
      <c r="AA791" s="195"/>
      <c r="AB791" s="195"/>
      <c r="AC791" s="195"/>
      <c r="AD791" s="195"/>
      <c r="AE791" s="195"/>
      <c r="AF791" s="195"/>
      <c r="AG791" s="195"/>
      <c r="AH791" s="195"/>
      <c r="AI791" s="195"/>
      <c r="AJ791" s="195"/>
      <c r="AK791" s="195"/>
      <c r="AL791" s="195"/>
      <c r="AM791" s="195"/>
      <c r="AN791" s="195"/>
      <c r="AO791" s="195"/>
      <c r="AP791" s="195"/>
      <c r="AQ791" s="195"/>
      <c r="AR791" s="195"/>
      <c r="AS791" s="195"/>
      <c r="AT791" s="195"/>
      <c r="AU791" s="195"/>
      <c r="AV791" s="195"/>
      <c r="AW791" s="195"/>
      <c r="AX791" s="195"/>
      <c r="AY791" s="195"/>
      <c r="AZ791" s="195"/>
      <c r="BA791" s="195"/>
      <c r="BB791" s="195"/>
      <c r="BC791" s="195"/>
      <c r="BD791" s="195"/>
      <c r="BE791" s="195"/>
      <c r="BF791" s="195"/>
      <c r="BG791" s="195"/>
      <c r="BH791" s="195"/>
      <c r="BI791" s="195"/>
      <c r="BJ791" s="195"/>
      <c r="BK791" s="195"/>
      <c r="BL791" s="195"/>
      <c r="BM791" s="195"/>
      <c r="BN791" s="195"/>
      <c r="BO791" s="195"/>
      <c r="BP791" s="195"/>
      <c r="BQ791" s="195"/>
      <c r="BR791" s="195"/>
      <c r="BS791" s="195"/>
      <c r="BT791" s="195"/>
      <c r="BU791" s="195"/>
      <c r="BV791" s="195"/>
      <c r="BW791" s="195"/>
      <c r="BX791" s="195"/>
      <c r="BY791" s="195"/>
      <c r="BZ791" s="195"/>
      <c r="CA791" s="195"/>
      <c r="CB791" s="195"/>
      <c r="CC791" s="195"/>
      <c r="CD791" s="195"/>
      <c r="CE791" s="195"/>
      <c r="CF791" s="195"/>
      <c r="CG791" s="195"/>
      <c r="CH791" s="195"/>
      <c r="CI791" s="195"/>
      <c r="CJ791" s="195"/>
      <c r="CK791" s="195"/>
      <c r="CL791" s="195"/>
      <c r="CM791" s="195"/>
      <c r="CN791" s="195"/>
      <c r="CO791" s="195"/>
      <c r="CP791" s="195"/>
      <c r="CQ791" s="195"/>
      <c r="CR791" s="195"/>
      <c r="CS791" s="195"/>
      <c r="CT791" s="195"/>
      <c r="CU791" s="195"/>
      <c r="CV791" s="195"/>
      <c r="CW791" s="195"/>
      <c r="CX791" s="195"/>
      <c r="CY791" s="195"/>
      <c r="CZ791" s="195"/>
      <c r="DA791" s="195"/>
      <c r="DB791" s="195"/>
      <c r="DC791" s="195"/>
      <c r="DD791" s="195"/>
      <c r="DE791" s="195"/>
      <c r="DF791" s="195"/>
      <c r="DG791" s="195"/>
      <c r="DH791" s="195"/>
      <c r="DI791" s="195"/>
      <c r="DJ791" s="195"/>
      <c r="DK791" s="195"/>
      <c r="DL791" s="195"/>
      <c r="DM791" s="195"/>
      <c r="DN791" s="195"/>
      <c r="DO791" s="195"/>
      <c r="DP791" s="195"/>
      <c r="DQ791" s="195"/>
      <c r="DR791" s="195"/>
      <c r="DS791" s="195"/>
      <c r="DT791" s="195"/>
      <c r="DU791" s="195"/>
      <c r="DV791" s="195"/>
      <c r="DW791" s="195"/>
      <c r="DX791" s="195"/>
      <c r="DY791" s="195"/>
      <c r="DZ791" s="195"/>
      <c r="EA791" s="195"/>
      <c r="EB791" s="195"/>
      <c r="EC791" s="195"/>
      <c r="ED791" s="195"/>
      <c r="EE791" s="195"/>
    </row>
    <row r="792" spans="1:135" ht="30" customHeight="1" thickBot="1" x14ac:dyDescent="0.3">
      <c r="A792" s="578" t="s">
        <v>6074</v>
      </c>
      <c r="B792" s="16">
        <v>15017</v>
      </c>
      <c r="C792" s="69" t="s">
        <v>6072</v>
      </c>
      <c r="D792" s="10" t="s">
        <v>24</v>
      </c>
      <c r="E792" s="11" t="s">
        <v>25</v>
      </c>
      <c r="F792" s="20" t="s">
        <v>6073</v>
      </c>
      <c r="G792" s="15" t="s">
        <v>2764</v>
      </c>
      <c r="H792" s="22" t="s">
        <v>550</v>
      </c>
      <c r="I792" s="296" t="s">
        <v>135</v>
      </c>
      <c r="J792" s="24" t="s">
        <v>32</v>
      </c>
      <c r="K792" s="23" t="s">
        <v>6075</v>
      </c>
      <c r="L792" s="25" t="str">
        <f>"RUTL-"&amp;RIGHT(K792,8)</f>
        <v>RUTL-PW0K0DJB</v>
      </c>
      <c r="M792" s="34" t="s">
        <v>40</v>
      </c>
      <c r="N792" s="23" t="s">
        <v>54</v>
      </c>
      <c r="O792" s="32"/>
      <c r="P792" s="35" t="s">
        <v>46</v>
      </c>
      <c r="Q792" s="392" t="s">
        <v>6076</v>
      </c>
      <c r="R792" s="15" t="s">
        <v>56</v>
      </c>
      <c r="S792" s="37" t="s">
        <v>57</v>
      </c>
      <c r="T792" s="38" t="s">
        <v>58</v>
      </c>
      <c r="U792" s="39" t="s">
        <v>6077</v>
      </c>
      <c r="V792" s="567">
        <v>46122</v>
      </c>
      <c r="W792" s="32" t="s">
        <v>62</v>
      </c>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c r="BO792" s="30"/>
      <c r="BP792" s="30"/>
      <c r="BQ792" s="30"/>
      <c r="BR792" s="30"/>
      <c r="BS792" s="30"/>
      <c r="BT792" s="30"/>
      <c r="BU792" s="30"/>
      <c r="BV792" s="30"/>
      <c r="BW792" s="30"/>
      <c r="BX792" s="30"/>
      <c r="BY792" s="30"/>
      <c r="BZ792" s="30"/>
      <c r="CA792" s="30"/>
      <c r="CB792" s="30"/>
      <c r="CC792" s="30"/>
      <c r="CD792" s="30"/>
      <c r="CE792" s="30"/>
      <c r="CF792" s="30"/>
      <c r="CG792" s="30"/>
      <c r="CH792" s="30"/>
      <c r="CI792" s="30"/>
      <c r="CJ792" s="30"/>
      <c r="CK792" s="30"/>
      <c r="CL792" s="30"/>
      <c r="CM792" s="30"/>
      <c r="CN792" s="30"/>
      <c r="CO792" s="30"/>
      <c r="CP792" s="30"/>
      <c r="CQ792" s="30"/>
      <c r="CR792" s="30"/>
      <c r="CS792" s="30"/>
      <c r="CT792" s="30"/>
      <c r="CU792" s="30"/>
      <c r="CV792" s="30"/>
      <c r="CW792" s="30"/>
      <c r="CX792" s="30"/>
      <c r="CY792" s="30"/>
      <c r="CZ792" s="30"/>
      <c r="DA792" s="30"/>
      <c r="DB792" s="30"/>
      <c r="DC792" s="30"/>
      <c r="DD792" s="30"/>
      <c r="DE792" s="30"/>
      <c r="DF792" s="30"/>
      <c r="DG792" s="30"/>
      <c r="DH792" s="30"/>
      <c r="DI792" s="30"/>
      <c r="DJ792" s="30"/>
      <c r="DK792" s="30"/>
      <c r="DL792" s="30"/>
      <c r="DM792" s="30"/>
      <c r="DN792" s="30"/>
      <c r="DO792" s="30"/>
      <c r="DP792" s="30"/>
      <c r="DQ792" s="30"/>
      <c r="DR792" s="30"/>
      <c r="DS792" s="30"/>
      <c r="DT792" s="30"/>
      <c r="DU792" s="30"/>
      <c r="DV792" s="30"/>
      <c r="DW792" s="30"/>
      <c r="DX792" s="30"/>
      <c r="DY792" s="30"/>
      <c r="DZ792" s="30"/>
      <c r="EA792" s="30"/>
      <c r="EB792" s="30"/>
      <c r="EC792" s="30"/>
      <c r="ED792" s="30"/>
      <c r="EE792" s="30"/>
    </row>
    <row r="793" spans="1:135" ht="30" customHeight="1" x14ac:dyDescent="0.25">
      <c r="A793" s="578" t="s">
        <v>6514</v>
      </c>
      <c r="B793" s="16">
        <v>16017</v>
      </c>
      <c r="C793" s="269" t="s">
        <v>6512</v>
      </c>
      <c r="D793" s="10" t="s">
        <v>24</v>
      </c>
      <c r="E793" s="11" t="s">
        <v>25</v>
      </c>
      <c r="F793" s="20" t="s">
        <v>6513</v>
      </c>
      <c r="G793" s="15" t="s">
        <v>5124</v>
      </c>
      <c r="H793" s="22" t="s">
        <v>550</v>
      </c>
      <c r="I793" s="205" t="s">
        <v>135</v>
      </c>
      <c r="J793" s="24" t="s">
        <v>32</v>
      </c>
      <c r="K793" s="23" t="s">
        <v>6515</v>
      </c>
      <c r="L793" s="25" t="str">
        <f>"RUTL-"&amp;RIGHT(K793,8)</f>
        <v>RUTL-PW0K0DKH</v>
      </c>
      <c r="M793" s="34" t="s">
        <v>40</v>
      </c>
      <c r="N793" s="39" t="s">
        <v>54</v>
      </c>
      <c r="O793" s="32"/>
      <c r="P793" s="35" t="s">
        <v>46</v>
      </c>
      <c r="Q793" s="36" t="s">
        <v>6516</v>
      </c>
      <c r="R793" s="15" t="s">
        <v>56</v>
      </c>
      <c r="S793" s="37" t="s">
        <v>57</v>
      </c>
      <c r="T793" s="38" t="s">
        <v>58</v>
      </c>
      <c r="U793" s="39" t="s">
        <v>4904</v>
      </c>
      <c r="V793" s="43">
        <v>46122</v>
      </c>
      <c r="W793" s="32" t="s">
        <v>62</v>
      </c>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row>
    <row r="794" spans="1:135" ht="30" customHeight="1" x14ac:dyDescent="0.25">
      <c r="A794" s="578" t="s">
        <v>6880</v>
      </c>
      <c r="B794" s="8">
        <v>16884</v>
      </c>
      <c r="C794" s="231" t="s">
        <v>6878</v>
      </c>
      <c r="D794" s="10" t="s">
        <v>24</v>
      </c>
      <c r="E794" s="11" t="s">
        <v>25</v>
      </c>
      <c r="F794" s="12" t="s">
        <v>6879</v>
      </c>
      <c r="G794" s="15" t="s">
        <v>889</v>
      </c>
      <c r="H794" s="22" t="s">
        <v>6739</v>
      </c>
      <c r="I794" s="205" t="s">
        <v>135</v>
      </c>
      <c r="J794" s="24" t="s">
        <v>32</v>
      </c>
      <c r="K794" s="23" t="s">
        <v>6881</v>
      </c>
      <c r="L794" s="25" t="str">
        <f>"RUTL-"&amp;RIGHT(K794,8)</f>
        <v>RUTL-PW0K0DK0</v>
      </c>
      <c r="M794" s="34" t="s">
        <v>40</v>
      </c>
      <c r="N794" s="23" t="s">
        <v>54</v>
      </c>
      <c r="O794" s="32"/>
      <c r="P794" s="35" t="s">
        <v>46</v>
      </c>
      <c r="Q794" s="36" t="s">
        <v>6882</v>
      </c>
      <c r="R794" s="15" t="s">
        <v>56</v>
      </c>
      <c r="S794" s="37" t="s">
        <v>57</v>
      </c>
      <c r="T794" s="118" t="s">
        <v>65</v>
      </c>
      <c r="U794" s="39" t="s">
        <v>6856</v>
      </c>
      <c r="V794" s="43">
        <v>46122</v>
      </c>
      <c r="W794" s="32" t="s">
        <v>62</v>
      </c>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row>
    <row r="795" spans="1:135" ht="30" customHeight="1" thickBot="1" x14ac:dyDescent="0.3">
      <c r="A795" s="578" t="s">
        <v>6429</v>
      </c>
      <c r="B795" s="51">
        <v>15898</v>
      </c>
      <c r="C795" s="315" t="s">
        <v>6427</v>
      </c>
      <c r="D795" s="10" t="s">
        <v>24</v>
      </c>
      <c r="E795" s="465" t="s">
        <v>25</v>
      </c>
      <c r="F795" s="20" t="s">
        <v>6428</v>
      </c>
      <c r="G795" s="15" t="s">
        <v>889</v>
      </c>
      <c r="H795" s="22" t="s">
        <v>6068</v>
      </c>
      <c r="I795" s="205" t="s">
        <v>135</v>
      </c>
      <c r="J795" s="24" t="s">
        <v>32</v>
      </c>
      <c r="K795" s="23" t="s">
        <v>6430</v>
      </c>
      <c r="L795" s="25" t="str">
        <f>"RUTL-"&amp;RIGHT(K795,8)</f>
        <v>RUTL-PW0K0DBZ</v>
      </c>
      <c r="M795" s="34" t="s">
        <v>40</v>
      </c>
      <c r="N795" s="515" t="s">
        <v>54</v>
      </c>
      <c r="O795" s="495"/>
      <c r="P795" s="522" t="s">
        <v>46</v>
      </c>
      <c r="Q795" s="528" t="s">
        <v>6431</v>
      </c>
      <c r="R795" s="461" t="s">
        <v>56</v>
      </c>
      <c r="S795" s="545" t="s">
        <v>57</v>
      </c>
      <c r="T795" s="361" t="s">
        <v>273</v>
      </c>
      <c r="U795" s="39" t="s">
        <v>3320</v>
      </c>
      <c r="V795" s="565">
        <v>46122</v>
      </c>
      <c r="W795" s="495" t="s">
        <v>62</v>
      </c>
    </row>
    <row r="796" spans="1:135" ht="30" customHeight="1" thickBot="1" x14ac:dyDescent="0.3">
      <c r="A796" s="578" t="s">
        <v>6409</v>
      </c>
      <c r="B796" s="435">
        <v>15857</v>
      </c>
      <c r="C796" s="315" t="s">
        <v>6407</v>
      </c>
      <c r="D796" s="10" t="s">
        <v>24</v>
      </c>
      <c r="E796" s="11" t="s">
        <v>25</v>
      </c>
      <c r="F796" s="20" t="s">
        <v>6408</v>
      </c>
      <c r="G796" s="15" t="s">
        <v>889</v>
      </c>
      <c r="H796" s="22" t="s">
        <v>6068</v>
      </c>
      <c r="I796" s="296" t="s">
        <v>135</v>
      </c>
      <c r="J796" s="24" t="s">
        <v>32</v>
      </c>
      <c r="K796" s="371" t="s">
        <v>6410</v>
      </c>
      <c r="L796" s="25" t="str">
        <f>"RUTL-"&amp;RIGHT(K796,8)</f>
        <v>RUTL-PW0K0DNQ</v>
      </c>
      <c r="M796" s="34" t="s">
        <v>40</v>
      </c>
      <c r="N796" s="39" t="s">
        <v>54</v>
      </c>
      <c r="O796" s="32"/>
      <c r="P796" s="35" t="s">
        <v>46</v>
      </c>
      <c r="Q796" s="36" t="s">
        <v>6411</v>
      </c>
      <c r="R796" s="15" t="s">
        <v>56</v>
      </c>
      <c r="S796" s="37" t="s">
        <v>57</v>
      </c>
      <c r="T796" s="361" t="s">
        <v>273</v>
      </c>
      <c r="U796" s="39" t="s">
        <v>3320</v>
      </c>
      <c r="V796" s="82">
        <v>46122</v>
      </c>
      <c r="W796" s="32" t="s">
        <v>62</v>
      </c>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c r="BO796" s="30"/>
      <c r="BP796" s="30"/>
      <c r="BQ796" s="30"/>
      <c r="BR796" s="30"/>
      <c r="BS796" s="30"/>
      <c r="BT796" s="30"/>
      <c r="BU796" s="30"/>
      <c r="BV796" s="30"/>
      <c r="BW796" s="30"/>
      <c r="BX796" s="30"/>
      <c r="BY796" s="30"/>
      <c r="BZ796" s="30"/>
      <c r="CA796" s="30"/>
      <c r="CB796" s="30"/>
      <c r="CC796" s="30"/>
      <c r="CD796" s="30"/>
      <c r="CE796" s="30"/>
      <c r="CF796" s="30"/>
      <c r="CG796" s="30"/>
      <c r="CH796" s="30"/>
      <c r="CI796" s="30"/>
      <c r="CJ796" s="30"/>
      <c r="CK796" s="30"/>
      <c r="CL796" s="30"/>
      <c r="CM796" s="30"/>
      <c r="CN796" s="30"/>
      <c r="CO796" s="30"/>
      <c r="CP796" s="30"/>
      <c r="CQ796" s="30"/>
      <c r="CR796" s="30"/>
      <c r="CS796" s="30"/>
      <c r="CT796" s="30"/>
      <c r="CU796" s="30"/>
      <c r="CV796" s="30"/>
      <c r="CW796" s="30"/>
      <c r="CX796" s="30"/>
      <c r="CY796" s="30"/>
      <c r="CZ796" s="30"/>
      <c r="DA796" s="30"/>
      <c r="DB796" s="30"/>
      <c r="DC796" s="30"/>
      <c r="DD796" s="30"/>
      <c r="DE796" s="30"/>
      <c r="DF796" s="30"/>
      <c r="DG796" s="30"/>
      <c r="DH796" s="30"/>
      <c r="DI796" s="30"/>
      <c r="DJ796" s="30"/>
      <c r="DK796" s="30"/>
      <c r="DL796" s="30"/>
      <c r="DM796" s="30"/>
      <c r="DN796" s="30"/>
      <c r="DO796" s="30"/>
      <c r="DP796" s="30"/>
      <c r="DQ796" s="30"/>
      <c r="DR796" s="30"/>
      <c r="DS796" s="30"/>
      <c r="DT796" s="30"/>
      <c r="DU796" s="30"/>
      <c r="DV796" s="30"/>
      <c r="DW796" s="30"/>
      <c r="DX796" s="30"/>
      <c r="DY796" s="30"/>
      <c r="DZ796" s="30"/>
      <c r="EA796" s="30"/>
      <c r="EB796" s="30"/>
      <c r="EC796" s="30"/>
      <c r="ED796" s="30"/>
      <c r="EE796" s="30"/>
    </row>
    <row r="797" spans="1:135" ht="30" customHeight="1" thickBot="1" x14ac:dyDescent="0.3">
      <c r="A797" s="578" t="s">
        <v>6382</v>
      </c>
      <c r="B797" s="16">
        <v>15823</v>
      </c>
      <c r="C797" s="72" t="s">
        <v>6381</v>
      </c>
      <c r="D797" s="10" t="s">
        <v>24</v>
      </c>
      <c r="E797" s="11" t="s">
        <v>25</v>
      </c>
      <c r="F797" s="29"/>
      <c r="G797" s="15" t="s">
        <v>443</v>
      </c>
      <c r="H797" s="31" t="s">
        <v>2484</v>
      </c>
      <c r="I797" s="296" t="s">
        <v>48</v>
      </c>
      <c r="J797" s="18" t="s">
        <v>49</v>
      </c>
      <c r="K797" s="23" t="s">
        <v>6383</v>
      </c>
      <c r="L797" s="25" t="str">
        <f>"RUTL-"&amp;RIGHT(K797,8)</f>
        <v>RUTL-1AAC6N02</v>
      </c>
      <c r="M797" s="34" t="s">
        <v>40</v>
      </c>
      <c r="N797" s="90" t="s">
        <v>54</v>
      </c>
      <c r="O797" s="356"/>
      <c r="P797" s="45" t="s">
        <v>46</v>
      </c>
      <c r="Q797" s="35" t="s">
        <v>4571</v>
      </c>
      <c r="R797" s="15" t="s">
        <v>56</v>
      </c>
      <c r="S797" s="40" t="s">
        <v>57</v>
      </c>
      <c r="T797" s="68" t="s">
        <v>453</v>
      </c>
      <c r="U797" s="39" t="s">
        <v>748</v>
      </c>
      <c r="V797" s="82">
        <v>46111</v>
      </c>
      <c r="W797" s="32" t="s">
        <v>67</v>
      </c>
      <c r="X797" s="71"/>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c r="BO797" s="30"/>
      <c r="BP797" s="30"/>
      <c r="BQ797" s="30"/>
      <c r="BR797" s="30"/>
      <c r="BS797" s="30"/>
      <c r="BT797" s="30"/>
      <c r="BU797" s="30"/>
      <c r="BV797" s="30"/>
      <c r="BW797" s="30"/>
      <c r="BX797" s="30"/>
      <c r="BY797" s="30"/>
      <c r="BZ797" s="30"/>
      <c r="CA797" s="30"/>
      <c r="CB797" s="30"/>
      <c r="CC797" s="30"/>
      <c r="CD797" s="30"/>
      <c r="CE797" s="30"/>
      <c r="CF797" s="30"/>
      <c r="CG797" s="30"/>
      <c r="CH797" s="30"/>
      <c r="CI797" s="30"/>
      <c r="CJ797" s="30"/>
      <c r="CK797" s="30"/>
      <c r="CL797" s="30"/>
      <c r="CM797" s="30"/>
      <c r="CN797" s="30"/>
      <c r="CO797" s="30"/>
      <c r="CP797" s="30"/>
      <c r="CQ797" s="30"/>
      <c r="CR797" s="30"/>
      <c r="CS797" s="30"/>
      <c r="CT797" s="30"/>
      <c r="CU797" s="30"/>
      <c r="CV797" s="30"/>
      <c r="CW797" s="30"/>
      <c r="CX797" s="30"/>
      <c r="CY797" s="30"/>
      <c r="CZ797" s="30"/>
      <c r="DA797" s="30"/>
      <c r="DB797" s="30"/>
      <c r="DC797" s="30"/>
      <c r="DD797" s="30"/>
      <c r="DE797" s="30"/>
      <c r="DF797" s="30"/>
      <c r="DG797" s="30"/>
      <c r="DH797" s="30"/>
      <c r="DI797" s="30"/>
      <c r="DJ797" s="30"/>
      <c r="DK797" s="30"/>
      <c r="DL797" s="30"/>
      <c r="DM797" s="30"/>
      <c r="DN797" s="30"/>
      <c r="DO797" s="30"/>
      <c r="DP797" s="30"/>
      <c r="DQ797" s="30"/>
      <c r="DR797" s="30"/>
      <c r="DS797" s="30"/>
      <c r="DT797" s="30"/>
      <c r="DU797" s="30"/>
      <c r="DV797" s="30"/>
      <c r="DW797" s="30"/>
      <c r="DX797" s="30"/>
      <c r="DY797" s="30"/>
      <c r="DZ797" s="30"/>
      <c r="EA797" s="30"/>
      <c r="EB797" s="30"/>
      <c r="EC797" s="30"/>
      <c r="ED797" s="30"/>
      <c r="EE797" s="30"/>
    </row>
    <row r="798" spans="1:135" ht="30" customHeight="1" thickBot="1" x14ac:dyDescent="0.3">
      <c r="A798" s="578" t="s">
        <v>2316</v>
      </c>
      <c r="B798" s="16" t="s">
        <v>2312</v>
      </c>
      <c r="C798" s="69" t="s">
        <v>2313</v>
      </c>
      <c r="D798" s="15" t="s">
        <v>24</v>
      </c>
      <c r="E798" s="11" t="s">
        <v>25</v>
      </c>
      <c r="F798" s="20" t="s">
        <v>2314</v>
      </c>
      <c r="G798" s="15" t="s">
        <v>74</v>
      </c>
      <c r="H798" s="22" t="s">
        <v>2315</v>
      </c>
      <c r="I798" s="18" t="s">
        <v>48</v>
      </c>
      <c r="J798" s="18" t="s">
        <v>49</v>
      </c>
      <c r="K798" s="23" t="s">
        <v>2317</v>
      </c>
      <c r="L798" s="32" t="str">
        <f>"RUTL-"&amp; RIGHT(K798,8)</f>
        <v>RUTL-1AA96N02</v>
      </c>
      <c r="M798" s="129" t="s">
        <v>40</v>
      </c>
      <c r="N798" s="23" t="s">
        <v>54</v>
      </c>
      <c r="O798" s="23"/>
      <c r="P798" s="35" t="s">
        <v>46</v>
      </c>
      <c r="Q798" s="36" t="s">
        <v>2318</v>
      </c>
      <c r="R798" s="15" t="s">
        <v>56</v>
      </c>
      <c r="S798" s="37" t="s">
        <v>57</v>
      </c>
      <c r="T798" s="210" t="s">
        <v>2319</v>
      </c>
      <c r="U798" s="47" t="s">
        <v>2323</v>
      </c>
      <c r="V798" s="48">
        <v>46111</v>
      </c>
      <c r="W798" s="23" t="s">
        <v>67</v>
      </c>
      <c r="X798" s="71"/>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row>
    <row r="799" spans="1:135" ht="30" customHeight="1" thickBot="1" x14ac:dyDescent="0.3">
      <c r="A799" s="578" t="s">
        <v>6442</v>
      </c>
      <c r="B799" s="51">
        <v>15916</v>
      </c>
      <c r="C799" s="69" t="s">
        <v>6440</v>
      </c>
      <c r="D799" s="10" t="s">
        <v>24</v>
      </c>
      <c r="E799" s="11" t="s">
        <v>25</v>
      </c>
      <c r="F799" s="12" t="s">
        <v>6441</v>
      </c>
      <c r="G799" s="15" t="s">
        <v>443</v>
      </c>
      <c r="H799" s="22" t="s">
        <v>2315</v>
      </c>
      <c r="I799" s="54" t="s">
        <v>48</v>
      </c>
      <c r="J799" s="18" t="s">
        <v>49</v>
      </c>
      <c r="K799" s="32" t="s">
        <v>6443</v>
      </c>
      <c r="L799" s="25" t="str">
        <f>"RUTL-"&amp;RIGHT(K799,8)</f>
        <v>RUTL-1A586N02</v>
      </c>
      <c r="M799" s="34" t="s">
        <v>40</v>
      </c>
      <c r="N799" s="23" t="s">
        <v>54</v>
      </c>
      <c r="O799" s="23"/>
      <c r="P799" s="35" t="s">
        <v>46</v>
      </c>
      <c r="Q799" s="36" t="s">
        <v>6444</v>
      </c>
      <c r="R799" s="15" t="s">
        <v>56</v>
      </c>
      <c r="S799" s="37" t="s">
        <v>57</v>
      </c>
      <c r="T799" s="38" t="s">
        <v>58</v>
      </c>
      <c r="U799" s="39" t="s">
        <v>6087</v>
      </c>
      <c r="V799" s="48">
        <v>46111</v>
      </c>
      <c r="W799" s="23" t="s">
        <v>67</v>
      </c>
      <c r="X799" s="71"/>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row>
    <row r="800" spans="1:135" ht="30" customHeight="1" thickBot="1" x14ac:dyDescent="0.3">
      <c r="A800" s="578" t="s">
        <v>6615</v>
      </c>
      <c r="B800" s="16">
        <v>16338</v>
      </c>
      <c r="C800" s="72" t="s">
        <v>6613</v>
      </c>
      <c r="D800" s="10" t="s">
        <v>24</v>
      </c>
      <c r="E800" s="11" t="s">
        <v>25</v>
      </c>
      <c r="F800" s="12" t="s">
        <v>6614</v>
      </c>
      <c r="G800" s="15" t="s">
        <v>606</v>
      </c>
      <c r="H800" s="22" t="s">
        <v>2315</v>
      </c>
      <c r="I800" s="296" t="s">
        <v>135</v>
      </c>
      <c r="J800" s="24" t="s">
        <v>32</v>
      </c>
      <c r="K800" s="330" t="s">
        <v>6616</v>
      </c>
      <c r="L800" s="25" t="str">
        <f>"RUTL-"&amp;RIGHT(K800,8)</f>
        <v>RUTL-PW0K0DNR</v>
      </c>
      <c r="M800" s="34" t="s">
        <v>40</v>
      </c>
      <c r="N800" s="23"/>
      <c r="O800" s="23"/>
      <c r="P800" s="35" t="s">
        <v>46</v>
      </c>
      <c r="Q800" s="36" t="s">
        <v>6617</v>
      </c>
      <c r="R800" s="15" t="s">
        <v>56</v>
      </c>
      <c r="S800" s="40" t="s">
        <v>57</v>
      </c>
      <c r="T800" s="38" t="s">
        <v>58</v>
      </c>
      <c r="U800" s="39" t="s">
        <v>6607</v>
      </c>
      <c r="V800" s="48">
        <v>46122</v>
      </c>
      <c r="W800" s="23" t="s">
        <v>62</v>
      </c>
      <c r="X800" s="71"/>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c r="BO800" s="30"/>
      <c r="BP800" s="30"/>
      <c r="BQ800" s="30"/>
      <c r="BR800" s="30"/>
      <c r="BS800" s="30"/>
      <c r="BT800" s="30"/>
      <c r="BU800" s="30"/>
      <c r="BV800" s="30"/>
      <c r="BW800" s="30"/>
      <c r="BX800" s="30"/>
      <c r="BY800" s="30"/>
      <c r="BZ800" s="30"/>
      <c r="CA800" s="30"/>
      <c r="CB800" s="30"/>
      <c r="CC800" s="30"/>
      <c r="CD800" s="30"/>
      <c r="CE800" s="30"/>
      <c r="CF800" s="30"/>
      <c r="CG800" s="30"/>
      <c r="CH800" s="30"/>
      <c r="CI800" s="30"/>
      <c r="CJ800" s="30"/>
      <c r="CK800" s="30"/>
      <c r="CL800" s="30"/>
      <c r="CM800" s="30"/>
      <c r="CN800" s="30"/>
      <c r="CO800" s="30"/>
      <c r="CP800" s="30"/>
      <c r="CQ800" s="30"/>
      <c r="CR800" s="30"/>
      <c r="CS800" s="30"/>
      <c r="CT800" s="30"/>
      <c r="CU800" s="30"/>
      <c r="CV800" s="30"/>
      <c r="CW800" s="30"/>
      <c r="CX800" s="30"/>
      <c r="CY800" s="30"/>
      <c r="CZ800" s="30"/>
      <c r="DA800" s="30"/>
      <c r="DB800" s="30"/>
      <c r="DC800" s="30"/>
      <c r="DD800" s="30"/>
      <c r="DE800" s="30"/>
      <c r="DF800" s="30"/>
      <c r="DG800" s="30"/>
      <c r="DH800" s="30"/>
      <c r="DI800" s="30"/>
      <c r="DJ800" s="30"/>
      <c r="DK800" s="30"/>
      <c r="DL800" s="30"/>
      <c r="DM800" s="30"/>
      <c r="DN800" s="30"/>
      <c r="DO800" s="30"/>
      <c r="DP800" s="30"/>
      <c r="DQ800" s="30"/>
      <c r="DR800" s="30"/>
      <c r="DS800" s="30"/>
      <c r="DT800" s="30"/>
      <c r="DU800" s="30"/>
      <c r="DV800" s="30"/>
      <c r="DW800" s="30"/>
      <c r="DX800" s="30"/>
      <c r="DY800" s="30"/>
      <c r="DZ800" s="30"/>
      <c r="EA800" s="30"/>
      <c r="EB800" s="30"/>
      <c r="EC800" s="30"/>
      <c r="ED800" s="30"/>
      <c r="EE800" s="30"/>
    </row>
    <row r="801" spans="1:135" ht="30" customHeight="1" thickBot="1" x14ac:dyDescent="0.3">
      <c r="A801" s="578" t="s">
        <v>6663</v>
      </c>
      <c r="B801" s="16">
        <v>16436</v>
      </c>
      <c r="C801" s="167" t="s">
        <v>6661</v>
      </c>
      <c r="D801" s="10" t="s">
        <v>24</v>
      </c>
      <c r="E801" s="411" t="s">
        <v>25</v>
      </c>
      <c r="F801" s="20" t="s">
        <v>6662</v>
      </c>
      <c r="G801" s="15" t="s">
        <v>4580</v>
      </c>
      <c r="H801" s="22" t="s">
        <v>1547</v>
      </c>
      <c r="I801" s="412" t="s">
        <v>135</v>
      </c>
      <c r="J801" s="412" t="s">
        <v>32</v>
      </c>
      <c r="K801" s="23" t="s">
        <v>6664</v>
      </c>
      <c r="L801" s="25" t="str">
        <f>"RUTL-"&amp;RIGHT(K801,8)</f>
        <v>RUTL-PW0K0DZM</v>
      </c>
      <c r="M801" s="34" t="s">
        <v>40</v>
      </c>
      <c r="N801" s="247" t="s">
        <v>54</v>
      </c>
      <c r="O801" s="496"/>
      <c r="P801" s="524" t="s">
        <v>46</v>
      </c>
      <c r="Q801" s="414" t="s">
        <v>6665</v>
      </c>
      <c r="R801" s="15" t="s">
        <v>56</v>
      </c>
      <c r="S801" s="40" t="s">
        <v>57</v>
      </c>
      <c r="T801" s="107" t="s">
        <v>453</v>
      </c>
      <c r="U801" s="39" t="s">
        <v>748</v>
      </c>
      <c r="V801" s="415">
        <v>46122</v>
      </c>
      <c r="W801" s="413" t="s">
        <v>62</v>
      </c>
      <c r="X801" s="71"/>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row>
    <row r="802" spans="1:135" ht="30" customHeight="1" thickBot="1" x14ac:dyDescent="0.3">
      <c r="A802" s="578" t="s">
        <v>6620</v>
      </c>
      <c r="B802" s="16">
        <v>16383</v>
      </c>
      <c r="C802" s="72" t="s">
        <v>6618</v>
      </c>
      <c r="D802" s="10" t="s">
        <v>24</v>
      </c>
      <c r="E802" s="11" t="s">
        <v>25</v>
      </c>
      <c r="F802" s="12" t="s">
        <v>6619</v>
      </c>
      <c r="G802" s="15" t="s">
        <v>2390</v>
      </c>
      <c r="H802" s="22" t="s">
        <v>3902</v>
      </c>
      <c r="I802" s="296" t="s">
        <v>135</v>
      </c>
      <c r="J802" s="24" t="s">
        <v>32</v>
      </c>
      <c r="K802" s="23" t="s">
        <v>6621</v>
      </c>
      <c r="L802" s="25" t="str">
        <f>"RUTL-"&amp;RIGHT(K802,8)</f>
        <v>RUTL-PW0K0DYT</v>
      </c>
      <c r="M802" s="34" t="s">
        <v>40</v>
      </c>
      <c r="N802" s="39" t="s">
        <v>54</v>
      </c>
      <c r="O802" s="32"/>
      <c r="P802" s="35" t="s">
        <v>46</v>
      </c>
      <c r="Q802" s="36" t="s">
        <v>6622</v>
      </c>
      <c r="R802" s="15" t="s">
        <v>56</v>
      </c>
      <c r="S802" s="40" t="s">
        <v>57</v>
      </c>
      <c r="T802" s="118" t="s">
        <v>65</v>
      </c>
      <c r="U802" s="39" t="s">
        <v>2004</v>
      </c>
      <c r="V802" s="270">
        <v>46122</v>
      </c>
      <c r="W802" s="32" t="s">
        <v>62</v>
      </c>
      <c r="X802" s="71"/>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c r="BO802" s="30"/>
      <c r="BP802" s="30"/>
      <c r="BQ802" s="30"/>
      <c r="BR802" s="30"/>
      <c r="BS802" s="30"/>
      <c r="BT802" s="30"/>
      <c r="BU802" s="30"/>
      <c r="BV802" s="30"/>
      <c r="BW802" s="30"/>
      <c r="BX802" s="30"/>
      <c r="BY802" s="30"/>
      <c r="BZ802" s="30"/>
      <c r="CA802" s="30"/>
      <c r="CB802" s="30"/>
      <c r="CC802" s="30"/>
      <c r="CD802" s="30"/>
      <c r="CE802" s="30"/>
      <c r="CF802" s="30"/>
      <c r="CG802" s="30"/>
      <c r="CH802" s="30"/>
      <c r="CI802" s="30"/>
      <c r="CJ802" s="30"/>
      <c r="CK802" s="30"/>
      <c r="CL802" s="30"/>
      <c r="CM802" s="30"/>
      <c r="CN802" s="30"/>
      <c r="CO802" s="30"/>
      <c r="CP802" s="30"/>
      <c r="CQ802" s="30"/>
      <c r="CR802" s="30"/>
      <c r="CS802" s="30"/>
      <c r="CT802" s="30"/>
      <c r="CU802" s="30"/>
      <c r="CV802" s="30"/>
      <c r="CW802" s="30"/>
      <c r="CX802" s="30"/>
      <c r="CY802" s="30"/>
      <c r="CZ802" s="30"/>
      <c r="DA802" s="30"/>
      <c r="DB802" s="30"/>
      <c r="DC802" s="30"/>
      <c r="DD802" s="30"/>
      <c r="DE802" s="30"/>
      <c r="DF802" s="30"/>
      <c r="DG802" s="30"/>
      <c r="DH802" s="30"/>
      <c r="DI802" s="30"/>
      <c r="DJ802" s="30"/>
      <c r="DK802" s="30"/>
      <c r="DL802" s="30"/>
      <c r="DM802" s="30"/>
      <c r="DN802" s="30"/>
      <c r="DO802" s="30"/>
      <c r="DP802" s="30"/>
      <c r="DQ802" s="30"/>
      <c r="DR802" s="30"/>
      <c r="DS802" s="30"/>
      <c r="DT802" s="30"/>
      <c r="DU802" s="30"/>
      <c r="DV802" s="30"/>
      <c r="DW802" s="30"/>
      <c r="DX802" s="30"/>
      <c r="DY802" s="30"/>
      <c r="DZ802" s="30"/>
      <c r="EA802" s="30"/>
      <c r="EB802" s="30"/>
      <c r="EC802" s="30"/>
      <c r="ED802" s="30"/>
      <c r="EE802" s="30"/>
    </row>
    <row r="803" spans="1:135" ht="30" customHeight="1" thickBot="1" x14ac:dyDescent="0.3">
      <c r="A803" s="578" t="s">
        <v>6652</v>
      </c>
      <c r="B803" s="16">
        <v>16422</v>
      </c>
      <c r="C803" s="167" t="s">
        <v>6650</v>
      </c>
      <c r="D803" s="10" t="s">
        <v>24</v>
      </c>
      <c r="E803" s="11" t="s">
        <v>25</v>
      </c>
      <c r="F803" s="20" t="s">
        <v>6651</v>
      </c>
      <c r="G803" s="15" t="s">
        <v>1566</v>
      </c>
      <c r="H803" s="31" t="s">
        <v>255</v>
      </c>
      <c r="I803" s="296" t="s">
        <v>135</v>
      </c>
      <c r="J803" s="24" t="s">
        <v>32</v>
      </c>
      <c r="K803" s="23" t="s">
        <v>6653</v>
      </c>
      <c r="L803" s="25" t="str">
        <f>"RUTL-"&amp;RIGHT(K803,8)</f>
        <v>RUTL-PW0K0DT8</v>
      </c>
      <c r="M803" s="34" t="s">
        <v>40</v>
      </c>
      <c r="N803" s="39" t="s">
        <v>54</v>
      </c>
      <c r="O803" s="32"/>
      <c r="P803" s="35" t="s">
        <v>46</v>
      </c>
      <c r="Q803" s="36" t="s">
        <v>6654</v>
      </c>
      <c r="R803" s="15" t="s">
        <v>56</v>
      </c>
      <c r="S803" s="40" t="s">
        <v>57</v>
      </c>
      <c r="T803" s="118" t="s">
        <v>65</v>
      </c>
      <c r="U803" s="39" t="s">
        <v>6655</v>
      </c>
      <c r="V803" s="43">
        <v>46122</v>
      </c>
      <c r="W803" s="32" t="s">
        <v>62</v>
      </c>
      <c r="X803" s="71"/>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c r="BO803" s="30"/>
      <c r="BP803" s="30"/>
      <c r="BQ803" s="30"/>
      <c r="BR803" s="30"/>
      <c r="BS803" s="30"/>
      <c r="BT803" s="30"/>
      <c r="BU803" s="30"/>
      <c r="BV803" s="30"/>
      <c r="BW803" s="30"/>
      <c r="BX803" s="30"/>
      <c r="BY803" s="30"/>
      <c r="BZ803" s="30"/>
      <c r="CA803" s="30"/>
      <c r="CB803" s="30"/>
      <c r="CC803" s="30"/>
      <c r="CD803" s="30"/>
      <c r="CE803" s="30"/>
      <c r="CF803" s="30"/>
      <c r="CG803" s="30"/>
      <c r="CH803" s="30"/>
      <c r="CI803" s="30"/>
      <c r="CJ803" s="30"/>
      <c r="CK803" s="30"/>
      <c r="CL803" s="30"/>
      <c r="CM803" s="30"/>
      <c r="CN803" s="30"/>
      <c r="CO803" s="30"/>
      <c r="CP803" s="30"/>
      <c r="CQ803" s="30"/>
      <c r="CR803" s="30"/>
      <c r="CS803" s="30"/>
      <c r="CT803" s="30"/>
      <c r="CU803" s="30"/>
      <c r="CV803" s="30"/>
      <c r="CW803" s="30"/>
      <c r="CX803" s="30"/>
      <c r="CY803" s="30"/>
      <c r="CZ803" s="30"/>
      <c r="DA803" s="30"/>
      <c r="DB803" s="30"/>
      <c r="DC803" s="30"/>
      <c r="DD803" s="30"/>
      <c r="DE803" s="30"/>
      <c r="DF803" s="30"/>
      <c r="DG803" s="30"/>
      <c r="DH803" s="30"/>
      <c r="DI803" s="30"/>
      <c r="DJ803" s="30"/>
      <c r="DK803" s="30"/>
      <c r="DL803" s="30"/>
      <c r="DM803" s="30"/>
      <c r="DN803" s="30"/>
      <c r="DO803" s="30"/>
      <c r="DP803" s="30"/>
      <c r="DQ803" s="30"/>
      <c r="DR803" s="30"/>
      <c r="DS803" s="30"/>
      <c r="DT803" s="30"/>
      <c r="DU803" s="30"/>
      <c r="DV803" s="30"/>
      <c r="DW803" s="30"/>
      <c r="DX803" s="30"/>
      <c r="DY803" s="30"/>
      <c r="DZ803" s="30"/>
      <c r="EA803" s="30"/>
      <c r="EB803" s="30"/>
      <c r="EC803" s="30"/>
      <c r="ED803" s="30"/>
      <c r="EE803" s="30"/>
    </row>
    <row r="804" spans="1:135" ht="30" customHeight="1" thickBot="1" x14ac:dyDescent="0.3">
      <c r="A804" s="578" t="s">
        <v>6641</v>
      </c>
      <c r="B804" s="16">
        <v>16388</v>
      </c>
      <c r="C804" s="167" t="s">
        <v>6639</v>
      </c>
      <c r="D804" s="10" t="s">
        <v>24</v>
      </c>
      <c r="E804" s="11" t="s">
        <v>25</v>
      </c>
      <c r="F804" s="20" t="s">
        <v>6640</v>
      </c>
      <c r="G804" s="15" t="s">
        <v>2512</v>
      </c>
      <c r="H804" s="22" t="s">
        <v>1547</v>
      </c>
      <c r="I804" s="54" t="s">
        <v>135</v>
      </c>
      <c r="J804" s="24" t="s">
        <v>32</v>
      </c>
      <c r="K804" s="23" t="s">
        <v>6642</v>
      </c>
      <c r="L804" s="25" t="str">
        <f>"RUTL-"&amp;RIGHT(K804,8)</f>
        <v>RUTL-PW0K0DSF</v>
      </c>
      <c r="M804" s="34" t="s">
        <v>40</v>
      </c>
      <c r="N804" s="23" t="s">
        <v>54</v>
      </c>
      <c r="O804" s="32"/>
      <c r="P804" s="35" t="s">
        <v>46</v>
      </c>
      <c r="Q804" s="36" t="s">
        <v>6643</v>
      </c>
      <c r="R804" s="15" t="s">
        <v>56</v>
      </c>
      <c r="S804" s="37" t="s">
        <v>57</v>
      </c>
      <c r="T804" s="274" t="s">
        <v>58</v>
      </c>
      <c r="U804" s="39" t="s">
        <v>3781</v>
      </c>
      <c r="V804" s="48">
        <v>46122</v>
      </c>
      <c r="W804" s="23" t="s">
        <v>62</v>
      </c>
      <c r="X804" s="71"/>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row>
    <row r="805" spans="1:135" ht="30" customHeight="1" thickBot="1" x14ac:dyDescent="0.3">
      <c r="A805" s="578" t="s">
        <v>6139</v>
      </c>
      <c r="B805" s="51">
        <v>15237</v>
      </c>
      <c r="C805" s="9" t="s">
        <v>6137</v>
      </c>
      <c r="D805" s="10" t="s">
        <v>24</v>
      </c>
      <c r="E805" s="28" t="s">
        <v>25</v>
      </c>
      <c r="F805" s="20" t="s">
        <v>6138</v>
      </c>
      <c r="G805" s="15" t="s">
        <v>2011</v>
      </c>
      <c r="H805" s="31" t="s">
        <v>2658</v>
      </c>
      <c r="I805" s="205" t="s">
        <v>135</v>
      </c>
      <c r="J805" s="24" t="s">
        <v>32</v>
      </c>
      <c r="K805" s="33" t="s">
        <v>6140</v>
      </c>
      <c r="L805" s="25" t="str">
        <f>"RUTL-"&amp;RIGHT(K805,8)</f>
        <v>RUTL-PW0K0DZD</v>
      </c>
      <c r="M805" s="34" t="s">
        <v>40</v>
      </c>
      <c r="N805" s="23" t="s">
        <v>54</v>
      </c>
      <c r="O805" s="32"/>
      <c r="P805" s="35" t="s">
        <v>46</v>
      </c>
      <c r="Q805" s="36" t="s">
        <v>6141</v>
      </c>
      <c r="R805" s="15" t="s">
        <v>56</v>
      </c>
      <c r="S805" s="40" t="s">
        <v>57</v>
      </c>
      <c r="T805" s="398" t="s">
        <v>273</v>
      </c>
      <c r="U805" s="39" t="s">
        <v>6014</v>
      </c>
      <c r="V805" s="43">
        <v>46122</v>
      </c>
      <c r="W805" s="32" t="s">
        <v>62</v>
      </c>
      <c r="X805" s="71"/>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row>
    <row r="806" spans="1:135" ht="30" customHeight="1" thickBot="1" x14ac:dyDescent="0.3">
      <c r="A806" s="578" t="s">
        <v>6672</v>
      </c>
      <c r="B806" s="8">
        <v>16467</v>
      </c>
      <c r="C806" s="72" t="s">
        <v>6670</v>
      </c>
      <c r="D806" s="140" t="s">
        <v>24</v>
      </c>
      <c r="E806" s="11" t="s">
        <v>25</v>
      </c>
      <c r="F806" s="20" t="s">
        <v>6671</v>
      </c>
      <c r="G806" s="15" t="s">
        <v>988</v>
      </c>
      <c r="H806" s="22" t="s">
        <v>2658</v>
      </c>
      <c r="I806" s="205" t="s">
        <v>135</v>
      </c>
      <c r="J806" s="24" t="s">
        <v>32</v>
      </c>
      <c r="K806" s="23" t="s">
        <v>6673</v>
      </c>
      <c r="L806" s="25" t="str">
        <f>"RUTL-"&amp;RIGHT(K806,8)</f>
        <v>RUTL-PW0K0DD4</v>
      </c>
      <c r="M806" s="34" t="s">
        <v>40</v>
      </c>
      <c r="N806" s="32"/>
      <c r="O806" s="32"/>
      <c r="P806" s="35" t="s">
        <v>46</v>
      </c>
      <c r="Q806" s="36" t="s">
        <v>6674</v>
      </c>
      <c r="R806" s="15" t="s">
        <v>56</v>
      </c>
      <c r="S806" s="40" t="s">
        <v>57</v>
      </c>
      <c r="T806" s="118" t="s">
        <v>65</v>
      </c>
      <c r="U806" s="39" t="s">
        <v>3193</v>
      </c>
      <c r="V806" s="43">
        <v>46122</v>
      </c>
      <c r="W806" s="32" t="s">
        <v>62</v>
      </c>
      <c r="X806" s="71"/>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row>
    <row r="807" spans="1:135" ht="30" customHeight="1" thickBot="1" x14ac:dyDescent="0.3">
      <c r="A807" s="578" t="s">
        <v>6549</v>
      </c>
      <c r="B807" s="16">
        <v>16129</v>
      </c>
      <c r="C807" s="268" t="s">
        <v>6547</v>
      </c>
      <c r="D807" s="140" t="s">
        <v>24</v>
      </c>
      <c r="E807" s="11" t="s">
        <v>25</v>
      </c>
      <c r="F807" s="20" t="s">
        <v>6548</v>
      </c>
      <c r="G807" s="15" t="s">
        <v>2512</v>
      </c>
      <c r="H807" s="31" t="s">
        <v>2109</v>
      </c>
      <c r="I807" s="24" t="s">
        <v>135</v>
      </c>
      <c r="J807" s="24" t="s">
        <v>32</v>
      </c>
      <c r="K807" s="23" t="s">
        <v>6550</v>
      </c>
      <c r="L807" s="25" t="str">
        <f>"RUTL-"&amp;RIGHT(K807,8)</f>
        <v>RUTL-PW0K0DT0</v>
      </c>
      <c r="M807" s="34" t="s">
        <v>40</v>
      </c>
      <c r="N807" s="23" t="s">
        <v>54</v>
      </c>
      <c r="O807" s="32"/>
      <c r="P807" s="35" t="s">
        <v>46</v>
      </c>
      <c r="Q807" s="36" t="s">
        <v>6551</v>
      </c>
      <c r="R807" s="15" t="s">
        <v>56</v>
      </c>
      <c r="S807" s="37" t="s">
        <v>57</v>
      </c>
      <c r="T807" s="118" t="s">
        <v>65</v>
      </c>
      <c r="U807" s="39" t="s">
        <v>3990</v>
      </c>
      <c r="V807" s="43">
        <v>46122</v>
      </c>
      <c r="W807" s="32" t="s">
        <v>62</v>
      </c>
      <c r="X807" s="71"/>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c r="DJ807" s="5"/>
      <c r="DK807" s="5"/>
      <c r="DL807" s="5"/>
      <c r="DM807" s="5"/>
      <c r="DN807" s="5"/>
      <c r="DO807" s="5"/>
      <c r="DP807" s="5"/>
      <c r="DQ807" s="5"/>
      <c r="DR807" s="5"/>
      <c r="DS807" s="5"/>
      <c r="DT807" s="5"/>
      <c r="DU807" s="5"/>
      <c r="DV807" s="5"/>
      <c r="DW807" s="5"/>
      <c r="DX807" s="5"/>
      <c r="DY807" s="5"/>
      <c r="DZ807" s="5"/>
      <c r="EA807" s="5"/>
      <c r="EB807" s="5"/>
      <c r="EC807" s="5"/>
      <c r="ED807" s="5"/>
      <c r="EE807" s="5"/>
    </row>
    <row r="808" spans="1:135" ht="30" customHeight="1" thickBot="1" x14ac:dyDescent="0.3">
      <c r="A808" s="578" t="s">
        <v>6600</v>
      </c>
      <c r="B808" s="16">
        <v>16220</v>
      </c>
      <c r="C808" s="72" t="s">
        <v>6598</v>
      </c>
      <c r="D808" s="140" t="s">
        <v>24</v>
      </c>
      <c r="E808" s="11" t="s">
        <v>25</v>
      </c>
      <c r="F808" s="12" t="s">
        <v>6599</v>
      </c>
      <c r="G808" s="15" t="s">
        <v>3295</v>
      </c>
      <c r="H808" s="22" t="s">
        <v>2658</v>
      </c>
      <c r="I808" s="24" t="s">
        <v>135</v>
      </c>
      <c r="J808" s="24" t="s">
        <v>32</v>
      </c>
      <c r="K808" s="23" t="s">
        <v>6601</v>
      </c>
      <c r="L808" s="25" t="str">
        <f>"RUTL-"&amp;RIGHT(K808,8)</f>
        <v>RUTL-PW0K0DCQ</v>
      </c>
      <c r="M808" s="34" t="s">
        <v>40</v>
      </c>
      <c r="N808" s="23" t="s">
        <v>54</v>
      </c>
      <c r="O808" s="32"/>
      <c r="P808" s="35" t="s">
        <v>46</v>
      </c>
      <c r="Q808" s="113"/>
      <c r="R808" s="15" t="s">
        <v>56</v>
      </c>
      <c r="S808" s="40" t="s">
        <v>57</v>
      </c>
      <c r="T808" s="118" t="s">
        <v>65</v>
      </c>
      <c r="U808" s="39" t="s">
        <v>3990</v>
      </c>
      <c r="V808" s="43">
        <v>46122</v>
      </c>
      <c r="W808" s="32" t="s">
        <v>62</v>
      </c>
      <c r="X808" s="71"/>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row>
    <row r="809" spans="1:135" ht="30" customHeight="1" thickBot="1" x14ac:dyDescent="0.3">
      <c r="A809" s="578" t="s">
        <v>4651</v>
      </c>
      <c r="B809" s="51">
        <v>9595</v>
      </c>
      <c r="C809" s="69" t="s">
        <v>4648</v>
      </c>
      <c r="D809" s="140" t="s">
        <v>24</v>
      </c>
      <c r="E809" s="11" t="s">
        <v>25</v>
      </c>
      <c r="F809" s="29" t="s">
        <v>4649</v>
      </c>
      <c r="G809" s="15" t="s">
        <v>4650</v>
      </c>
      <c r="H809" s="475" t="s">
        <v>852</v>
      </c>
      <c r="I809" s="24" t="s">
        <v>135</v>
      </c>
      <c r="J809" s="24" t="s">
        <v>32</v>
      </c>
      <c r="K809" s="33" t="s">
        <v>4652</v>
      </c>
      <c r="L809" s="25" t="str">
        <f>"RUTL-"&amp;RIGHT(K809,8)</f>
        <v>RUTL-PW0K0E0F</v>
      </c>
      <c r="M809" s="92" t="s">
        <v>40</v>
      </c>
      <c r="N809" s="32" t="s">
        <v>54</v>
      </c>
      <c r="O809" s="288"/>
      <c r="P809" s="35" t="s">
        <v>46</v>
      </c>
      <c r="Q809" s="36" t="s">
        <v>4653</v>
      </c>
      <c r="R809" s="15" t="s">
        <v>56</v>
      </c>
      <c r="S809" s="40" t="s">
        <v>57</v>
      </c>
      <c r="T809" s="35" t="s">
        <v>65</v>
      </c>
      <c r="U809" s="39" t="s">
        <v>1864</v>
      </c>
      <c r="V809" s="48">
        <v>46122</v>
      </c>
      <c r="W809" s="32" t="s">
        <v>62</v>
      </c>
      <c r="X809" s="71"/>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row>
    <row r="810" spans="1:135" ht="30" customHeight="1" thickBot="1" x14ac:dyDescent="0.3">
      <c r="A810" s="578" t="s">
        <v>4901</v>
      </c>
      <c r="B810" s="16">
        <v>10996</v>
      </c>
      <c r="C810" s="9" t="s">
        <v>4899</v>
      </c>
      <c r="D810" s="140" t="s">
        <v>24</v>
      </c>
      <c r="E810" s="10" t="s">
        <v>25</v>
      </c>
      <c r="F810" s="20" t="s">
        <v>4900</v>
      </c>
      <c r="G810" s="15" t="s">
        <v>606</v>
      </c>
      <c r="H810" s="22" t="s">
        <v>2109</v>
      </c>
      <c r="I810" s="205" t="s">
        <v>135</v>
      </c>
      <c r="J810" s="24" t="s">
        <v>32</v>
      </c>
      <c r="K810" s="23" t="s">
        <v>4902</v>
      </c>
      <c r="L810" s="25" t="str">
        <f>"RUTL-"&amp;RIGHT(K810,8)</f>
        <v>RUTL-PW0K0D5M</v>
      </c>
      <c r="M810" s="34" t="s">
        <v>40</v>
      </c>
      <c r="N810" s="39" t="s">
        <v>43</v>
      </c>
      <c r="O810" s="32"/>
      <c r="P810" s="35" t="s">
        <v>46</v>
      </c>
      <c r="Q810" s="36" t="s">
        <v>4903</v>
      </c>
      <c r="R810" s="15" t="s">
        <v>56</v>
      </c>
      <c r="S810" s="37" t="s">
        <v>57</v>
      </c>
      <c r="T810" s="87" t="s">
        <v>273</v>
      </c>
      <c r="U810" s="39" t="s">
        <v>4904</v>
      </c>
      <c r="V810" s="43">
        <v>46122</v>
      </c>
      <c r="W810" s="32" t="s">
        <v>62</v>
      </c>
      <c r="X810" s="71"/>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row>
    <row r="811" spans="1:135" ht="30" customHeight="1" thickBot="1" x14ac:dyDescent="0.3">
      <c r="A811" s="578" t="s">
        <v>5705</v>
      </c>
      <c r="B811" s="16">
        <v>13595</v>
      </c>
      <c r="C811" s="72" t="s">
        <v>5703</v>
      </c>
      <c r="D811" s="140" t="s">
        <v>24</v>
      </c>
      <c r="E811" s="11" t="s">
        <v>25</v>
      </c>
      <c r="F811" s="20" t="s">
        <v>5704</v>
      </c>
      <c r="G811" s="15" t="s">
        <v>1351</v>
      </c>
      <c r="H811" s="370" t="s">
        <v>3902</v>
      </c>
      <c r="I811" s="18" t="s">
        <v>117</v>
      </c>
      <c r="J811" s="24" t="s">
        <v>32</v>
      </c>
      <c r="K811" s="23" t="s">
        <v>5706</v>
      </c>
      <c r="L811" s="25" t="str">
        <f>"RUTL-"&amp;RIGHT(K811,8)</f>
        <v>RUTL-PW0K0DLB</v>
      </c>
      <c r="M811" s="34" t="s">
        <v>40</v>
      </c>
      <c r="N811" s="39" t="s">
        <v>43</v>
      </c>
      <c r="O811" s="32"/>
      <c r="P811" s="35" t="s">
        <v>46</v>
      </c>
      <c r="Q811" s="36" t="s">
        <v>5707</v>
      </c>
      <c r="R811" s="15" t="s">
        <v>56</v>
      </c>
      <c r="S811" s="37" t="s">
        <v>57</v>
      </c>
      <c r="T811" s="105" t="s">
        <v>148</v>
      </c>
      <c r="U811" s="39" t="s">
        <v>5708</v>
      </c>
      <c r="V811" s="43">
        <v>46122</v>
      </c>
      <c r="W811" s="32" t="s">
        <v>62</v>
      </c>
      <c r="X811" s="71"/>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c r="DJ811" s="5"/>
      <c r="DK811" s="5"/>
      <c r="DL811" s="5"/>
      <c r="DM811" s="5"/>
      <c r="DN811" s="5"/>
      <c r="DO811" s="5"/>
      <c r="DP811" s="5"/>
      <c r="DQ811" s="5"/>
      <c r="DR811" s="5"/>
      <c r="DS811" s="5"/>
      <c r="DT811" s="5"/>
      <c r="DU811" s="5"/>
      <c r="DV811" s="5"/>
      <c r="DW811" s="5"/>
      <c r="DX811" s="5"/>
      <c r="DY811" s="5"/>
      <c r="DZ811" s="5"/>
      <c r="EA811" s="5"/>
      <c r="EB811" s="5"/>
      <c r="EC811" s="5"/>
      <c r="ED811" s="5"/>
      <c r="EE811" s="5"/>
    </row>
    <row r="812" spans="1:135" ht="30" customHeight="1" thickBot="1" x14ac:dyDescent="0.3">
      <c r="A812" s="578" t="s">
        <v>6554</v>
      </c>
      <c r="B812" s="16">
        <v>16142</v>
      </c>
      <c r="C812" s="9" t="s">
        <v>6552</v>
      </c>
      <c r="D812" s="140" t="s">
        <v>24</v>
      </c>
      <c r="E812" s="11" t="s">
        <v>25</v>
      </c>
      <c r="F812" s="12" t="s">
        <v>6553</v>
      </c>
      <c r="G812" s="59" t="s">
        <v>606</v>
      </c>
      <c r="H812" s="22" t="s">
        <v>2109</v>
      </c>
      <c r="I812" s="296" t="s">
        <v>135</v>
      </c>
      <c r="J812" s="24" t="s">
        <v>32</v>
      </c>
      <c r="K812" s="23" t="s">
        <v>6555</v>
      </c>
      <c r="L812" s="25" t="str">
        <f>"RUTL-"&amp;RIGHT(K812,8)</f>
        <v>RUTL-PW0K0DK5</v>
      </c>
      <c r="M812" s="34" t="s">
        <v>40</v>
      </c>
      <c r="N812" s="23" t="s">
        <v>54</v>
      </c>
      <c r="O812" s="32"/>
      <c r="P812" s="35" t="s">
        <v>46</v>
      </c>
      <c r="Q812" s="392" t="s">
        <v>6556</v>
      </c>
      <c r="R812" s="15" t="s">
        <v>56</v>
      </c>
      <c r="S812" s="37" t="s">
        <v>57</v>
      </c>
      <c r="T812" s="87" t="s">
        <v>273</v>
      </c>
      <c r="U812" s="39" t="s">
        <v>3119</v>
      </c>
      <c r="V812" s="270">
        <v>46122</v>
      </c>
      <c r="W812" s="32" t="s">
        <v>62</v>
      </c>
      <c r="X812" s="71"/>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c r="BO812" s="30"/>
      <c r="BP812" s="30"/>
      <c r="BQ812" s="30"/>
      <c r="BR812" s="30"/>
      <c r="BS812" s="30"/>
      <c r="BT812" s="30"/>
      <c r="BU812" s="30"/>
      <c r="BV812" s="30"/>
      <c r="BW812" s="30"/>
      <c r="BX812" s="30"/>
      <c r="BY812" s="30"/>
      <c r="BZ812" s="30"/>
      <c r="CA812" s="30"/>
      <c r="CB812" s="30"/>
      <c r="CC812" s="30"/>
      <c r="CD812" s="30"/>
      <c r="CE812" s="30"/>
      <c r="CF812" s="30"/>
      <c r="CG812" s="30"/>
      <c r="CH812" s="30"/>
      <c r="CI812" s="30"/>
      <c r="CJ812" s="30"/>
      <c r="CK812" s="30"/>
      <c r="CL812" s="30"/>
      <c r="CM812" s="30"/>
      <c r="CN812" s="30"/>
      <c r="CO812" s="30"/>
      <c r="CP812" s="30"/>
      <c r="CQ812" s="30"/>
      <c r="CR812" s="30"/>
      <c r="CS812" s="30"/>
      <c r="CT812" s="30"/>
      <c r="CU812" s="30"/>
      <c r="CV812" s="30"/>
      <c r="CW812" s="30"/>
      <c r="CX812" s="30"/>
      <c r="CY812" s="30"/>
      <c r="CZ812" s="30"/>
      <c r="DA812" s="30"/>
      <c r="DB812" s="30"/>
      <c r="DC812" s="30"/>
      <c r="DD812" s="30"/>
      <c r="DE812" s="30"/>
      <c r="DF812" s="30"/>
      <c r="DG812" s="30"/>
      <c r="DH812" s="30"/>
      <c r="DI812" s="30"/>
      <c r="DJ812" s="30"/>
      <c r="DK812" s="30"/>
      <c r="DL812" s="30"/>
      <c r="DM812" s="30"/>
      <c r="DN812" s="30"/>
      <c r="DO812" s="30"/>
      <c r="DP812" s="30"/>
      <c r="DQ812" s="30"/>
      <c r="DR812" s="30"/>
      <c r="DS812" s="30"/>
      <c r="DT812" s="30"/>
      <c r="DU812" s="30"/>
      <c r="DV812" s="30"/>
      <c r="DW812" s="30"/>
      <c r="DX812" s="30"/>
      <c r="DY812" s="30"/>
      <c r="DZ812" s="30"/>
      <c r="EA812" s="30"/>
      <c r="EB812" s="30"/>
      <c r="EC812" s="30"/>
      <c r="ED812" s="30"/>
      <c r="EE812" s="30"/>
    </row>
    <row r="813" spans="1:135" ht="30" customHeight="1" thickBot="1" x14ac:dyDescent="0.3">
      <c r="A813" s="578" t="s">
        <v>6092</v>
      </c>
      <c r="B813" s="16">
        <v>15068</v>
      </c>
      <c r="C813" s="72" t="s">
        <v>6089</v>
      </c>
      <c r="D813" s="59" t="s">
        <v>24</v>
      </c>
      <c r="E813" s="11" t="s">
        <v>25</v>
      </c>
      <c r="F813" s="20" t="s">
        <v>6090</v>
      </c>
      <c r="G813" s="15" t="s">
        <v>6091</v>
      </c>
      <c r="H813" s="31" t="s">
        <v>2315</v>
      </c>
      <c r="I813" s="296" t="s">
        <v>135</v>
      </c>
      <c r="J813" s="24" t="s">
        <v>32</v>
      </c>
      <c r="K813" s="371" t="s">
        <v>6093</v>
      </c>
      <c r="L813" s="25" t="str">
        <f>"RUTL-"&amp;RIGHT(K813,8)</f>
        <v>RUTL-PW0K0DYX</v>
      </c>
      <c r="M813" s="34" t="s">
        <v>40</v>
      </c>
      <c r="N813" s="23" t="s">
        <v>54</v>
      </c>
      <c r="O813" s="32"/>
      <c r="P813" s="35" t="s">
        <v>46</v>
      </c>
      <c r="Q813" s="392" t="s">
        <v>6094</v>
      </c>
      <c r="R813" s="15" t="s">
        <v>56</v>
      </c>
      <c r="S813" s="40" t="s">
        <v>57</v>
      </c>
      <c r="T813" s="41" t="s">
        <v>65</v>
      </c>
      <c r="U813" s="39" t="s">
        <v>2589</v>
      </c>
      <c r="V813" s="270">
        <v>46122</v>
      </c>
      <c r="W813" s="32" t="s">
        <v>62</v>
      </c>
      <c r="X813" s="71"/>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c r="BO813" s="30"/>
      <c r="BP813" s="30"/>
      <c r="BQ813" s="30"/>
      <c r="BR813" s="30"/>
      <c r="BS813" s="30"/>
      <c r="BT813" s="30"/>
      <c r="BU813" s="30"/>
      <c r="BV813" s="30"/>
      <c r="BW813" s="30"/>
      <c r="BX813" s="30"/>
      <c r="BY813" s="30"/>
      <c r="BZ813" s="30"/>
      <c r="CA813" s="30"/>
      <c r="CB813" s="30"/>
      <c r="CC813" s="30"/>
      <c r="CD813" s="30"/>
      <c r="CE813" s="30"/>
      <c r="CF813" s="30"/>
      <c r="CG813" s="30"/>
      <c r="CH813" s="30"/>
      <c r="CI813" s="30"/>
      <c r="CJ813" s="30"/>
      <c r="CK813" s="30"/>
      <c r="CL813" s="30"/>
      <c r="CM813" s="30"/>
      <c r="CN813" s="30"/>
      <c r="CO813" s="30"/>
      <c r="CP813" s="30"/>
      <c r="CQ813" s="30"/>
      <c r="CR813" s="30"/>
      <c r="CS813" s="30"/>
      <c r="CT813" s="30"/>
      <c r="CU813" s="30"/>
      <c r="CV813" s="30"/>
      <c r="CW813" s="30"/>
      <c r="CX813" s="30"/>
      <c r="CY813" s="30"/>
      <c r="CZ813" s="30"/>
      <c r="DA813" s="30"/>
      <c r="DB813" s="30"/>
      <c r="DC813" s="30"/>
      <c r="DD813" s="30"/>
      <c r="DE813" s="30"/>
      <c r="DF813" s="30"/>
      <c r="DG813" s="30"/>
      <c r="DH813" s="30"/>
      <c r="DI813" s="30"/>
      <c r="DJ813" s="30"/>
      <c r="DK813" s="30"/>
      <c r="DL813" s="30"/>
      <c r="DM813" s="30"/>
      <c r="DN813" s="30"/>
      <c r="DO813" s="30"/>
      <c r="DP813" s="30"/>
      <c r="DQ813" s="30"/>
      <c r="DR813" s="30"/>
      <c r="DS813" s="30"/>
      <c r="DT813" s="30"/>
      <c r="DU813" s="30"/>
      <c r="DV813" s="30"/>
      <c r="DW813" s="30"/>
      <c r="DX813" s="30"/>
      <c r="DY813" s="30"/>
      <c r="DZ813" s="30"/>
      <c r="EA813" s="30"/>
      <c r="EB813" s="30"/>
      <c r="EC813" s="30"/>
      <c r="ED813" s="30"/>
      <c r="EE813" s="30"/>
    </row>
    <row r="814" spans="1:135" ht="30" customHeight="1" thickBot="1" x14ac:dyDescent="0.3">
      <c r="A814" s="578" t="s">
        <v>3765</v>
      </c>
      <c r="B814" s="51">
        <v>5533</v>
      </c>
      <c r="C814" s="315" t="s">
        <v>3763</v>
      </c>
      <c r="D814" s="140" t="s">
        <v>24</v>
      </c>
      <c r="E814" s="11" t="s">
        <v>25</v>
      </c>
      <c r="F814" s="20" t="s">
        <v>3764</v>
      </c>
      <c r="G814" s="59" t="s">
        <v>2271</v>
      </c>
      <c r="H814" s="31" t="s">
        <v>2041</v>
      </c>
      <c r="I814" s="296" t="s">
        <v>135</v>
      </c>
      <c r="J814" s="24" t="s">
        <v>32</v>
      </c>
      <c r="K814" s="416" t="s">
        <v>3766</v>
      </c>
      <c r="L814" s="25" t="str">
        <f>"RUTL-"&amp;RIGHT(K814,8)</f>
        <v>RUTL-PW0K0DYB</v>
      </c>
      <c r="M814" s="34" t="s">
        <v>40</v>
      </c>
      <c r="N814" s="493" t="s">
        <v>54</v>
      </c>
      <c r="O814" s="32"/>
      <c r="P814" s="35" t="s">
        <v>46</v>
      </c>
      <c r="Q814" s="392" t="s">
        <v>3767</v>
      </c>
      <c r="R814" s="15" t="s">
        <v>56</v>
      </c>
      <c r="S814" s="40" t="s">
        <v>57</v>
      </c>
      <c r="T814" s="107" t="s">
        <v>453</v>
      </c>
      <c r="U814" s="39" t="s">
        <v>3768</v>
      </c>
      <c r="V814" s="270">
        <v>46122</v>
      </c>
      <c r="W814" s="32" t="s">
        <v>62</v>
      </c>
      <c r="X814" s="71"/>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c r="BO814" s="30"/>
      <c r="BP814" s="30"/>
      <c r="BQ814" s="30"/>
      <c r="BR814" s="30"/>
      <c r="BS814" s="30"/>
      <c r="BT814" s="30"/>
      <c r="BU814" s="30"/>
      <c r="BV814" s="30"/>
      <c r="BW814" s="30"/>
      <c r="BX814" s="30"/>
      <c r="BY814" s="30"/>
      <c r="BZ814" s="30"/>
      <c r="CA814" s="30"/>
      <c r="CB814" s="30"/>
      <c r="CC814" s="30"/>
      <c r="CD814" s="30"/>
      <c r="CE814" s="30"/>
      <c r="CF814" s="30"/>
      <c r="CG814" s="30"/>
      <c r="CH814" s="30"/>
      <c r="CI814" s="30"/>
      <c r="CJ814" s="30"/>
      <c r="CK814" s="30"/>
      <c r="CL814" s="30"/>
      <c r="CM814" s="30"/>
      <c r="CN814" s="30"/>
      <c r="CO814" s="30"/>
      <c r="CP814" s="30"/>
      <c r="CQ814" s="30"/>
      <c r="CR814" s="30"/>
      <c r="CS814" s="30"/>
      <c r="CT814" s="30"/>
      <c r="CU814" s="30"/>
      <c r="CV814" s="30"/>
      <c r="CW814" s="30"/>
      <c r="CX814" s="30"/>
      <c r="CY814" s="30"/>
      <c r="CZ814" s="30"/>
      <c r="DA814" s="30"/>
      <c r="DB814" s="30"/>
      <c r="DC814" s="30"/>
      <c r="DD814" s="30"/>
      <c r="DE814" s="30"/>
      <c r="DF814" s="30"/>
      <c r="DG814" s="30"/>
      <c r="DH814" s="30"/>
      <c r="DI814" s="30"/>
      <c r="DJ814" s="30"/>
      <c r="DK814" s="30"/>
      <c r="DL814" s="30"/>
      <c r="DM814" s="30"/>
      <c r="DN814" s="30"/>
      <c r="DO814" s="30"/>
      <c r="DP814" s="30"/>
      <c r="DQ814" s="30"/>
      <c r="DR814" s="30"/>
      <c r="DS814" s="30"/>
      <c r="DT814" s="30"/>
      <c r="DU814" s="30"/>
      <c r="DV814" s="30"/>
      <c r="DW814" s="30"/>
      <c r="DX814" s="30"/>
      <c r="DY814" s="30"/>
      <c r="DZ814" s="30"/>
      <c r="EA814" s="30"/>
      <c r="EB814" s="30"/>
      <c r="EC814" s="30"/>
      <c r="ED814" s="30"/>
      <c r="EE814" s="30"/>
    </row>
    <row r="815" spans="1:135" ht="30" customHeight="1" thickBot="1" x14ac:dyDescent="0.3">
      <c r="A815" s="578" t="s">
        <v>6258</v>
      </c>
      <c r="B815" s="8">
        <v>15528</v>
      </c>
      <c r="C815" s="231" t="s">
        <v>6256</v>
      </c>
      <c r="D815" s="140" t="s">
        <v>24</v>
      </c>
      <c r="E815" s="11" t="s">
        <v>25</v>
      </c>
      <c r="F815" s="20" t="s">
        <v>6257</v>
      </c>
      <c r="G815" s="59" t="s">
        <v>2271</v>
      </c>
      <c r="H815" s="22" t="s">
        <v>2109</v>
      </c>
      <c r="I815" s="142" t="s">
        <v>135</v>
      </c>
      <c r="J815" s="18" t="s">
        <v>32</v>
      </c>
      <c r="K815" s="23" t="s">
        <v>6259</v>
      </c>
      <c r="L815" s="25" t="str">
        <f>"RUTL-"&amp;RIGHT(K815,8)</f>
        <v>RUTL-PW0K0DFW</v>
      </c>
      <c r="M815" s="34" t="s">
        <v>40</v>
      </c>
      <c r="N815" s="493" t="s">
        <v>54</v>
      </c>
      <c r="O815" s="23"/>
      <c r="P815" s="522" t="s">
        <v>46</v>
      </c>
      <c r="Q815" s="528" t="s">
        <v>6260</v>
      </c>
      <c r="R815" s="15" t="s">
        <v>56</v>
      </c>
      <c r="S815" s="40" t="s">
        <v>57</v>
      </c>
      <c r="T815" s="118" t="s">
        <v>65</v>
      </c>
      <c r="U815" s="39" t="s">
        <v>6077</v>
      </c>
      <c r="V815" s="242">
        <v>46122</v>
      </c>
      <c r="W815" s="23" t="s">
        <v>62</v>
      </c>
      <c r="X815" s="71"/>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c r="BO815" s="30"/>
      <c r="BP815" s="30"/>
      <c r="BQ815" s="30"/>
      <c r="BR815" s="30"/>
      <c r="BS815" s="30"/>
      <c r="BT815" s="30"/>
      <c r="BU815" s="30"/>
      <c r="BV815" s="30"/>
      <c r="BW815" s="30"/>
      <c r="BX815" s="30"/>
      <c r="BY815" s="30"/>
      <c r="BZ815" s="30"/>
      <c r="CA815" s="30"/>
      <c r="CB815" s="30"/>
      <c r="CC815" s="30"/>
      <c r="CD815" s="30"/>
      <c r="CE815" s="30"/>
      <c r="CF815" s="30"/>
      <c r="CG815" s="30"/>
      <c r="CH815" s="30"/>
      <c r="CI815" s="30"/>
      <c r="CJ815" s="30"/>
      <c r="CK815" s="30"/>
      <c r="CL815" s="30"/>
      <c r="CM815" s="30"/>
      <c r="CN815" s="30"/>
      <c r="CO815" s="30"/>
      <c r="CP815" s="30"/>
      <c r="CQ815" s="30"/>
      <c r="CR815" s="30"/>
      <c r="CS815" s="30"/>
      <c r="CT815" s="30"/>
      <c r="CU815" s="30"/>
      <c r="CV815" s="30"/>
      <c r="CW815" s="30"/>
      <c r="CX815" s="30"/>
      <c r="CY815" s="30"/>
      <c r="CZ815" s="30"/>
      <c r="DA815" s="30"/>
      <c r="DB815" s="30"/>
      <c r="DC815" s="30"/>
      <c r="DD815" s="30"/>
      <c r="DE815" s="30"/>
      <c r="DF815" s="30"/>
      <c r="DG815" s="30"/>
      <c r="DH815" s="30"/>
      <c r="DI815" s="30"/>
      <c r="DJ815" s="30"/>
      <c r="DK815" s="30"/>
      <c r="DL815" s="30"/>
      <c r="DM815" s="30"/>
      <c r="DN815" s="30"/>
      <c r="DO815" s="30"/>
      <c r="DP815" s="30"/>
      <c r="DQ815" s="30"/>
      <c r="DR815" s="30"/>
      <c r="DS815" s="30"/>
      <c r="DT815" s="30"/>
      <c r="DU815" s="30"/>
      <c r="DV815" s="30"/>
      <c r="DW815" s="30"/>
      <c r="DX815" s="30"/>
      <c r="DY815" s="30"/>
      <c r="DZ815" s="30"/>
      <c r="EA815" s="30"/>
      <c r="EB815" s="30"/>
      <c r="EC815" s="30"/>
      <c r="ED815" s="30"/>
      <c r="EE815" s="30"/>
    </row>
    <row r="816" spans="1:135" ht="30" customHeight="1" thickBot="1" x14ac:dyDescent="0.3">
      <c r="A816" s="578" t="s">
        <v>6503</v>
      </c>
      <c r="B816" s="51">
        <v>15990</v>
      </c>
      <c r="C816" s="315" t="s">
        <v>6500</v>
      </c>
      <c r="D816" s="140" t="s">
        <v>24</v>
      </c>
      <c r="E816" s="11" t="s">
        <v>25</v>
      </c>
      <c r="F816" s="12" t="s">
        <v>6501</v>
      </c>
      <c r="G816" s="59" t="s">
        <v>6502</v>
      </c>
      <c r="H816" s="22" t="s">
        <v>2315</v>
      </c>
      <c r="I816" s="142" t="s">
        <v>135</v>
      </c>
      <c r="J816" s="18" t="s">
        <v>32</v>
      </c>
      <c r="K816" s="32" t="s">
        <v>6504</v>
      </c>
      <c r="L816" s="25" t="str">
        <f>"RUTL-"&amp;RIGHT(K816,8)</f>
        <v>RUTL-PW0K0DFA</v>
      </c>
      <c r="M816" s="34" t="s">
        <v>40</v>
      </c>
      <c r="N816" s="23" t="s">
        <v>54</v>
      </c>
      <c r="O816" s="32"/>
      <c r="P816" s="522" t="s">
        <v>46</v>
      </c>
      <c r="Q816" s="528" t="s">
        <v>6505</v>
      </c>
      <c r="R816" s="15" t="s">
        <v>56</v>
      </c>
      <c r="S816" s="37" t="s">
        <v>57</v>
      </c>
      <c r="T816" s="118" t="s">
        <v>65</v>
      </c>
      <c r="U816" s="39" t="s">
        <v>3435</v>
      </c>
      <c r="V816" s="82">
        <v>46111</v>
      </c>
      <c r="W816" s="32" t="s">
        <v>62</v>
      </c>
      <c r="X816" s="71"/>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c r="BO816" s="30"/>
      <c r="BP816" s="30"/>
      <c r="BQ816" s="30"/>
      <c r="BR816" s="30"/>
      <c r="BS816" s="30"/>
      <c r="BT816" s="30"/>
      <c r="BU816" s="30"/>
      <c r="BV816" s="30"/>
      <c r="BW816" s="30"/>
      <c r="BX816" s="30"/>
      <c r="BY816" s="30"/>
      <c r="BZ816" s="30"/>
      <c r="CA816" s="30"/>
      <c r="CB816" s="30"/>
      <c r="CC816" s="30"/>
      <c r="CD816" s="30"/>
      <c r="CE816" s="30"/>
      <c r="CF816" s="30"/>
      <c r="CG816" s="30"/>
      <c r="CH816" s="30"/>
      <c r="CI816" s="30"/>
      <c r="CJ816" s="30"/>
      <c r="CK816" s="30"/>
      <c r="CL816" s="30"/>
      <c r="CM816" s="30"/>
      <c r="CN816" s="30"/>
      <c r="CO816" s="30"/>
      <c r="CP816" s="30"/>
      <c r="CQ816" s="30"/>
      <c r="CR816" s="30"/>
      <c r="CS816" s="30"/>
      <c r="CT816" s="30"/>
      <c r="CU816" s="30"/>
      <c r="CV816" s="30"/>
      <c r="CW816" s="30"/>
      <c r="CX816" s="30"/>
      <c r="CY816" s="30"/>
      <c r="CZ816" s="30"/>
      <c r="DA816" s="30"/>
      <c r="DB816" s="30"/>
      <c r="DC816" s="30"/>
      <c r="DD816" s="30"/>
      <c r="DE816" s="30"/>
      <c r="DF816" s="30"/>
      <c r="DG816" s="30"/>
      <c r="DH816" s="30"/>
      <c r="DI816" s="30"/>
      <c r="DJ816" s="30"/>
      <c r="DK816" s="30"/>
      <c r="DL816" s="30"/>
      <c r="DM816" s="30"/>
      <c r="DN816" s="30"/>
      <c r="DO816" s="30"/>
      <c r="DP816" s="30"/>
      <c r="DQ816" s="30"/>
      <c r="DR816" s="30"/>
      <c r="DS816" s="30"/>
      <c r="DT816" s="30"/>
      <c r="DU816" s="30"/>
      <c r="DV816" s="30"/>
      <c r="DW816" s="30"/>
      <c r="DX816" s="30"/>
      <c r="DY816" s="30"/>
      <c r="DZ816" s="30"/>
      <c r="EA816" s="30"/>
      <c r="EB816" s="30"/>
      <c r="EC816" s="30"/>
      <c r="ED816" s="30"/>
      <c r="EE816" s="30"/>
    </row>
    <row r="817" spans="1:135" ht="30" customHeight="1" thickBot="1" x14ac:dyDescent="0.3">
      <c r="A817" s="578" t="s">
        <v>6497</v>
      </c>
      <c r="B817" s="344">
        <v>15989</v>
      </c>
      <c r="C817" s="391" t="s">
        <v>6495</v>
      </c>
      <c r="D817" s="140" t="s">
        <v>24</v>
      </c>
      <c r="E817" s="11" t="s">
        <v>25</v>
      </c>
      <c r="F817" s="20" t="s">
        <v>6496</v>
      </c>
      <c r="G817" s="59" t="s">
        <v>5252</v>
      </c>
      <c r="H817" s="31" t="s">
        <v>2315</v>
      </c>
      <c r="I817" s="24" t="s">
        <v>135</v>
      </c>
      <c r="J817" s="24" t="s">
        <v>32</v>
      </c>
      <c r="K817" s="32" t="s">
        <v>6498</v>
      </c>
      <c r="L817" s="25" t="str">
        <f>"RUTL-"&amp;RIGHT(K817,8)</f>
        <v>RUTL-PW0K0DR0</v>
      </c>
      <c r="M817" s="34" t="s">
        <v>40</v>
      </c>
      <c r="N817" s="23" t="s">
        <v>54</v>
      </c>
      <c r="O817" s="32"/>
      <c r="P817" s="35" t="s">
        <v>46</v>
      </c>
      <c r="Q817" s="36" t="s">
        <v>6499</v>
      </c>
      <c r="R817" s="15" t="s">
        <v>56</v>
      </c>
      <c r="S817" s="37" t="s">
        <v>57</v>
      </c>
      <c r="T817" s="118" t="s">
        <v>65</v>
      </c>
      <c r="U817" s="39" t="s">
        <v>3435</v>
      </c>
      <c r="V817" s="270">
        <v>46122</v>
      </c>
      <c r="W817" s="32" t="s">
        <v>62</v>
      </c>
      <c r="X817" s="71"/>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c r="BO817" s="30"/>
      <c r="BP817" s="30"/>
      <c r="BQ817" s="30"/>
      <c r="BR817" s="30"/>
      <c r="BS817" s="30"/>
      <c r="BT817" s="30"/>
      <c r="BU817" s="30"/>
      <c r="BV817" s="30"/>
      <c r="BW817" s="30"/>
      <c r="BX817" s="30"/>
      <c r="BY817" s="30"/>
      <c r="BZ817" s="30"/>
      <c r="CA817" s="30"/>
      <c r="CB817" s="30"/>
      <c r="CC817" s="30"/>
      <c r="CD817" s="30"/>
      <c r="CE817" s="30"/>
      <c r="CF817" s="30"/>
      <c r="CG817" s="30"/>
      <c r="CH817" s="30"/>
      <c r="CI817" s="30"/>
      <c r="CJ817" s="30"/>
      <c r="CK817" s="30"/>
      <c r="CL817" s="30"/>
      <c r="CM817" s="30"/>
      <c r="CN817" s="30"/>
      <c r="CO817" s="30"/>
      <c r="CP817" s="30"/>
      <c r="CQ817" s="30"/>
      <c r="CR817" s="30"/>
      <c r="CS817" s="30"/>
      <c r="CT817" s="30"/>
      <c r="CU817" s="30"/>
      <c r="CV817" s="30"/>
      <c r="CW817" s="30"/>
      <c r="CX817" s="30"/>
      <c r="CY817" s="30"/>
      <c r="CZ817" s="30"/>
      <c r="DA817" s="30"/>
      <c r="DB817" s="30"/>
      <c r="DC817" s="30"/>
      <c r="DD817" s="30"/>
      <c r="DE817" s="30"/>
      <c r="DF817" s="30"/>
      <c r="DG817" s="30"/>
      <c r="DH817" s="30"/>
      <c r="DI817" s="30"/>
      <c r="DJ817" s="30"/>
      <c r="DK817" s="30"/>
      <c r="DL817" s="30"/>
      <c r="DM817" s="30"/>
      <c r="DN817" s="30"/>
      <c r="DO817" s="30"/>
      <c r="DP817" s="30"/>
      <c r="DQ817" s="30"/>
      <c r="DR817" s="30"/>
      <c r="DS817" s="30"/>
      <c r="DT817" s="30"/>
      <c r="DU817" s="30"/>
      <c r="DV817" s="30"/>
      <c r="DW817" s="30"/>
      <c r="DX817" s="30"/>
      <c r="DY817" s="30"/>
      <c r="DZ817" s="30"/>
      <c r="EA817" s="30"/>
      <c r="EB817" s="30"/>
      <c r="EC817" s="30"/>
      <c r="ED817" s="30"/>
      <c r="EE817" s="30"/>
    </row>
    <row r="818" spans="1:135" ht="30" customHeight="1" thickBot="1" x14ac:dyDescent="0.3">
      <c r="A818" s="578" t="s">
        <v>6244</v>
      </c>
      <c r="B818" s="8">
        <v>15496</v>
      </c>
      <c r="C818" s="50" t="s">
        <v>6242</v>
      </c>
      <c r="D818" s="140" t="s">
        <v>24</v>
      </c>
      <c r="E818" s="11" t="s">
        <v>25</v>
      </c>
      <c r="F818" s="20" t="s">
        <v>6243</v>
      </c>
      <c r="G818" s="15" t="s">
        <v>6238</v>
      </c>
      <c r="H818" s="370" t="s">
        <v>2658</v>
      </c>
      <c r="I818" s="24" t="s">
        <v>2728</v>
      </c>
      <c r="J818" s="24" t="s">
        <v>32</v>
      </c>
      <c r="K818" s="23" t="s">
        <v>6245</v>
      </c>
      <c r="L818" s="25" t="str">
        <f>"RUTL-"&amp;RIGHT(K818,8)</f>
        <v>RUTL-PW0K0DG2</v>
      </c>
      <c r="M818" s="34" t="s">
        <v>40</v>
      </c>
      <c r="N818" s="32" t="s">
        <v>54</v>
      </c>
      <c r="O818" s="32"/>
      <c r="P818" s="35" t="s">
        <v>46</v>
      </c>
      <c r="Q818" s="36" t="s">
        <v>6246</v>
      </c>
      <c r="R818" s="15" t="s">
        <v>56</v>
      </c>
      <c r="S818" s="40" t="s">
        <v>57</v>
      </c>
      <c r="T818" s="105" t="s">
        <v>148</v>
      </c>
      <c r="U818" s="39" t="s">
        <v>4232</v>
      </c>
      <c r="V818" s="270">
        <v>46122</v>
      </c>
      <c r="W818" s="32" t="s">
        <v>62</v>
      </c>
      <c r="X818" s="71"/>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c r="BO818" s="30"/>
      <c r="BP818" s="30"/>
      <c r="BQ818" s="30"/>
      <c r="BR818" s="30"/>
      <c r="BS818" s="30"/>
      <c r="BT818" s="30"/>
      <c r="BU818" s="30"/>
      <c r="BV818" s="30"/>
      <c r="BW818" s="30"/>
      <c r="BX818" s="30"/>
      <c r="BY818" s="30"/>
      <c r="BZ818" s="30"/>
      <c r="CA818" s="30"/>
      <c r="CB818" s="30"/>
      <c r="CC818" s="30"/>
      <c r="CD818" s="30"/>
      <c r="CE818" s="30"/>
      <c r="CF818" s="30"/>
      <c r="CG818" s="30"/>
      <c r="CH818" s="30"/>
      <c r="CI818" s="30"/>
      <c r="CJ818" s="30"/>
      <c r="CK818" s="30"/>
      <c r="CL818" s="30"/>
      <c r="CM818" s="30"/>
      <c r="CN818" s="30"/>
      <c r="CO818" s="30"/>
      <c r="CP818" s="30"/>
      <c r="CQ818" s="30"/>
      <c r="CR818" s="30"/>
      <c r="CS818" s="30"/>
      <c r="CT818" s="30"/>
      <c r="CU818" s="30"/>
      <c r="CV818" s="30"/>
      <c r="CW818" s="30"/>
      <c r="CX818" s="30"/>
      <c r="CY818" s="30"/>
      <c r="CZ818" s="30"/>
      <c r="DA818" s="30"/>
      <c r="DB818" s="30"/>
      <c r="DC818" s="30"/>
      <c r="DD818" s="30"/>
      <c r="DE818" s="30"/>
      <c r="DF818" s="30"/>
      <c r="DG818" s="30"/>
      <c r="DH818" s="30"/>
      <c r="DI818" s="30"/>
      <c r="DJ818" s="30"/>
      <c r="DK818" s="30"/>
      <c r="DL818" s="30"/>
      <c r="DM818" s="30"/>
      <c r="DN818" s="30"/>
      <c r="DO818" s="30"/>
      <c r="DP818" s="30"/>
      <c r="DQ818" s="30"/>
      <c r="DR818" s="30"/>
      <c r="DS818" s="30"/>
      <c r="DT818" s="30"/>
      <c r="DU818" s="30"/>
      <c r="DV818" s="30"/>
      <c r="DW818" s="30"/>
      <c r="DX818" s="30"/>
      <c r="DY818" s="30"/>
      <c r="DZ818" s="30"/>
      <c r="EA818" s="30"/>
      <c r="EB818" s="30"/>
      <c r="EC818" s="30"/>
      <c r="ED818" s="30"/>
      <c r="EE818" s="30"/>
    </row>
    <row r="819" spans="1:135" ht="30" customHeight="1" thickBot="1" x14ac:dyDescent="0.3">
      <c r="A819" s="578" t="s">
        <v>3317</v>
      </c>
      <c r="B819" s="8">
        <v>3317</v>
      </c>
      <c r="C819" s="315" t="s">
        <v>3315</v>
      </c>
      <c r="D819" s="59" t="s">
        <v>24</v>
      </c>
      <c r="E819" s="11" t="s">
        <v>25</v>
      </c>
      <c r="F819" s="20" t="s">
        <v>3316</v>
      </c>
      <c r="G819" s="59" t="s">
        <v>606</v>
      </c>
      <c r="H819" s="22" t="s">
        <v>2315</v>
      </c>
      <c r="I819" s="142" t="s">
        <v>135</v>
      </c>
      <c r="J819" s="24" t="s">
        <v>32</v>
      </c>
      <c r="K819" s="33" t="s">
        <v>3318</v>
      </c>
      <c r="L819" s="25" t="str">
        <f>"RUTL-"&amp;RIGHT(K819,8)</f>
        <v>RUTL-PW0K0DDM</v>
      </c>
      <c r="M819" s="34" t="s">
        <v>40</v>
      </c>
      <c r="N819" s="515" t="s">
        <v>54</v>
      </c>
      <c r="O819" s="32"/>
      <c r="P819" s="522" t="s">
        <v>46</v>
      </c>
      <c r="Q819" s="528" t="s">
        <v>3319</v>
      </c>
      <c r="R819" s="15" t="s">
        <v>56</v>
      </c>
      <c r="S819" s="37" t="s">
        <v>57</v>
      </c>
      <c r="T819" s="101" t="s">
        <v>96</v>
      </c>
      <c r="U819" s="39" t="s">
        <v>3320</v>
      </c>
      <c r="V819" s="270">
        <v>46122</v>
      </c>
      <c r="W819" s="32" t="s">
        <v>62</v>
      </c>
      <c r="X819" s="71"/>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c r="BO819" s="30"/>
      <c r="BP819" s="30"/>
      <c r="BQ819" s="30"/>
      <c r="BR819" s="30"/>
      <c r="BS819" s="30"/>
      <c r="BT819" s="30"/>
      <c r="BU819" s="30"/>
      <c r="BV819" s="30"/>
      <c r="BW819" s="30"/>
      <c r="BX819" s="30"/>
      <c r="BY819" s="30"/>
      <c r="BZ819" s="30"/>
      <c r="CA819" s="30"/>
      <c r="CB819" s="30"/>
      <c r="CC819" s="30"/>
      <c r="CD819" s="30"/>
      <c r="CE819" s="30"/>
      <c r="CF819" s="30"/>
      <c r="CG819" s="30"/>
      <c r="CH819" s="30"/>
      <c r="CI819" s="30"/>
      <c r="CJ819" s="30"/>
      <c r="CK819" s="30"/>
      <c r="CL819" s="30"/>
      <c r="CM819" s="30"/>
      <c r="CN819" s="30"/>
      <c r="CO819" s="30"/>
      <c r="CP819" s="30"/>
      <c r="CQ819" s="30"/>
      <c r="CR819" s="30"/>
      <c r="CS819" s="30"/>
      <c r="CT819" s="30"/>
      <c r="CU819" s="30"/>
      <c r="CV819" s="30"/>
      <c r="CW819" s="30"/>
      <c r="CX819" s="30"/>
      <c r="CY819" s="30"/>
      <c r="CZ819" s="30"/>
      <c r="DA819" s="30"/>
      <c r="DB819" s="30"/>
      <c r="DC819" s="30"/>
      <c r="DD819" s="30"/>
      <c r="DE819" s="30"/>
      <c r="DF819" s="30"/>
      <c r="DG819" s="30"/>
      <c r="DH819" s="30"/>
      <c r="DI819" s="30"/>
      <c r="DJ819" s="30"/>
      <c r="DK819" s="30"/>
      <c r="DL819" s="30"/>
      <c r="DM819" s="30"/>
      <c r="DN819" s="30"/>
      <c r="DO819" s="30"/>
      <c r="DP819" s="30"/>
      <c r="DQ819" s="30"/>
      <c r="DR819" s="30"/>
      <c r="DS819" s="30"/>
      <c r="DT819" s="30"/>
      <c r="DU819" s="30"/>
      <c r="DV819" s="30"/>
      <c r="DW819" s="30"/>
      <c r="DX819" s="30"/>
      <c r="DY819" s="30"/>
      <c r="DZ819" s="30"/>
      <c r="EA819" s="30"/>
      <c r="EB819" s="30"/>
      <c r="EC819" s="30"/>
      <c r="ED819" s="30"/>
      <c r="EE819" s="30"/>
    </row>
    <row r="820" spans="1:135" ht="30" customHeight="1" thickBot="1" x14ac:dyDescent="0.3">
      <c r="A820" s="578" t="s">
        <v>6239</v>
      </c>
      <c r="B820" s="8">
        <v>15495</v>
      </c>
      <c r="C820" s="50" t="s">
        <v>6236</v>
      </c>
      <c r="D820" s="140" t="s">
        <v>24</v>
      </c>
      <c r="E820" s="11" t="s">
        <v>25</v>
      </c>
      <c r="F820" s="20" t="s">
        <v>6237</v>
      </c>
      <c r="G820" s="15" t="s">
        <v>6238</v>
      </c>
      <c r="H820" s="22" t="s">
        <v>2658</v>
      </c>
      <c r="I820" s="24" t="s">
        <v>2728</v>
      </c>
      <c r="J820" s="24" t="s">
        <v>32</v>
      </c>
      <c r="K820" s="23" t="s">
        <v>6240</v>
      </c>
      <c r="L820" s="25" t="str">
        <f>"RUTL-"&amp;RIGHT(K820,8)</f>
        <v>RUTL-PW0K0DXF</v>
      </c>
      <c r="M820" s="34" t="s">
        <v>40</v>
      </c>
      <c r="N820" s="32" t="s">
        <v>54</v>
      </c>
      <c r="O820" s="32"/>
      <c r="P820" s="35" t="s">
        <v>46</v>
      </c>
      <c r="Q820" s="36" t="s">
        <v>6241</v>
      </c>
      <c r="R820" s="15" t="s">
        <v>56</v>
      </c>
      <c r="S820" s="40" t="s">
        <v>57</v>
      </c>
      <c r="T820" s="105" t="s">
        <v>148</v>
      </c>
      <c r="U820" s="39" t="s">
        <v>4232</v>
      </c>
      <c r="V820" s="43">
        <v>46122</v>
      </c>
      <c r="W820" s="32" t="s">
        <v>62</v>
      </c>
      <c r="X820" s="71"/>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c r="DG820" s="5"/>
      <c r="DH820" s="5"/>
      <c r="DI820" s="5"/>
      <c r="DJ820" s="5"/>
      <c r="DK820" s="5"/>
      <c r="DL820" s="5"/>
      <c r="DM820" s="5"/>
      <c r="DN820" s="5"/>
      <c r="DO820" s="5"/>
      <c r="DP820" s="5"/>
      <c r="DQ820" s="5"/>
      <c r="DR820" s="5"/>
      <c r="DS820" s="5"/>
      <c r="DT820" s="5"/>
      <c r="DU820" s="5"/>
      <c r="DV820" s="5"/>
      <c r="DW820" s="5"/>
      <c r="DX820" s="5"/>
      <c r="DY820" s="5"/>
      <c r="DZ820" s="5"/>
      <c r="EA820" s="5"/>
      <c r="EB820" s="5"/>
      <c r="EC820" s="5"/>
      <c r="ED820" s="5"/>
      <c r="EE820" s="5"/>
    </row>
    <row r="821" spans="1:135" ht="30" customHeight="1" thickBot="1" x14ac:dyDescent="0.3">
      <c r="A821" s="578" t="s">
        <v>5561</v>
      </c>
      <c r="B821" s="16">
        <v>13253</v>
      </c>
      <c r="C821" s="269" t="s">
        <v>5559</v>
      </c>
      <c r="D821" s="140" t="s">
        <v>24</v>
      </c>
      <c r="E821" s="11" t="s">
        <v>25</v>
      </c>
      <c r="F821" s="20" t="s">
        <v>5560</v>
      </c>
      <c r="G821" s="15" t="s">
        <v>606</v>
      </c>
      <c r="H821" s="22" t="s">
        <v>2109</v>
      </c>
      <c r="I821" s="24" t="s">
        <v>135</v>
      </c>
      <c r="J821" s="24" t="s">
        <v>32</v>
      </c>
      <c r="K821" s="23" t="s">
        <v>5562</v>
      </c>
      <c r="L821" s="25" t="str">
        <f>"RUTL-"&amp;RIGHT(K821,8)</f>
        <v>RUTL-PW0K0E0D</v>
      </c>
      <c r="M821" s="34" t="s">
        <v>40</v>
      </c>
      <c r="N821" s="39" t="s">
        <v>43</v>
      </c>
      <c r="O821" s="396"/>
      <c r="P821" s="35" t="s">
        <v>46</v>
      </c>
      <c r="Q821" s="36" t="s">
        <v>5563</v>
      </c>
      <c r="R821" s="15" t="s">
        <v>56</v>
      </c>
      <c r="S821" s="37" t="s">
        <v>57</v>
      </c>
      <c r="T821" s="87" t="s">
        <v>273</v>
      </c>
      <c r="U821" s="39" t="s">
        <v>4904</v>
      </c>
      <c r="V821" s="270">
        <v>46122</v>
      </c>
      <c r="W821" s="32" t="s">
        <v>62</v>
      </c>
      <c r="X821" s="71"/>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c r="BO821" s="30"/>
      <c r="BP821" s="30"/>
      <c r="BQ821" s="30"/>
      <c r="BR821" s="30"/>
      <c r="BS821" s="30"/>
      <c r="BT821" s="30"/>
      <c r="BU821" s="30"/>
      <c r="BV821" s="30"/>
      <c r="BW821" s="30"/>
      <c r="BX821" s="30"/>
      <c r="BY821" s="30"/>
      <c r="BZ821" s="30"/>
      <c r="CA821" s="30"/>
      <c r="CB821" s="30"/>
      <c r="CC821" s="30"/>
      <c r="CD821" s="30"/>
      <c r="CE821" s="30"/>
      <c r="CF821" s="30"/>
      <c r="CG821" s="30"/>
      <c r="CH821" s="30"/>
      <c r="CI821" s="30"/>
      <c r="CJ821" s="30"/>
      <c r="CK821" s="30"/>
      <c r="CL821" s="30"/>
      <c r="CM821" s="30"/>
      <c r="CN821" s="30"/>
      <c r="CO821" s="30"/>
      <c r="CP821" s="30"/>
      <c r="CQ821" s="30"/>
      <c r="CR821" s="30"/>
      <c r="CS821" s="30"/>
      <c r="CT821" s="30"/>
      <c r="CU821" s="30"/>
      <c r="CV821" s="30"/>
      <c r="CW821" s="30"/>
      <c r="CX821" s="30"/>
      <c r="CY821" s="30"/>
      <c r="CZ821" s="30"/>
      <c r="DA821" s="30"/>
      <c r="DB821" s="30"/>
      <c r="DC821" s="30"/>
      <c r="DD821" s="30"/>
      <c r="DE821" s="30"/>
      <c r="DF821" s="30"/>
      <c r="DG821" s="30"/>
      <c r="DH821" s="30"/>
      <c r="DI821" s="30"/>
      <c r="DJ821" s="30"/>
      <c r="DK821" s="30"/>
      <c r="DL821" s="30"/>
      <c r="DM821" s="30"/>
      <c r="DN821" s="30"/>
      <c r="DO821" s="30"/>
      <c r="DP821" s="30"/>
      <c r="DQ821" s="30"/>
      <c r="DR821" s="30"/>
      <c r="DS821" s="30"/>
      <c r="DT821" s="30"/>
      <c r="DU821" s="30"/>
      <c r="DV821" s="30"/>
      <c r="DW821" s="30"/>
      <c r="DX821" s="30"/>
      <c r="DY821" s="30"/>
      <c r="DZ821" s="30"/>
      <c r="EA821" s="30"/>
      <c r="EB821" s="30"/>
      <c r="EC821" s="30"/>
      <c r="ED821" s="30"/>
      <c r="EE821" s="30"/>
    </row>
    <row r="822" spans="1:135" ht="30" customHeight="1" thickBot="1" x14ac:dyDescent="0.3">
      <c r="A822" s="578" t="s">
        <v>5198</v>
      </c>
      <c r="B822" s="16">
        <v>12240</v>
      </c>
      <c r="C822" s="231" t="s">
        <v>5196</v>
      </c>
      <c r="D822" s="140" t="s">
        <v>24</v>
      </c>
      <c r="E822" s="11" t="s">
        <v>25</v>
      </c>
      <c r="F822" s="20" t="s">
        <v>5197</v>
      </c>
      <c r="G822" s="15" t="s">
        <v>2271</v>
      </c>
      <c r="H822" s="22" t="s">
        <v>2109</v>
      </c>
      <c r="I822" s="24" t="s">
        <v>135</v>
      </c>
      <c r="J822" s="24" t="s">
        <v>32</v>
      </c>
      <c r="K822" s="23" t="s">
        <v>5199</v>
      </c>
      <c r="L822" s="25" t="str">
        <f>"RUTL-"&amp;RIGHT(K822,8)</f>
        <v>RUTL-PW0K0DZ6</v>
      </c>
      <c r="M822" s="34" t="s">
        <v>40</v>
      </c>
      <c r="N822" s="39" t="s">
        <v>43</v>
      </c>
      <c r="O822" s="32"/>
      <c r="P822" s="35" t="s">
        <v>46</v>
      </c>
      <c r="Q822" s="36" t="s">
        <v>5200</v>
      </c>
      <c r="R822" s="15" t="s">
        <v>56</v>
      </c>
      <c r="S822" s="37" t="s">
        <v>57</v>
      </c>
      <c r="T822" s="87" t="s">
        <v>273</v>
      </c>
      <c r="U822" s="39" t="s">
        <v>3990</v>
      </c>
      <c r="V822" s="43">
        <v>46122</v>
      </c>
      <c r="W822" s="32" t="s">
        <v>62</v>
      </c>
      <c r="X822" s="71"/>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row>
    <row r="823" spans="1:135" ht="30" customHeight="1" thickBot="1" x14ac:dyDescent="0.3">
      <c r="A823" s="578" t="s">
        <v>3987</v>
      </c>
      <c r="B823" s="16">
        <v>6719</v>
      </c>
      <c r="C823" s="231" t="s">
        <v>3985</v>
      </c>
      <c r="D823" s="140" t="s">
        <v>24</v>
      </c>
      <c r="E823" s="11" t="s">
        <v>25</v>
      </c>
      <c r="F823" s="20" t="s">
        <v>3986</v>
      </c>
      <c r="G823" s="15" t="s">
        <v>2271</v>
      </c>
      <c r="H823" s="370" t="s">
        <v>2109</v>
      </c>
      <c r="I823" s="24" t="s">
        <v>135</v>
      </c>
      <c r="J823" s="24" t="s">
        <v>32</v>
      </c>
      <c r="K823" s="33" t="s">
        <v>3988</v>
      </c>
      <c r="L823" s="25" t="str">
        <f>"RUTL-"&amp;RIGHT(K823,8)</f>
        <v>RUTL-PW0K0DXR</v>
      </c>
      <c r="M823" s="34" t="s">
        <v>40</v>
      </c>
      <c r="N823" s="39" t="s">
        <v>43</v>
      </c>
      <c r="O823" s="396"/>
      <c r="P823" s="35" t="s">
        <v>46</v>
      </c>
      <c r="Q823" s="397" t="s">
        <v>3989</v>
      </c>
      <c r="R823" s="15" t="s">
        <v>56</v>
      </c>
      <c r="S823" s="37" t="s">
        <v>57</v>
      </c>
      <c r="T823" s="87" t="s">
        <v>273</v>
      </c>
      <c r="U823" s="39" t="s">
        <v>3990</v>
      </c>
      <c r="V823" s="270">
        <v>46122</v>
      </c>
      <c r="W823" s="32" t="s">
        <v>62</v>
      </c>
      <c r="X823" s="71"/>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c r="BO823" s="30"/>
      <c r="BP823" s="30"/>
      <c r="BQ823" s="30"/>
      <c r="BR823" s="30"/>
      <c r="BS823" s="30"/>
      <c r="BT823" s="30"/>
      <c r="BU823" s="30"/>
      <c r="BV823" s="30"/>
      <c r="BW823" s="30"/>
      <c r="BX823" s="30"/>
      <c r="BY823" s="30"/>
      <c r="BZ823" s="30"/>
      <c r="CA823" s="30"/>
      <c r="CB823" s="30"/>
      <c r="CC823" s="30"/>
      <c r="CD823" s="30"/>
      <c r="CE823" s="30"/>
      <c r="CF823" s="30"/>
      <c r="CG823" s="30"/>
      <c r="CH823" s="30"/>
      <c r="CI823" s="30"/>
      <c r="CJ823" s="30"/>
      <c r="CK823" s="30"/>
      <c r="CL823" s="30"/>
      <c r="CM823" s="30"/>
      <c r="CN823" s="30"/>
      <c r="CO823" s="30"/>
      <c r="CP823" s="30"/>
      <c r="CQ823" s="30"/>
      <c r="CR823" s="30"/>
      <c r="CS823" s="30"/>
      <c r="CT823" s="30"/>
      <c r="CU823" s="30"/>
      <c r="CV823" s="30"/>
      <c r="CW823" s="30"/>
      <c r="CX823" s="30"/>
      <c r="CY823" s="30"/>
      <c r="CZ823" s="30"/>
      <c r="DA823" s="30"/>
      <c r="DB823" s="30"/>
      <c r="DC823" s="30"/>
      <c r="DD823" s="30"/>
      <c r="DE823" s="30"/>
      <c r="DF823" s="30"/>
      <c r="DG823" s="30"/>
      <c r="DH823" s="30"/>
      <c r="DI823" s="30"/>
      <c r="DJ823" s="30"/>
      <c r="DK823" s="30"/>
      <c r="DL823" s="30"/>
      <c r="DM823" s="30"/>
      <c r="DN823" s="30"/>
      <c r="DO823" s="30"/>
      <c r="DP823" s="30"/>
      <c r="DQ823" s="30"/>
      <c r="DR823" s="30"/>
      <c r="DS823" s="30"/>
      <c r="DT823" s="30"/>
      <c r="DU823" s="30"/>
      <c r="DV823" s="30"/>
      <c r="DW823" s="30"/>
      <c r="DX823" s="30"/>
      <c r="DY823" s="30"/>
      <c r="DZ823" s="30"/>
      <c r="EA823" s="30"/>
      <c r="EB823" s="30"/>
      <c r="EC823" s="30"/>
      <c r="ED823" s="30"/>
      <c r="EE823" s="30"/>
    </row>
    <row r="824" spans="1:135" ht="30" customHeight="1" thickBot="1" x14ac:dyDescent="0.3">
      <c r="A824" s="578" t="s">
        <v>7407</v>
      </c>
      <c r="B824" s="51">
        <v>18617</v>
      </c>
      <c r="C824" s="52" t="s">
        <v>7405</v>
      </c>
      <c r="D824" s="59" t="s">
        <v>24</v>
      </c>
      <c r="E824" s="28" t="s">
        <v>25</v>
      </c>
      <c r="F824" s="20" t="s">
        <v>7406</v>
      </c>
      <c r="G824" s="15" t="s">
        <v>606</v>
      </c>
      <c r="H824" s="22" t="s">
        <v>1647</v>
      </c>
      <c r="I824" s="296" t="s">
        <v>135</v>
      </c>
      <c r="J824" s="24" t="s">
        <v>32</v>
      </c>
      <c r="K824" s="416" t="s">
        <v>7408</v>
      </c>
      <c r="L824" s="25" t="str">
        <f>"RUTL-"&amp;RIGHT(K824,8)</f>
        <v>RUTL-PW0K0DLE</v>
      </c>
      <c r="M824" s="34" t="s">
        <v>40</v>
      </c>
      <c r="N824" s="32" t="s">
        <v>54</v>
      </c>
      <c r="O824" s="32"/>
      <c r="P824" s="35" t="s">
        <v>46</v>
      </c>
      <c r="Q824" s="392" t="s">
        <v>7409</v>
      </c>
      <c r="R824" s="15" t="s">
        <v>56</v>
      </c>
      <c r="S824" s="40" t="s">
        <v>57</v>
      </c>
      <c r="T824" s="35" t="s">
        <v>65</v>
      </c>
      <c r="U824" s="39" t="s">
        <v>6826</v>
      </c>
      <c r="V824" s="270">
        <v>46108</v>
      </c>
      <c r="W824" s="32" t="s">
        <v>63</v>
      </c>
      <c r="X824" s="71"/>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c r="BO824" s="30"/>
      <c r="BP824" s="30"/>
      <c r="BQ824" s="30"/>
      <c r="BR824" s="30"/>
      <c r="BS824" s="30"/>
      <c r="BT824" s="30"/>
      <c r="BU824" s="30"/>
      <c r="BV824" s="30"/>
      <c r="BW824" s="30"/>
      <c r="BX824" s="30"/>
      <c r="BY824" s="30"/>
      <c r="BZ824" s="30"/>
      <c r="CA824" s="30"/>
      <c r="CB824" s="30"/>
      <c r="CC824" s="30"/>
      <c r="CD824" s="30"/>
      <c r="CE824" s="30"/>
      <c r="CF824" s="30"/>
      <c r="CG824" s="30"/>
      <c r="CH824" s="30"/>
      <c r="CI824" s="30"/>
      <c r="CJ824" s="30"/>
      <c r="CK824" s="30"/>
      <c r="CL824" s="30"/>
      <c r="CM824" s="30"/>
      <c r="CN824" s="30"/>
      <c r="CO824" s="30"/>
      <c r="CP824" s="30"/>
      <c r="CQ824" s="30"/>
      <c r="CR824" s="30"/>
      <c r="CS824" s="30"/>
      <c r="CT824" s="30"/>
      <c r="CU824" s="30"/>
      <c r="CV824" s="30"/>
      <c r="CW824" s="30"/>
      <c r="CX824" s="30"/>
      <c r="CY824" s="30"/>
      <c r="CZ824" s="30"/>
      <c r="DA824" s="30"/>
      <c r="DB824" s="30"/>
      <c r="DC824" s="30"/>
      <c r="DD824" s="30"/>
      <c r="DE824" s="30"/>
      <c r="DF824" s="30"/>
      <c r="DG824" s="30"/>
      <c r="DH824" s="30"/>
      <c r="DI824" s="30"/>
      <c r="DJ824" s="30"/>
      <c r="DK824" s="30"/>
      <c r="DL824" s="30"/>
      <c r="DM824" s="30"/>
      <c r="DN824" s="30"/>
      <c r="DO824" s="30"/>
      <c r="DP824" s="30"/>
      <c r="DQ824" s="30"/>
      <c r="DR824" s="30"/>
      <c r="DS824" s="30"/>
      <c r="DT824" s="30"/>
      <c r="DU824" s="30"/>
      <c r="DV824" s="30"/>
      <c r="DW824" s="30"/>
      <c r="DX824" s="30"/>
      <c r="DY824" s="30"/>
      <c r="DZ824" s="30"/>
      <c r="EA824" s="30"/>
      <c r="EB824" s="30"/>
      <c r="EC824" s="30"/>
      <c r="ED824" s="30"/>
      <c r="EE824" s="30"/>
    </row>
    <row r="825" spans="1:135" ht="30" customHeight="1" thickBot="1" x14ac:dyDescent="0.3">
      <c r="A825" s="578" t="s">
        <v>6811</v>
      </c>
      <c r="B825" s="51">
        <v>16808</v>
      </c>
      <c r="C825" s="69" t="s">
        <v>6809</v>
      </c>
      <c r="D825" s="140" t="s">
        <v>24</v>
      </c>
      <c r="E825" s="11" t="s">
        <v>25</v>
      </c>
      <c r="F825" s="12" t="s">
        <v>6810</v>
      </c>
      <c r="G825" s="15" t="s">
        <v>1645</v>
      </c>
      <c r="H825" s="22" t="s">
        <v>2315</v>
      </c>
      <c r="I825" s="24" t="s">
        <v>135</v>
      </c>
      <c r="J825" s="24" t="s">
        <v>32</v>
      </c>
      <c r="K825" s="23" t="s">
        <v>6812</v>
      </c>
      <c r="L825" s="25" t="str">
        <f>"RUTL-"&amp;RIGHT(K825,8)</f>
        <v>RUTL-PW0K0DC2</v>
      </c>
      <c r="M825" s="34" t="s">
        <v>40</v>
      </c>
      <c r="N825" s="23" t="s">
        <v>54</v>
      </c>
      <c r="O825" s="32"/>
      <c r="P825" s="35" t="s">
        <v>46</v>
      </c>
      <c r="Q825" s="36" t="s">
        <v>6813</v>
      </c>
      <c r="R825" s="15" t="s">
        <v>56</v>
      </c>
      <c r="S825" s="37" t="s">
        <v>57</v>
      </c>
      <c r="T825" s="118" t="s">
        <v>65</v>
      </c>
      <c r="U825" s="23" t="s">
        <v>4513</v>
      </c>
      <c r="V825" s="43">
        <v>46122</v>
      </c>
      <c r="W825" s="32" t="s">
        <v>62</v>
      </c>
      <c r="X825" s="71"/>
    </row>
    <row r="826" spans="1:135" ht="30" customHeight="1" thickBot="1" x14ac:dyDescent="0.3">
      <c r="A826" s="578" t="s">
        <v>6480</v>
      </c>
      <c r="B826" s="16">
        <v>15983</v>
      </c>
      <c r="C826" s="72" t="s">
        <v>6478</v>
      </c>
      <c r="D826" s="140" t="s">
        <v>24</v>
      </c>
      <c r="E826" s="11" t="s">
        <v>25</v>
      </c>
      <c r="F826" s="20" t="s">
        <v>6479</v>
      </c>
      <c r="G826" s="15" t="s">
        <v>469</v>
      </c>
      <c r="H826" s="22" t="s">
        <v>2109</v>
      </c>
      <c r="I826" s="296" t="s">
        <v>135</v>
      </c>
      <c r="J826" s="24" t="s">
        <v>32</v>
      </c>
      <c r="K826" s="498" t="s">
        <v>6481</v>
      </c>
      <c r="L826" s="25" t="str">
        <f>"RUTL-"&amp;RIGHT(K826,8)</f>
        <v>RUTL-PW0K0D7L</v>
      </c>
      <c r="M826" s="34" t="s">
        <v>40</v>
      </c>
      <c r="N826" s="23" t="s">
        <v>54</v>
      </c>
      <c r="O826" s="32"/>
      <c r="P826" s="35" t="s">
        <v>46</v>
      </c>
      <c r="Q826" s="35" t="s">
        <v>6482</v>
      </c>
      <c r="R826" s="15" t="s">
        <v>56</v>
      </c>
      <c r="S826" s="37" t="s">
        <v>57</v>
      </c>
      <c r="T826" s="38" t="s">
        <v>58</v>
      </c>
      <c r="U826" s="39" t="s">
        <v>3435</v>
      </c>
      <c r="V826" s="270">
        <v>46122</v>
      </c>
      <c r="W826" s="32" t="s">
        <v>62</v>
      </c>
      <c r="X826" s="71"/>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c r="CB826" s="30"/>
      <c r="CC826" s="30"/>
      <c r="CD826" s="30"/>
      <c r="CE826" s="30"/>
      <c r="CF826" s="30"/>
      <c r="CG826" s="30"/>
      <c r="CH826" s="30"/>
      <c r="CI826" s="30"/>
      <c r="CJ826" s="30"/>
      <c r="CK826" s="30"/>
      <c r="CL826" s="30"/>
      <c r="CM826" s="30"/>
      <c r="CN826" s="30"/>
      <c r="CO826" s="30"/>
      <c r="CP826" s="30"/>
      <c r="CQ826" s="30"/>
      <c r="CR826" s="30"/>
      <c r="CS826" s="30"/>
      <c r="CT826" s="30"/>
      <c r="CU826" s="30"/>
      <c r="CV826" s="30"/>
      <c r="CW826" s="30"/>
      <c r="CX826" s="30"/>
      <c r="CY826" s="30"/>
      <c r="CZ826" s="30"/>
      <c r="DA826" s="30"/>
      <c r="DB826" s="30"/>
      <c r="DC826" s="30"/>
      <c r="DD826" s="30"/>
      <c r="DE826" s="30"/>
      <c r="DF826" s="30"/>
      <c r="DG826" s="30"/>
      <c r="DH826" s="30"/>
      <c r="DI826" s="30"/>
      <c r="DJ826" s="30"/>
      <c r="DK826" s="30"/>
      <c r="DL826" s="30"/>
      <c r="DM826" s="30"/>
      <c r="DN826" s="30"/>
      <c r="DO826" s="30"/>
      <c r="DP826" s="30"/>
      <c r="DQ826" s="30"/>
      <c r="DR826" s="30"/>
      <c r="DS826" s="30"/>
      <c r="DT826" s="30"/>
      <c r="DU826" s="30"/>
      <c r="DV826" s="30"/>
      <c r="DW826" s="30"/>
      <c r="DX826" s="30"/>
      <c r="DY826" s="30"/>
      <c r="DZ826" s="30"/>
      <c r="EA826" s="30"/>
      <c r="EB826" s="30"/>
      <c r="EC826" s="30"/>
      <c r="ED826" s="30"/>
      <c r="EE826" s="30"/>
    </row>
    <row r="827" spans="1:135" ht="30" customHeight="1" thickBot="1" x14ac:dyDescent="0.3">
      <c r="A827" s="578" t="s">
        <v>3882</v>
      </c>
      <c r="B827" s="51">
        <v>6315</v>
      </c>
      <c r="C827" s="52" t="s">
        <v>3880</v>
      </c>
      <c r="D827" s="140" t="s">
        <v>24</v>
      </c>
      <c r="E827" s="11" t="s">
        <v>25</v>
      </c>
      <c r="F827" s="12" t="s">
        <v>3881</v>
      </c>
      <c r="G827" s="59" t="s">
        <v>2271</v>
      </c>
      <c r="H827" s="370" t="s">
        <v>2109</v>
      </c>
      <c r="I827" s="296" t="s">
        <v>135</v>
      </c>
      <c r="J827" s="24" t="s">
        <v>32</v>
      </c>
      <c r="K827" s="416" t="s">
        <v>3883</v>
      </c>
      <c r="L827" s="25" t="str">
        <f>"RUTL-"&amp;RIGHT(K827,8)</f>
        <v>RUTL-PW0K0DQ4</v>
      </c>
      <c r="M827" s="34" t="s">
        <v>40</v>
      </c>
      <c r="N827" s="39" t="s">
        <v>54</v>
      </c>
      <c r="O827" s="32"/>
      <c r="P827" s="35" t="s">
        <v>46</v>
      </c>
      <c r="Q827" s="36" t="s">
        <v>3884</v>
      </c>
      <c r="R827" s="15" t="s">
        <v>56</v>
      </c>
      <c r="S827" s="37" t="s">
        <v>57</v>
      </c>
      <c r="T827" s="41" t="s">
        <v>65</v>
      </c>
      <c r="U827" s="23" t="s">
        <v>3885</v>
      </c>
      <c r="V827" s="82">
        <v>46122</v>
      </c>
      <c r="W827" s="32" t="s">
        <v>62</v>
      </c>
      <c r="X827" s="71"/>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c r="BO827" s="30"/>
      <c r="BP827" s="30"/>
      <c r="BQ827" s="30"/>
      <c r="BR827" s="30"/>
      <c r="BS827" s="30"/>
      <c r="BT827" s="30"/>
      <c r="BU827" s="30"/>
      <c r="BV827" s="30"/>
      <c r="BW827" s="30"/>
      <c r="BX827" s="30"/>
      <c r="BY827" s="30"/>
      <c r="BZ827" s="30"/>
      <c r="CA827" s="30"/>
      <c r="CB827" s="30"/>
      <c r="CC827" s="30"/>
      <c r="CD827" s="30"/>
      <c r="CE827" s="30"/>
      <c r="CF827" s="30"/>
      <c r="CG827" s="30"/>
      <c r="CH827" s="30"/>
      <c r="CI827" s="30"/>
      <c r="CJ827" s="30"/>
      <c r="CK827" s="30"/>
      <c r="CL827" s="30"/>
      <c r="CM827" s="30"/>
      <c r="CN827" s="30"/>
      <c r="CO827" s="30"/>
      <c r="CP827" s="30"/>
      <c r="CQ827" s="30"/>
      <c r="CR827" s="30"/>
      <c r="CS827" s="30"/>
      <c r="CT827" s="30"/>
      <c r="CU827" s="30"/>
      <c r="CV827" s="30"/>
      <c r="CW827" s="30"/>
      <c r="CX827" s="30"/>
      <c r="CY827" s="30"/>
      <c r="CZ827" s="30"/>
      <c r="DA827" s="30"/>
      <c r="DB827" s="30"/>
      <c r="DC827" s="30"/>
      <c r="DD827" s="30"/>
      <c r="DE827" s="30"/>
      <c r="DF827" s="30"/>
      <c r="DG827" s="30"/>
      <c r="DH827" s="30"/>
      <c r="DI827" s="30"/>
      <c r="DJ827" s="30"/>
      <c r="DK827" s="30"/>
      <c r="DL827" s="30"/>
      <c r="DM827" s="30"/>
      <c r="DN827" s="30"/>
      <c r="DO827" s="30"/>
      <c r="DP827" s="30"/>
      <c r="DQ827" s="30"/>
      <c r="DR827" s="30"/>
      <c r="DS827" s="30"/>
      <c r="DT827" s="30"/>
      <c r="DU827" s="30"/>
      <c r="DV827" s="30"/>
      <c r="DW827" s="30"/>
      <c r="DX827" s="30"/>
      <c r="DY827" s="30"/>
      <c r="DZ827" s="30"/>
      <c r="EA827" s="30"/>
      <c r="EB827" s="30"/>
      <c r="EC827" s="30"/>
      <c r="ED827" s="30"/>
      <c r="EE827" s="30"/>
    </row>
    <row r="828" spans="1:135" ht="30" customHeight="1" thickBot="1" x14ac:dyDescent="0.3">
      <c r="A828" s="578" t="s">
        <v>6701</v>
      </c>
      <c r="B828" s="51">
        <v>16485</v>
      </c>
      <c r="C828" s="72" t="s">
        <v>6697</v>
      </c>
      <c r="D828" s="140" t="s">
        <v>24</v>
      </c>
      <c r="E828" s="11" t="s">
        <v>25</v>
      </c>
      <c r="F828" s="20" t="s">
        <v>6698</v>
      </c>
      <c r="G828" s="59" t="s">
        <v>6699</v>
      </c>
      <c r="H828" s="31" t="s">
        <v>6700</v>
      </c>
      <c r="I828" s="296" t="s">
        <v>135</v>
      </c>
      <c r="J828" s="24" t="s">
        <v>32</v>
      </c>
      <c r="K828" s="23" t="s">
        <v>6702</v>
      </c>
      <c r="L828" s="25" t="str">
        <f>"RUTL-"&amp;RIGHT(K828,8)</f>
        <v>RUTL-PW0K0DKA</v>
      </c>
      <c r="M828" s="34" t="s">
        <v>40</v>
      </c>
      <c r="N828" s="39" t="s">
        <v>54</v>
      </c>
      <c r="O828" s="94"/>
      <c r="P828" s="45" t="s">
        <v>46</v>
      </c>
      <c r="Q828" s="35" t="s">
        <v>6703</v>
      </c>
      <c r="R828" s="15" t="s">
        <v>56</v>
      </c>
      <c r="S828" s="37" t="s">
        <v>57</v>
      </c>
      <c r="T828" s="118" t="s">
        <v>65</v>
      </c>
      <c r="U828" s="39" t="s">
        <v>66</v>
      </c>
      <c r="V828" s="270">
        <v>46122</v>
      </c>
      <c r="W828" s="32" t="s">
        <v>62</v>
      </c>
      <c r="X828" s="71"/>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c r="BO828" s="30"/>
      <c r="BP828" s="30"/>
      <c r="BQ828" s="30"/>
      <c r="BR828" s="30"/>
      <c r="BS828" s="30"/>
      <c r="BT828" s="30"/>
      <c r="BU828" s="30"/>
      <c r="BV828" s="30"/>
      <c r="BW828" s="30"/>
      <c r="BX828" s="30"/>
      <c r="BY828" s="30"/>
      <c r="BZ828" s="30"/>
      <c r="CA828" s="30"/>
      <c r="CB828" s="30"/>
      <c r="CC828" s="30"/>
      <c r="CD828" s="30"/>
      <c r="CE828" s="30"/>
      <c r="CF828" s="30"/>
      <c r="CG828" s="30"/>
      <c r="CH828" s="30"/>
      <c r="CI828" s="30"/>
      <c r="CJ828" s="30"/>
      <c r="CK828" s="30"/>
      <c r="CL828" s="30"/>
      <c r="CM828" s="30"/>
      <c r="CN828" s="30"/>
      <c r="CO828" s="30"/>
      <c r="CP828" s="30"/>
      <c r="CQ828" s="30"/>
      <c r="CR828" s="30"/>
      <c r="CS828" s="30"/>
      <c r="CT828" s="30"/>
      <c r="CU828" s="30"/>
      <c r="CV828" s="30"/>
      <c r="CW828" s="30"/>
      <c r="CX828" s="30"/>
      <c r="CY828" s="30"/>
      <c r="CZ828" s="30"/>
      <c r="DA828" s="30"/>
      <c r="DB828" s="30"/>
      <c r="DC828" s="30"/>
      <c r="DD828" s="30"/>
      <c r="DE828" s="30"/>
      <c r="DF828" s="30"/>
      <c r="DG828" s="30"/>
      <c r="DH828" s="30"/>
      <c r="DI828" s="30"/>
      <c r="DJ828" s="30"/>
      <c r="DK828" s="30"/>
      <c r="DL828" s="30"/>
      <c r="DM828" s="30"/>
      <c r="DN828" s="30"/>
      <c r="DO828" s="30"/>
      <c r="DP828" s="30"/>
      <c r="DQ828" s="30"/>
      <c r="DR828" s="30"/>
      <c r="DS828" s="30"/>
      <c r="DT828" s="30"/>
      <c r="DU828" s="30"/>
      <c r="DV828" s="30"/>
      <c r="DW828" s="30"/>
      <c r="DX828" s="30"/>
      <c r="DY828" s="30"/>
      <c r="DZ828" s="30"/>
      <c r="EA828" s="30"/>
      <c r="EB828" s="30"/>
      <c r="EC828" s="30"/>
      <c r="ED828" s="30"/>
      <c r="EE828" s="30"/>
    </row>
    <row r="829" spans="1:135" ht="30" customHeight="1" thickBot="1" x14ac:dyDescent="0.3">
      <c r="A829" s="578" t="s">
        <v>6767</v>
      </c>
      <c r="B829" s="51">
        <v>16667</v>
      </c>
      <c r="C829" s="72" t="s">
        <v>6765</v>
      </c>
      <c r="D829" s="140" t="s">
        <v>24</v>
      </c>
      <c r="E829" s="28" t="s">
        <v>25</v>
      </c>
      <c r="F829" s="12" t="s">
        <v>6766</v>
      </c>
      <c r="G829" s="59" t="s">
        <v>3745</v>
      </c>
      <c r="H829" s="31" t="s">
        <v>255</v>
      </c>
      <c r="I829" s="296" t="s">
        <v>135</v>
      </c>
      <c r="J829" s="24" t="s">
        <v>32</v>
      </c>
      <c r="K829" s="23" t="s">
        <v>6768</v>
      </c>
      <c r="L829" s="25" t="str">
        <f>"RUTL-"&amp;RIGHT(K829,8)</f>
        <v>RUTL-PW0K0DHY</v>
      </c>
      <c r="M829" s="34" t="s">
        <v>40</v>
      </c>
      <c r="N829" s="23" t="s">
        <v>54</v>
      </c>
      <c r="O829" s="94"/>
      <c r="P829" s="45" t="s">
        <v>46</v>
      </c>
      <c r="Q829" s="35" t="s">
        <v>6769</v>
      </c>
      <c r="R829" s="15" t="s">
        <v>56</v>
      </c>
      <c r="S829" s="37" t="s">
        <v>57</v>
      </c>
      <c r="T829" s="107" t="s">
        <v>453</v>
      </c>
      <c r="U829" s="39" t="s">
        <v>6406</v>
      </c>
      <c r="V829" s="270">
        <v>46122</v>
      </c>
      <c r="W829" s="32" t="s">
        <v>62</v>
      </c>
      <c r="X829" s="71"/>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c r="BO829" s="30"/>
      <c r="BP829" s="30"/>
      <c r="BQ829" s="30"/>
      <c r="BR829" s="30"/>
      <c r="BS829" s="30"/>
      <c r="BT829" s="30"/>
      <c r="BU829" s="30"/>
      <c r="BV829" s="30"/>
      <c r="BW829" s="30"/>
      <c r="BX829" s="30"/>
      <c r="BY829" s="30"/>
      <c r="BZ829" s="30"/>
      <c r="CA829" s="30"/>
      <c r="CB829" s="30"/>
      <c r="CC829" s="30"/>
      <c r="CD829" s="30"/>
      <c r="CE829" s="30"/>
      <c r="CF829" s="30"/>
      <c r="CG829" s="30"/>
      <c r="CH829" s="30"/>
      <c r="CI829" s="30"/>
      <c r="CJ829" s="30"/>
      <c r="CK829" s="30"/>
      <c r="CL829" s="30"/>
      <c r="CM829" s="30"/>
      <c r="CN829" s="30"/>
      <c r="CO829" s="30"/>
      <c r="CP829" s="30"/>
      <c r="CQ829" s="30"/>
      <c r="CR829" s="30"/>
      <c r="CS829" s="30"/>
      <c r="CT829" s="30"/>
      <c r="CU829" s="30"/>
      <c r="CV829" s="30"/>
      <c r="CW829" s="30"/>
      <c r="CX829" s="30"/>
      <c r="CY829" s="30"/>
      <c r="CZ829" s="30"/>
      <c r="DA829" s="30"/>
      <c r="DB829" s="30"/>
      <c r="DC829" s="30"/>
      <c r="DD829" s="30"/>
      <c r="DE829" s="30"/>
      <c r="DF829" s="30"/>
      <c r="DG829" s="30"/>
      <c r="DH829" s="30"/>
      <c r="DI829" s="30"/>
      <c r="DJ829" s="30"/>
      <c r="DK829" s="30"/>
      <c r="DL829" s="30"/>
      <c r="DM829" s="30"/>
      <c r="DN829" s="30"/>
      <c r="DO829" s="30"/>
      <c r="DP829" s="30"/>
      <c r="DQ829" s="30"/>
      <c r="DR829" s="30"/>
      <c r="DS829" s="30"/>
      <c r="DT829" s="30"/>
      <c r="DU829" s="30"/>
      <c r="DV829" s="30"/>
      <c r="DW829" s="30"/>
      <c r="DX829" s="30"/>
      <c r="DY829" s="30"/>
      <c r="DZ829" s="30"/>
      <c r="EA829" s="30"/>
      <c r="EB829" s="30"/>
      <c r="EC829" s="30"/>
      <c r="ED829" s="30"/>
      <c r="EE829" s="30"/>
    </row>
    <row r="830" spans="1:135" ht="30" customHeight="1" thickBot="1" x14ac:dyDescent="0.3">
      <c r="A830" s="578" t="s">
        <v>144</v>
      </c>
      <c r="B830" s="90" t="s">
        <v>79</v>
      </c>
      <c r="C830" s="27" t="s">
        <v>139</v>
      </c>
      <c r="D830" s="59" t="s">
        <v>24</v>
      </c>
      <c r="E830" s="11" t="s">
        <v>25</v>
      </c>
      <c r="F830" s="29" t="s">
        <v>88</v>
      </c>
      <c r="G830" s="12" t="s">
        <v>91</v>
      </c>
      <c r="H830" s="31" t="s">
        <v>92</v>
      </c>
      <c r="I830" s="24" t="s">
        <v>48</v>
      </c>
      <c r="J830" s="24" t="s">
        <v>49</v>
      </c>
      <c r="K830" s="33" t="s">
        <v>145</v>
      </c>
      <c r="L830" s="88" t="str">
        <f>"RUTL-"&amp;RIGHT(K830,8)</f>
        <v>RUTL-1D306N02</v>
      </c>
      <c r="M830" s="92" t="s">
        <v>40</v>
      </c>
      <c r="N830" s="32" t="s">
        <v>54</v>
      </c>
      <c r="O830" s="93"/>
      <c r="P830" s="35" t="s">
        <v>46</v>
      </c>
      <c r="Q830" s="36" t="s">
        <v>156</v>
      </c>
      <c r="R830" s="15" t="s">
        <v>56</v>
      </c>
      <c r="S830" s="40" t="s">
        <v>57</v>
      </c>
      <c r="T830" s="35" t="s">
        <v>65</v>
      </c>
      <c r="U830" s="47" t="s">
        <v>128</v>
      </c>
      <c r="V830" s="95"/>
      <c r="W830" s="32" t="s">
        <v>99</v>
      </c>
      <c r="X830" s="71"/>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row>
    <row r="831" spans="1:135" ht="30" customHeight="1" thickBot="1" x14ac:dyDescent="0.3">
      <c r="A831" s="578" t="s">
        <v>221</v>
      </c>
      <c r="B831" s="51" t="s">
        <v>215</v>
      </c>
      <c r="C831" s="52" t="s">
        <v>216</v>
      </c>
      <c r="D831" s="140" t="s">
        <v>24</v>
      </c>
      <c r="E831" s="11" t="s">
        <v>25</v>
      </c>
      <c r="F831" s="20" t="s">
        <v>217</v>
      </c>
      <c r="G831" s="15" t="s">
        <v>218</v>
      </c>
      <c r="H831" s="22" t="s">
        <v>197</v>
      </c>
      <c r="I831" s="18" t="s">
        <v>48</v>
      </c>
      <c r="J831" s="18" t="s">
        <v>49</v>
      </c>
      <c r="K831" s="23" t="s">
        <v>223</v>
      </c>
      <c r="L831" s="21" t="str">
        <f>"RUTL-"&amp;RIGHT(K831,8)</f>
        <v>RUTL-1A556N02</v>
      </c>
      <c r="M831" s="34" t="s">
        <v>40</v>
      </c>
      <c r="N831" s="39" t="s">
        <v>54</v>
      </c>
      <c r="O831" s="23"/>
      <c r="P831" s="35" t="s">
        <v>46</v>
      </c>
      <c r="Q831" s="63"/>
      <c r="R831" s="15" t="s">
        <v>56</v>
      </c>
      <c r="S831" s="37" t="s">
        <v>57</v>
      </c>
      <c r="T831" s="107" t="s">
        <v>226</v>
      </c>
      <c r="U831" s="39" t="s">
        <v>227</v>
      </c>
      <c r="V831" s="82">
        <v>46111</v>
      </c>
      <c r="W831" s="23" t="s">
        <v>67</v>
      </c>
      <c r="X831" s="71"/>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c r="DE831" s="5"/>
      <c r="DF831" s="5"/>
      <c r="DG831" s="5"/>
      <c r="DH831" s="5"/>
      <c r="DI831" s="5"/>
      <c r="DJ831" s="5"/>
      <c r="DK831" s="5"/>
      <c r="DL831" s="5"/>
      <c r="DM831" s="5"/>
      <c r="DN831" s="5"/>
      <c r="DO831" s="5"/>
      <c r="DP831" s="5"/>
      <c r="DQ831" s="5"/>
      <c r="DR831" s="5"/>
      <c r="DS831" s="5"/>
      <c r="DT831" s="5"/>
      <c r="DU831" s="5"/>
      <c r="DV831" s="5"/>
      <c r="DW831" s="5"/>
      <c r="DX831" s="5"/>
      <c r="DY831" s="5"/>
      <c r="DZ831" s="5"/>
      <c r="EA831" s="5"/>
      <c r="EB831" s="5"/>
      <c r="EC831" s="5"/>
      <c r="ED831" s="5"/>
      <c r="EE831" s="5"/>
    </row>
    <row r="832" spans="1:135" ht="30" customHeight="1" thickBot="1" x14ac:dyDescent="0.3">
      <c r="A832" s="578" t="s">
        <v>242</v>
      </c>
      <c r="B832" s="16" t="s">
        <v>237</v>
      </c>
      <c r="C832" s="231" t="s">
        <v>239</v>
      </c>
      <c r="D832" s="140" t="s">
        <v>24</v>
      </c>
      <c r="E832" s="11" t="s">
        <v>25</v>
      </c>
      <c r="F832" s="12" t="s">
        <v>240</v>
      </c>
      <c r="G832" s="59" t="s">
        <v>241</v>
      </c>
      <c r="H832" s="22" t="s">
        <v>197</v>
      </c>
      <c r="I832" s="142" t="s">
        <v>48</v>
      </c>
      <c r="J832" s="18" t="s">
        <v>49</v>
      </c>
      <c r="K832" s="23" t="s">
        <v>244</v>
      </c>
      <c r="L832" s="25" t="str">
        <f>"RUTL-"&amp;RIGHT(K832,8)</f>
        <v>RUTL-1A996N02</v>
      </c>
      <c r="M832" s="34" t="s">
        <v>40</v>
      </c>
      <c r="N832" s="39" t="s">
        <v>54</v>
      </c>
      <c r="O832" s="23"/>
      <c r="P832" s="35" t="s">
        <v>46</v>
      </c>
      <c r="Q832" s="392" t="s">
        <v>245</v>
      </c>
      <c r="R832" s="15" t="s">
        <v>56</v>
      </c>
      <c r="S832" s="40" t="s">
        <v>57</v>
      </c>
      <c r="T832" s="105" t="s">
        <v>101</v>
      </c>
      <c r="U832" s="39" t="s">
        <v>246</v>
      </c>
      <c r="V832" s="82">
        <v>46111</v>
      </c>
      <c r="W832" s="23" t="s">
        <v>67</v>
      </c>
      <c r="X832" s="71"/>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c r="BO832" s="30"/>
      <c r="BP832" s="30"/>
      <c r="BQ832" s="30"/>
      <c r="BR832" s="30"/>
      <c r="BS832" s="30"/>
      <c r="BT832" s="30"/>
      <c r="BU832" s="30"/>
      <c r="BV832" s="30"/>
      <c r="BW832" s="30"/>
      <c r="BX832" s="30"/>
      <c r="BY832" s="30"/>
      <c r="BZ832" s="30"/>
      <c r="CA832" s="30"/>
      <c r="CB832" s="30"/>
      <c r="CC832" s="30"/>
      <c r="CD832" s="30"/>
      <c r="CE832" s="30"/>
      <c r="CF832" s="30"/>
      <c r="CG832" s="30"/>
      <c r="CH832" s="30"/>
      <c r="CI832" s="30"/>
      <c r="CJ832" s="30"/>
      <c r="CK832" s="30"/>
      <c r="CL832" s="30"/>
      <c r="CM832" s="30"/>
      <c r="CN832" s="30"/>
      <c r="CO832" s="30"/>
      <c r="CP832" s="30"/>
      <c r="CQ832" s="30"/>
      <c r="CR832" s="30"/>
      <c r="CS832" s="30"/>
      <c r="CT832" s="30"/>
      <c r="CU832" s="30"/>
      <c r="CV832" s="30"/>
      <c r="CW832" s="30"/>
      <c r="CX832" s="30"/>
      <c r="CY832" s="30"/>
      <c r="CZ832" s="30"/>
      <c r="DA832" s="30"/>
      <c r="DB832" s="30"/>
      <c r="DC832" s="30"/>
      <c r="DD832" s="30"/>
      <c r="DE832" s="30"/>
      <c r="DF832" s="30"/>
      <c r="DG832" s="30"/>
      <c r="DH832" s="30"/>
      <c r="DI832" s="30"/>
      <c r="DJ832" s="30"/>
      <c r="DK832" s="30"/>
      <c r="DL832" s="30"/>
      <c r="DM832" s="30"/>
      <c r="DN832" s="30"/>
      <c r="DO832" s="30"/>
      <c r="DP832" s="30"/>
      <c r="DQ832" s="30"/>
      <c r="DR832" s="30"/>
      <c r="DS832" s="30"/>
      <c r="DT832" s="30"/>
      <c r="DU832" s="30"/>
      <c r="DV832" s="30"/>
      <c r="DW832" s="30"/>
      <c r="DX832" s="30"/>
      <c r="DY832" s="30"/>
      <c r="DZ832" s="30"/>
      <c r="EA832" s="30"/>
      <c r="EB832" s="30"/>
      <c r="EC832" s="30"/>
      <c r="ED832" s="30"/>
      <c r="EE832" s="30"/>
    </row>
    <row r="833" spans="1:135" ht="30" customHeight="1" thickBot="1" x14ac:dyDescent="0.3">
      <c r="A833" s="578" t="s">
        <v>6485</v>
      </c>
      <c r="B833" s="16">
        <v>15984</v>
      </c>
      <c r="C833" s="69" t="s">
        <v>6483</v>
      </c>
      <c r="D833" s="140" t="s">
        <v>24</v>
      </c>
      <c r="E833" s="11" t="s">
        <v>25</v>
      </c>
      <c r="F833" s="12" t="s">
        <v>6484</v>
      </c>
      <c r="G833" s="59" t="s">
        <v>218</v>
      </c>
      <c r="H833" s="31" t="s">
        <v>197</v>
      </c>
      <c r="I833" s="18" t="s">
        <v>48</v>
      </c>
      <c r="J833" s="18" t="s">
        <v>49</v>
      </c>
      <c r="K833" s="32" t="s">
        <v>6486</v>
      </c>
      <c r="L833" s="25" t="str">
        <f>"RUTL-"&amp;RIGHT(K833,8)</f>
        <v>RUTL-1A7B6N02</v>
      </c>
      <c r="M833" s="34" t="s">
        <v>40</v>
      </c>
      <c r="N833" s="23" t="s">
        <v>54</v>
      </c>
      <c r="O833" s="23"/>
      <c r="P833" s="35" t="s">
        <v>46</v>
      </c>
      <c r="Q833" s="35" t="s">
        <v>6487</v>
      </c>
      <c r="R833" s="15" t="s">
        <v>56</v>
      </c>
      <c r="S833" s="37" t="s">
        <v>57</v>
      </c>
      <c r="T833" s="38" t="s">
        <v>58</v>
      </c>
      <c r="U833" s="39" t="s">
        <v>3435</v>
      </c>
      <c r="V833" s="48">
        <v>46111</v>
      </c>
      <c r="W833" s="23" t="s">
        <v>67</v>
      </c>
      <c r="X833" s="71"/>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row>
    <row r="834" spans="1:135" ht="30" customHeight="1" thickBot="1" x14ac:dyDescent="0.3">
      <c r="A834" s="578" t="s">
        <v>7353</v>
      </c>
      <c r="B834" s="51">
        <v>18468</v>
      </c>
      <c r="C834" s="72" t="s">
        <v>7351</v>
      </c>
      <c r="D834" s="140" t="s">
        <v>24</v>
      </c>
      <c r="E834" s="11" t="s">
        <v>25</v>
      </c>
      <c r="F834" s="12" t="s">
        <v>7352</v>
      </c>
      <c r="G834" s="15" t="s">
        <v>1645</v>
      </c>
      <c r="H834" s="31" t="s">
        <v>197</v>
      </c>
      <c r="I834" s="18" t="s">
        <v>48</v>
      </c>
      <c r="J834" s="18" t="s">
        <v>49</v>
      </c>
      <c r="K834" s="23" t="s">
        <v>7354</v>
      </c>
      <c r="L834" s="25" t="str">
        <f>"RUTL-"&amp;RIGHT(K834,8)</f>
        <v>RUTL-1A8F6N02</v>
      </c>
      <c r="M834" s="34" t="s">
        <v>40</v>
      </c>
      <c r="N834" s="39" t="s">
        <v>43</v>
      </c>
      <c r="O834" s="23"/>
      <c r="P834" s="35" t="s">
        <v>46</v>
      </c>
      <c r="Q834" s="36" t="s">
        <v>7355</v>
      </c>
      <c r="R834" s="15" t="s">
        <v>56</v>
      </c>
      <c r="S834" s="37" t="s">
        <v>57</v>
      </c>
      <c r="T834" s="41" t="s">
        <v>65</v>
      </c>
      <c r="U834" s="39" t="s">
        <v>6494</v>
      </c>
      <c r="V834" s="48">
        <v>46111</v>
      </c>
      <c r="W834" s="23" t="s">
        <v>67</v>
      </c>
      <c r="X834" s="71"/>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c r="DT834" s="5"/>
      <c r="DU834" s="5"/>
      <c r="DV834" s="5"/>
      <c r="DW834" s="5"/>
      <c r="DX834" s="5"/>
      <c r="DY834" s="5"/>
      <c r="DZ834" s="5"/>
      <c r="EA834" s="5"/>
      <c r="EB834" s="5"/>
      <c r="EC834" s="5"/>
      <c r="ED834" s="5"/>
      <c r="EE834" s="5"/>
    </row>
    <row r="835" spans="1:135" ht="30" customHeight="1" thickBot="1" x14ac:dyDescent="0.3">
      <c r="A835" s="578" t="s">
        <v>6085</v>
      </c>
      <c r="B835" s="16">
        <v>15067</v>
      </c>
      <c r="C835" s="69" t="s">
        <v>6083</v>
      </c>
      <c r="D835" s="59" t="s">
        <v>24</v>
      </c>
      <c r="E835" s="11" t="s">
        <v>25</v>
      </c>
      <c r="F835" s="12" t="s">
        <v>6084</v>
      </c>
      <c r="G835" s="59" t="s">
        <v>443</v>
      </c>
      <c r="H835" s="31" t="s">
        <v>92</v>
      </c>
      <c r="I835" s="296" t="s">
        <v>48</v>
      </c>
      <c r="J835" s="24" t="s">
        <v>49</v>
      </c>
      <c r="K835" s="23" t="s">
        <v>6086</v>
      </c>
      <c r="L835" s="25" t="str">
        <f>"RUTL-"&amp;RIGHT(K835,8)</f>
        <v>RUTL-1D4F6N02</v>
      </c>
      <c r="M835" s="34" t="s">
        <v>40</v>
      </c>
      <c r="N835" s="39" t="s">
        <v>54</v>
      </c>
      <c r="O835" s="23"/>
      <c r="P835" s="35" t="s">
        <v>46</v>
      </c>
      <c r="Q835" s="35" t="s">
        <v>146</v>
      </c>
      <c r="R835" s="15" t="s">
        <v>56</v>
      </c>
      <c r="S835" s="37" t="s">
        <v>57</v>
      </c>
      <c r="T835" s="41" t="s">
        <v>453</v>
      </c>
      <c r="U835" s="39" t="s">
        <v>6087</v>
      </c>
      <c r="V835" s="82">
        <v>46108</v>
      </c>
      <c r="W835" s="23" t="s">
        <v>6088</v>
      </c>
      <c r="X835" s="71"/>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c r="BO835" s="30"/>
      <c r="BP835" s="30"/>
      <c r="BQ835" s="30"/>
      <c r="BR835" s="30"/>
      <c r="BS835" s="30"/>
      <c r="BT835" s="30"/>
      <c r="BU835" s="30"/>
      <c r="BV835" s="30"/>
      <c r="BW835" s="30"/>
      <c r="BX835" s="30"/>
      <c r="BY835" s="30"/>
      <c r="BZ835" s="30"/>
      <c r="CA835" s="30"/>
      <c r="CB835" s="30"/>
      <c r="CC835" s="30"/>
      <c r="CD835" s="30"/>
      <c r="CE835" s="30"/>
      <c r="CF835" s="30"/>
      <c r="CG835" s="30"/>
      <c r="CH835" s="30"/>
      <c r="CI835" s="30"/>
      <c r="CJ835" s="30"/>
      <c r="CK835" s="30"/>
      <c r="CL835" s="30"/>
      <c r="CM835" s="30"/>
      <c r="CN835" s="30"/>
      <c r="CO835" s="30"/>
      <c r="CP835" s="30"/>
      <c r="CQ835" s="30"/>
      <c r="CR835" s="30"/>
      <c r="CS835" s="30"/>
      <c r="CT835" s="30"/>
      <c r="CU835" s="30"/>
      <c r="CV835" s="30"/>
      <c r="CW835" s="30"/>
      <c r="CX835" s="30"/>
      <c r="CY835" s="30"/>
      <c r="CZ835" s="30"/>
      <c r="DA835" s="30"/>
      <c r="DB835" s="30"/>
      <c r="DC835" s="30"/>
      <c r="DD835" s="30"/>
      <c r="DE835" s="30"/>
      <c r="DF835" s="30"/>
      <c r="DG835" s="30"/>
      <c r="DH835" s="30"/>
      <c r="DI835" s="30"/>
      <c r="DJ835" s="30"/>
      <c r="DK835" s="30"/>
      <c r="DL835" s="30"/>
      <c r="DM835" s="30"/>
      <c r="DN835" s="30"/>
      <c r="DO835" s="30"/>
      <c r="DP835" s="30"/>
      <c r="DQ835" s="30"/>
      <c r="DR835" s="30"/>
      <c r="DS835" s="30"/>
      <c r="DT835" s="30"/>
      <c r="DU835" s="30"/>
      <c r="DV835" s="30"/>
      <c r="DW835" s="30"/>
      <c r="DX835" s="30"/>
      <c r="DY835" s="30"/>
      <c r="DZ835" s="30"/>
      <c r="EA835" s="30"/>
      <c r="EB835" s="30"/>
      <c r="EC835" s="30"/>
      <c r="ED835" s="30"/>
      <c r="EE835" s="30"/>
    </row>
    <row r="836" spans="1:135" ht="30" customHeight="1" thickBot="1" x14ac:dyDescent="0.3">
      <c r="A836" s="578" t="s">
        <v>6604</v>
      </c>
      <c r="B836" s="16">
        <v>16328</v>
      </c>
      <c r="C836" s="167" t="s">
        <v>6602</v>
      </c>
      <c r="D836" s="140" t="s">
        <v>24</v>
      </c>
      <c r="E836" s="11" t="s">
        <v>25</v>
      </c>
      <c r="F836" s="12" t="s">
        <v>6603</v>
      </c>
      <c r="G836" s="15" t="s">
        <v>2917</v>
      </c>
      <c r="H836" s="22" t="s">
        <v>92</v>
      </c>
      <c r="I836" s="24" t="s">
        <v>135</v>
      </c>
      <c r="J836" s="24" t="s">
        <v>32</v>
      </c>
      <c r="K836" s="23" t="s">
        <v>6605</v>
      </c>
      <c r="L836" s="25" t="str">
        <f>"RUTL-"&amp;RIGHT(K836,8)</f>
        <v>RUTL-PW0K0DDZ</v>
      </c>
      <c r="M836" s="34" t="s">
        <v>40</v>
      </c>
      <c r="N836" s="23" t="s">
        <v>54</v>
      </c>
      <c r="O836" s="32"/>
      <c r="P836" s="35" t="s">
        <v>46</v>
      </c>
      <c r="Q836" s="36" t="s">
        <v>6606</v>
      </c>
      <c r="R836" s="15" t="s">
        <v>56</v>
      </c>
      <c r="S836" s="40" t="s">
        <v>57</v>
      </c>
      <c r="T836" s="38" t="s">
        <v>58</v>
      </c>
      <c r="U836" s="39" t="s">
        <v>6607</v>
      </c>
      <c r="V836" s="43">
        <v>46122</v>
      </c>
      <c r="W836" s="32" t="s">
        <v>62</v>
      </c>
      <c r="X836" s="71"/>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c r="DE836" s="5"/>
      <c r="DF836" s="5"/>
      <c r="DG836" s="5"/>
      <c r="DH836" s="5"/>
      <c r="DI836" s="5"/>
      <c r="DJ836" s="5"/>
      <c r="DK836" s="5"/>
      <c r="DL836" s="5"/>
      <c r="DM836" s="5"/>
      <c r="DN836" s="5"/>
      <c r="DO836" s="5"/>
      <c r="DP836" s="5"/>
      <c r="DQ836" s="5"/>
      <c r="DR836" s="5"/>
      <c r="DS836" s="5"/>
      <c r="DT836" s="5"/>
      <c r="DU836" s="5"/>
      <c r="DV836" s="5"/>
      <c r="DW836" s="5"/>
      <c r="DX836" s="5"/>
      <c r="DY836" s="5"/>
      <c r="DZ836" s="5"/>
      <c r="EA836" s="5"/>
      <c r="EB836" s="5"/>
      <c r="EC836" s="5"/>
      <c r="ED836" s="5"/>
      <c r="EE836" s="5"/>
    </row>
    <row r="837" spans="1:135" ht="30" customHeight="1" thickBot="1" x14ac:dyDescent="0.3">
      <c r="A837" s="578" t="s">
        <v>1993</v>
      </c>
      <c r="B837" s="16">
        <v>840</v>
      </c>
      <c r="C837" s="72" t="s">
        <v>1988</v>
      </c>
      <c r="D837" s="59" t="s">
        <v>24</v>
      </c>
      <c r="E837" s="11" t="s">
        <v>25</v>
      </c>
      <c r="F837" s="12" t="s">
        <v>1989</v>
      </c>
      <c r="G837" s="15" t="s">
        <v>563</v>
      </c>
      <c r="H837" s="22" t="s">
        <v>564</v>
      </c>
      <c r="I837" s="24" t="s">
        <v>135</v>
      </c>
      <c r="J837" s="24" t="s">
        <v>32</v>
      </c>
      <c r="K837" s="23" t="s">
        <v>1994</v>
      </c>
      <c r="L837" s="25" t="str">
        <f>"RUTL-"&amp;RIGHT(K837,8)</f>
        <v>RUTL-PW0K0D82</v>
      </c>
      <c r="M837" s="34" t="s">
        <v>40</v>
      </c>
      <c r="N837" s="23" t="s">
        <v>54</v>
      </c>
      <c r="O837" s="32"/>
      <c r="P837" s="35" t="s">
        <v>46</v>
      </c>
      <c r="Q837" s="36" t="s">
        <v>1998</v>
      </c>
      <c r="R837" s="15" t="s">
        <v>56</v>
      </c>
      <c r="S837" s="40" t="s">
        <v>57</v>
      </c>
      <c r="T837" s="41" t="s">
        <v>65</v>
      </c>
      <c r="U837" s="39" t="s">
        <v>2004</v>
      </c>
      <c r="V837" s="43">
        <v>46122</v>
      </c>
      <c r="W837" s="32" t="s">
        <v>62</v>
      </c>
      <c r="X837" s="71"/>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c r="DE837" s="5"/>
      <c r="DF837" s="5"/>
      <c r="DG837" s="5"/>
      <c r="DH837" s="5"/>
      <c r="DI837" s="5"/>
      <c r="DJ837" s="5"/>
      <c r="DK837" s="5"/>
      <c r="DL837" s="5"/>
      <c r="DM837" s="5"/>
      <c r="DN837" s="5"/>
      <c r="DO837" s="5"/>
      <c r="DP837" s="5"/>
      <c r="DQ837" s="5"/>
      <c r="DR837" s="5"/>
      <c r="DS837" s="5"/>
      <c r="DT837" s="5"/>
      <c r="DU837" s="5"/>
      <c r="DV837" s="5"/>
      <c r="DW837" s="5"/>
      <c r="DX837" s="5"/>
      <c r="DY837" s="5"/>
      <c r="DZ837" s="5"/>
      <c r="EA837" s="5"/>
      <c r="EB837" s="5"/>
      <c r="EC837" s="5"/>
      <c r="ED837" s="5"/>
      <c r="EE837" s="5"/>
    </row>
    <row r="838" spans="1:135" ht="30" customHeight="1" thickBot="1" x14ac:dyDescent="0.3">
      <c r="A838" s="578" t="s">
        <v>2541</v>
      </c>
      <c r="B838" s="51">
        <v>1374</v>
      </c>
      <c r="C838" s="9" t="s">
        <v>2537</v>
      </c>
      <c r="D838" s="140" t="s">
        <v>24</v>
      </c>
      <c r="E838" s="11" t="s">
        <v>25</v>
      </c>
      <c r="F838" s="29" t="s">
        <v>2538</v>
      </c>
      <c r="G838" s="15" t="s">
        <v>2539</v>
      </c>
      <c r="H838" s="119" t="s">
        <v>839</v>
      </c>
      <c r="I838" s="18" t="s">
        <v>135</v>
      </c>
      <c r="J838" s="18" t="s">
        <v>32</v>
      </c>
      <c r="K838" s="23" t="s">
        <v>2543</v>
      </c>
      <c r="L838" s="25" t="str">
        <f>"RUTL-"&amp;RIGHT(K838,8)</f>
        <v>RUTL-PW0K0DA2</v>
      </c>
      <c r="M838" s="34" t="s">
        <v>40</v>
      </c>
      <c r="N838" s="23" t="s">
        <v>54</v>
      </c>
      <c r="O838" s="32"/>
      <c r="P838" s="35" t="s">
        <v>46</v>
      </c>
      <c r="Q838" s="36" t="s">
        <v>2544</v>
      </c>
      <c r="R838" s="15" t="s">
        <v>56</v>
      </c>
      <c r="S838" s="37" t="s">
        <v>57</v>
      </c>
      <c r="T838" s="23" t="s">
        <v>273</v>
      </c>
      <c r="U838" s="39" t="s">
        <v>2545</v>
      </c>
      <c r="V838" s="43">
        <v>46299</v>
      </c>
      <c r="W838" s="23" t="s">
        <v>62</v>
      </c>
      <c r="X838" s="71"/>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c r="DE838" s="5"/>
      <c r="DF838" s="5"/>
      <c r="DG838" s="5"/>
      <c r="DH838" s="5"/>
      <c r="DI838" s="5"/>
      <c r="DJ838" s="5"/>
      <c r="DK838" s="5"/>
      <c r="DL838" s="5"/>
      <c r="DM838" s="5"/>
      <c r="DN838" s="5"/>
      <c r="DO838" s="5"/>
      <c r="DP838" s="5"/>
      <c r="DQ838" s="5"/>
      <c r="DR838" s="5"/>
      <c r="DS838" s="5"/>
      <c r="DT838" s="5"/>
      <c r="DU838" s="5"/>
      <c r="DV838" s="5"/>
      <c r="DW838" s="5"/>
      <c r="DX838" s="5"/>
      <c r="DY838" s="5"/>
      <c r="DZ838" s="5"/>
      <c r="EA838" s="5"/>
      <c r="EB838" s="5"/>
      <c r="EC838" s="5"/>
      <c r="ED838" s="5"/>
      <c r="EE838" s="5"/>
    </row>
    <row r="839" spans="1:135" ht="30" customHeight="1" thickBot="1" x14ac:dyDescent="0.3">
      <c r="A839" s="578" t="s">
        <v>6753</v>
      </c>
      <c r="B839" s="51">
        <v>16643</v>
      </c>
      <c r="C839" s="52" t="s">
        <v>6751</v>
      </c>
      <c r="D839" s="140" t="s">
        <v>24</v>
      </c>
      <c r="E839" s="11" t="s">
        <v>25</v>
      </c>
      <c r="F839" s="12" t="s">
        <v>6752</v>
      </c>
      <c r="G839" s="15" t="s">
        <v>606</v>
      </c>
      <c r="H839" s="22" t="s">
        <v>1647</v>
      </c>
      <c r="I839" s="24" t="s">
        <v>135</v>
      </c>
      <c r="J839" s="18" t="s">
        <v>32</v>
      </c>
      <c r="K839" s="23" t="s">
        <v>6754</v>
      </c>
      <c r="L839" s="25" t="str">
        <f>"RUTL-"&amp;RIGHT(K839,8)</f>
        <v>RUTL-PW0K0DCZ</v>
      </c>
      <c r="M839" s="34" t="s">
        <v>40</v>
      </c>
      <c r="N839" s="23" t="s">
        <v>54</v>
      </c>
      <c r="O839" s="32"/>
      <c r="P839" s="35" t="s">
        <v>46</v>
      </c>
      <c r="Q839" s="36" t="s">
        <v>6755</v>
      </c>
      <c r="R839" s="15" t="s">
        <v>56</v>
      </c>
      <c r="S839" s="37" t="s">
        <v>57</v>
      </c>
      <c r="T839" s="107" t="s">
        <v>453</v>
      </c>
      <c r="U839" s="39" t="s">
        <v>6691</v>
      </c>
      <c r="V839" s="43">
        <v>46122</v>
      </c>
      <c r="W839" s="32" t="s">
        <v>62</v>
      </c>
      <c r="X839" s="71"/>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c r="DJ839" s="5"/>
      <c r="DK839" s="5"/>
      <c r="DL839" s="5"/>
      <c r="DM839" s="5"/>
      <c r="DN839" s="5"/>
      <c r="DO839" s="5"/>
      <c r="DP839" s="5"/>
      <c r="DQ839" s="5"/>
      <c r="DR839" s="5"/>
      <c r="DS839" s="5"/>
      <c r="DT839" s="5"/>
      <c r="DU839" s="5"/>
      <c r="DV839" s="5"/>
      <c r="DW839" s="5"/>
      <c r="DX839" s="5"/>
      <c r="DY839" s="5"/>
      <c r="DZ839" s="5"/>
      <c r="EA839" s="5"/>
      <c r="EB839" s="5"/>
      <c r="EC839" s="5"/>
      <c r="ED839" s="5"/>
      <c r="EE839" s="5"/>
    </row>
    <row r="840" spans="1:135" ht="30" customHeight="1" thickBot="1" x14ac:dyDescent="0.3">
      <c r="A840" s="578" t="s">
        <v>6465</v>
      </c>
      <c r="B840" s="16">
        <v>15955</v>
      </c>
      <c r="C840" s="69" t="s">
        <v>6463</v>
      </c>
      <c r="D840" s="140" t="s">
        <v>24</v>
      </c>
      <c r="E840" s="11" t="s">
        <v>25</v>
      </c>
      <c r="F840" s="12" t="s">
        <v>6464</v>
      </c>
      <c r="G840" s="59" t="s">
        <v>2390</v>
      </c>
      <c r="H840" s="22" t="s">
        <v>4015</v>
      </c>
      <c r="I840" s="296" t="s">
        <v>135</v>
      </c>
      <c r="J840" s="24" t="s">
        <v>32</v>
      </c>
      <c r="K840" s="32" t="s">
        <v>6466</v>
      </c>
      <c r="L840" s="25" t="str">
        <f>"RUTL-"&amp;RIGHT(K840,8)</f>
        <v>RUTL-PW0K0E0H</v>
      </c>
      <c r="M840" s="34" t="s">
        <v>40</v>
      </c>
      <c r="N840" s="23" t="s">
        <v>54</v>
      </c>
      <c r="O840" s="32"/>
      <c r="P840" s="35" t="s">
        <v>46</v>
      </c>
      <c r="Q840" s="36" t="s">
        <v>6467</v>
      </c>
      <c r="R840" s="15" t="s">
        <v>56</v>
      </c>
      <c r="S840" s="37" t="s">
        <v>57</v>
      </c>
      <c r="T840" s="118" t="s">
        <v>65</v>
      </c>
      <c r="U840" s="39" t="s">
        <v>6456</v>
      </c>
      <c r="V840" s="82">
        <v>46122</v>
      </c>
      <c r="W840" s="32" t="s">
        <v>62</v>
      </c>
      <c r="X840" s="71"/>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c r="BO840" s="30"/>
      <c r="BP840" s="30"/>
      <c r="BQ840" s="30"/>
      <c r="BR840" s="30"/>
      <c r="BS840" s="30"/>
      <c r="BT840" s="30"/>
      <c r="BU840" s="30"/>
      <c r="BV840" s="30"/>
      <c r="BW840" s="30"/>
      <c r="BX840" s="30"/>
      <c r="BY840" s="30"/>
      <c r="BZ840" s="30"/>
      <c r="CA840" s="30"/>
      <c r="CB840" s="30"/>
      <c r="CC840" s="30"/>
      <c r="CD840" s="30"/>
      <c r="CE840" s="30"/>
      <c r="CF840" s="30"/>
      <c r="CG840" s="30"/>
      <c r="CH840" s="30"/>
      <c r="CI840" s="30"/>
      <c r="CJ840" s="30"/>
      <c r="CK840" s="30"/>
      <c r="CL840" s="30"/>
      <c r="CM840" s="30"/>
      <c r="CN840" s="30"/>
      <c r="CO840" s="30"/>
      <c r="CP840" s="30"/>
      <c r="CQ840" s="30"/>
      <c r="CR840" s="30"/>
      <c r="CS840" s="30"/>
      <c r="CT840" s="30"/>
      <c r="CU840" s="30"/>
      <c r="CV840" s="30"/>
      <c r="CW840" s="30"/>
      <c r="CX840" s="30"/>
      <c r="CY840" s="30"/>
      <c r="CZ840" s="30"/>
      <c r="DA840" s="30"/>
      <c r="DB840" s="30"/>
      <c r="DC840" s="30"/>
      <c r="DD840" s="30"/>
      <c r="DE840" s="30"/>
      <c r="DF840" s="30"/>
      <c r="DG840" s="30"/>
      <c r="DH840" s="30"/>
      <c r="DI840" s="30"/>
      <c r="DJ840" s="30"/>
      <c r="DK840" s="30"/>
      <c r="DL840" s="30"/>
      <c r="DM840" s="30"/>
      <c r="DN840" s="30"/>
      <c r="DO840" s="30"/>
      <c r="DP840" s="30"/>
      <c r="DQ840" s="30"/>
      <c r="DR840" s="30"/>
      <c r="DS840" s="30"/>
      <c r="DT840" s="30"/>
      <c r="DU840" s="30"/>
      <c r="DV840" s="30"/>
      <c r="DW840" s="30"/>
      <c r="DX840" s="30"/>
      <c r="DY840" s="30"/>
      <c r="DZ840" s="30"/>
      <c r="EA840" s="30"/>
      <c r="EB840" s="30"/>
      <c r="EC840" s="30"/>
      <c r="ED840" s="30"/>
      <c r="EE840" s="30"/>
    </row>
    <row r="841" spans="1:135" ht="30" customHeight="1" thickBot="1" x14ac:dyDescent="0.3">
      <c r="A841" s="578" t="s">
        <v>7336</v>
      </c>
      <c r="B841" s="51">
        <v>18415</v>
      </c>
      <c r="C841" s="72" t="s">
        <v>7334</v>
      </c>
      <c r="D841" s="140" t="s">
        <v>24</v>
      </c>
      <c r="E841" s="28" t="s">
        <v>25</v>
      </c>
      <c r="F841" s="20" t="s">
        <v>7335</v>
      </c>
      <c r="G841" s="59" t="s">
        <v>904</v>
      </c>
      <c r="H841" s="22" t="s">
        <v>2658</v>
      </c>
      <c r="I841" s="296" t="s">
        <v>135</v>
      </c>
      <c r="J841" s="24" t="s">
        <v>32</v>
      </c>
      <c r="K841" s="23" t="s">
        <v>7337</v>
      </c>
      <c r="L841" s="25" t="str">
        <f>"RUTL-"&amp;RIGHT(K841,8)</f>
        <v>RUTL-PW0K0DRK</v>
      </c>
      <c r="M841" s="34" t="s">
        <v>40</v>
      </c>
      <c r="N841" s="23" t="s">
        <v>54</v>
      </c>
      <c r="O841" s="32"/>
      <c r="P841" s="35" t="s">
        <v>46</v>
      </c>
      <c r="Q841" s="36" t="s">
        <v>7338</v>
      </c>
      <c r="R841" s="15" t="s">
        <v>56</v>
      </c>
      <c r="S841" s="37" t="s">
        <v>57</v>
      </c>
      <c r="T841" s="41" t="s">
        <v>65</v>
      </c>
      <c r="U841" s="39" t="s">
        <v>4904</v>
      </c>
      <c r="V841" s="270">
        <v>46122</v>
      </c>
      <c r="W841" s="32" t="s">
        <v>62</v>
      </c>
      <c r="X841" s="71"/>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c r="BO841" s="30"/>
      <c r="BP841" s="30"/>
      <c r="BQ841" s="30"/>
      <c r="BR841" s="30"/>
      <c r="BS841" s="30"/>
      <c r="BT841" s="30"/>
      <c r="BU841" s="30"/>
      <c r="BV841" s="30"/>
      <c r="BW841" s="30"/>
      <c r="BX841" s="30"/>
      <c r="BY841" s="30"/>
      <c r="BZ841" s="30"/>
      <c r="CA841" s="30"/>
      <c r="CB841" s="30"/>
      <c r="CC841" s="30"/>
      <c r="CD841" s="30"/>
      <c r="CE841" s="30"/>
      <c r="CF841" s="30"/>
      <c r="CG841" s="30"/>
      <c r="CH841" s="30"/>
      <c r="CI841" s="30"/>
      <c r="CJ841" s="30"/>
      <c r="CK841" s="30"/>
      <c r="CL841" s="30"/>
      <c r="CM841" s="30"/>
      <c r="CN841" s="30"/>
      <c r="CO841" s="30"/>
      <c r="CP841" s="30"/>
      <c r="CQ841" s="30"/>
      <c r="CR841" s="30"/>
      <c r="CS841" s="30"/>
      <c r="CT841" s="30"/>
      <c r="CU841" s="30"/>
      <c r="CV841" s="30"/>
      <c r="CW841" s="30"/>
      <c r="CX841" s="30"/>
      <c r="CY841" s="30"/>
      <c r="CZ841" s="30"/>
      <c r="DA841" s="30"/>
      <c r="DB841" s="30"/>
      <c r="DC841" s="30"/>
      <c r="DD841" s="30"/>
      <c r="DE841" s="30"/>
      <c r="DF841" s="30"/>
      <c r="DG841" s="30"/>
      <c r="DH841" s="30"/>
      <c r="DI841" s="30"/>
      <c r="DJ841" s="30"/>
      <c r="DK841" s="30"/>
      <c r="DL841" s="30"/>
      <c r="DM841" s="30"/>
      <c r="DN841" s="30"/>
      <c r="DO841" s="30"/>
      <c r="DP841" s="30"/>
      <c r="DQ841" s="30"/>
      <c r="DR841" s="30"/>
      <c r="DS841" s="30"/>
      <c r="DT841" s="30"/>
      <c r="DU841" s="30"/>
      <c r="DV841" s="30"/>
      <c r="DW841" s="30"/>
      <c r="DX841" s="30"/>
      <c r="DY841" s="30"/>
      <c r="DZ841" s="30"/>
      <c r="EA841" s="30"/>
      <c r="EB841" s="30"/>
      <c r="EC841" s="30"/>
      <c r="ED841" s="30"/>
      <c r="EE841" s="30"/>
    </row>
    <row r="842" spans="1:135" ht="30" customHeight="1" thickBot="1" x14ac:dyDescent="0.3">
      <c r="A842" s="578" t="s">
        <v>6914</v>
      </c>
      <c r="B842" s="51">
        <v>17002</v>
      </c>
      <c r="C842" s="52" t="s">
        <v>6912</v>
      </c>
      <c r="D842" s="140" t="s">
        <v>24</v>
      </c>
      <c r="E842" s="11" t="s">
        <v>25</v>
      </c>
      <c r="F842" s="20" t="s">
        <v>6913</v>
      </c>
      <c r="G842" s="15" t="s">
        <v>4779</v>
      </c>
      <c r="H842" s="31" t="s">
        <v>134</v>
      </c>
      <c r="I842" s="205" t="s">
        <v>135</v>
      </c>
      <c r="J842" s="24" t="s">
        <v>32</v>
      </c>
      <c r="K842" s="23" t="s">
        <v>6915</v>
      </c>
      <c r="L842" s="25" t="str">
        <f>"RUTL-"&amp;RIGHT(K842,8)</f>
        <v>RUTL-PW0K0DT3</v>
      </c>
      <c r="M842" s="34" t="s">
        <v>40</v>
      </c>
      <c r="N842" s="23" t="s">
        <v>54</v>
      </c>
      <c r="O842" s="32"/>
      <c r="P842" s="35" t="s">
        <v>46</v>
      </c>
      <c r="Q842" s="36" t="s">
        <v>6916</v>
      </c>
      <c r="R842" s="15" t="s">
        <v>56</v>
      </c>
      <c r="S842" s="40" t="s">
        <v>57</v>
      </c>
      <c r="T842" s="41" t="s">
        <v>65</v>
      </c>
      <c r="U842" s="39" t="s">
        <v>4377</v>
      </c>
      <c r="V842" s="43">
        <v>46122</v>
      </c>
      <c r="W842" s="32" t="s">
        <v>62</v>
      </c>
      <c r="X842" s="71"/>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row>
    <row r="843" spans="1:135" ht="30" customHeight="1" thickBot="1" x14ac:dyDescent="0.3">
      <c r="A843" s="578" t="s">
        <v>6361</v>
      </c>
      <c r="B843" s="16">
        <v>15773</v>
      </c>
      <c r="C843" s="72" t="s">
        <v>6358</v>
      </c>
      <c r="D843" s="140" t="s">
        <v>24</v>
      </c>
      <c r="E843" s="11" t="s">
        <v>25</v>
      </c>
      <c r="F843" s="20" t="s">
        <v>6359</v>
      </c>
      <c r="G843" s="15" t="s">
        <v>6360</v>
      </c>
      <c r="H843" s="22" t="s">
        <v>197</v>
      </c>
      <c r="I843" s="296" t="s">
        <v>135</v>
      </c>
      <c r="J843" s="24" t="s">
        <v>32</v>
      </c>
      <c r="K843" s="23" t="s">
        <v>6362</v>
      </c>
      <c r="L843" s="25" t="str">
        <f>"RUTL-"&amp;RIGHT(K843,8)</f>
        <v>RUTL-PW0K0DAK</v>
      </c>
      <c r="M843" s="34" t="s">
        <v>40</v>
      </c>
      <c r="N843" s="32" t="s">
        <v>54</v>
      </c>
      <c r="O843" s="32"/>
      <c r="P843" s="35" t="s">
        <v>46</v>
      </c>
      <c r="Q843" s="36" t="s">
        <v>6363</v>
      </c>
      <c r="R843" s="15" t="s">
        <v>56</v>
      </c>
      <c r="S843" s="40" t="s">
        <v>57</v>
      </c>
      <c r="T843" s="105" t="s">
        <v>148</v>
      </c>
      <c r="U843" s="39" t="s">
        <v>3043</v>
      </c>
      <c r="V843" s="43">
        <v>46122</v>
      </c>
      <c r="W843" s="32" t="s">
        <v>62</v>
      </c>
      <c r="X843" s="71"/>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row>
    <row r="844" spans="1:135" ht="30" customHeight="1" thickBot="1" x14ac:dyDescent="0.3">
      <c r="A844" s="578" t="s">
        <v>6967</v>
      </c>
      <c r="B844" s="436">
        <v>17112</v>
      </c>
      <c r="C844" s="52" t="s">
        <v>6965</v>
      </c>
      <c r="D844" s="140" t="s">
        <v>24</v>
      </c>
      <c r="E844" s="11" t="s">
        <v>25</v>
      </c>
      <c r="F844" s="20" t="s">
        <v>6966</v>
      </c>
      <c r="G844" s="59" t="s">
        <v>6937</v>
      </c>
      <c r="H844" s="37" t="s">
        <v>533</v>
      </c>
      <c r="I844" s="296" t="s">
        <v>135</v>
      </c>
      <c r="J844" s="24" t="s">
        <v>32</v>
      </c>
      <c r="K844" s="340" t="s">
        <v>6968</v>
      </c>
      <c r="L844" s="25" t="str">
        <f>"RUTL-"&amp;RIGHT(K844,8)</f>
        <v>RUTL-PW0K0D78</v>
      </c>
      <c r="M844" s="34" t="s">
        <v>40</v>
      </c>
      <c r="N844" s="32" t="s">
        <v>54</v>
      </c>
      <c r="O844" s="32"/>
      <c r="P844" s="35" t="s">
        <v>46</v>
      </c>
      <c r="Q844" s="36" t="s">
        <v>6969</v>
      </c>
      <c r="R844" s="15" t="s">
        <v>56</v>
      </c>
      <c r="S844" s="40" t="s">
        <v>57</v>
      </c>
      <c r="T844" s="118" t="s">
        <v>65</v>
      </c>
      <c r="U844" s="39" t="s">
        <v>6941</v>
      </c>
      <c r="V844" s="270">
        <v>46122</v>
      </c>
      <c r="W844" s="32" t="s">
        <v>62</v>
      </c>
      <c r="X844" s="71"/>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c r="BO844" s="30"/>
      <c r="BP844" s="30"/>
      <c r="BQ844" s="30"/>
      <c r="BR844" s="30"/>
      <c r="BS844" s="30"/>
      <c r="BT844" s="30"/>
      <c r="BU844" s="30"/>
      <c r="BV844" s="30"/>
      <c r="BW844" s="30"/>
      <c r="BX844" s="30"/>
      <c r="BY844" s="30"/>
      <c r="BZ844" s="30"/>
      <c r="CA844" s="30"/>
      <c r="CB844" s="30"/>
      <c r="CC844" s="30"/>
      <c r="CD844" s="30"/>
      <c r="CE844" s="30"/>
      <c r="CF844" s="30"/>
      <c r="CG844" s="30"/>
      <c r="CH844" s="30"/>
      <c r="CI844" s="30"/>
      <c r="CJ844" s="30"/>
      <c r="CK844" s="30"/>
      <c r="CL844" s="30"/>
      <c r="CM844" s="30"/>
      <c r="CN844" s="30"/>
      <c r="CO844" s="30"/>
      <c r="CP844" s="30"/>
      <c r="CQ844" s="30"/>
      <c r="CR844" s="30"/>
      <c r="CS844" s="30"/>
      <c r="CT844" s="30"/>
      <c r="CU844" s="30"/>
      <c r="CV844" s="30"/>
      <c r="CW844" s="30"/>
      <c r="CX844" s="30"/>
      <c r="CY844" s="30"/>
      <c r="CZ844" s="30"/>
      <c r="DA844" s="30"/>
      <c r="DB844" s="30"/>
      <c r="DC844" s="30"/>
      <c r="DD844" s="30"/>
      <c r="DE844" s="30"/>
      <c r="DF844" s="30"/>
      <c r="DG844" s="30"/>
      <c r="DH844" s="30"/>
      <c r="DI844" s="30"/>
      <c r="DJ844" s="30"/>
      <c r="DK844" s="30"/>
      <c r="DL844" s="30"/>
      <c r="DM844" s="30"/>
      <c r="DN844" s="30"/>
      <c r="DO844" s="30"/>
      <c r="DP844" s="30"/>
      <c r="DQ844" s="30"/>
      <c r="DR844" s="30"/>
      <c r="DS844" s="30"/>
      <c r="DT844" s="30"/>
      <c r="DU844" s="30"/>
      <c r="DV844" s="30"/>
      <c r="DW844" s="30"/>
      <c r="DX844" s="30"/>
      <c r="DY844" s="30"/>
      <c r="DZ844" s="30"/>
      <c r="EA844" s="30"/>
      <c r="EB844" s="30"/>
      <c r="EC844" s="30"/>
      <c r="ED844" s="30"/>
      <c r="EE844" s="30"/>
    </row>
    <row r="845" spans="1:135" ht="30" customHeight="1" thickBot="1" x14ac:dyDescent="0.3">
      <c r="A845" s="578" t="s">
        <v>6135</v>
      </c>
      <c r="B845" s="8">
        <v>15231</v>
      </c>
      <c r="C845" s="72" t="s">
        <v>6133</v>
      </c>
      <c r="D845" s="140" t="s">
        <v>24</v>
      </c>
      <c r="E845" s="11" t="s">
        <v>25</v>
      </c>
      <c r="F845" s="20" t="s">
        <v>6134</v>
      </c>
      <c r="G845" s="59" t="s">
        <v>3517</v>
      </c>
      <c r="H845" s="22" t="s">
        <v>564</v>
      </c>
      <c r="I845" s="296" t="s">
        <v>135</v>
      </c>
      <c r="J845" s="24" t="s">
        <v>32</v>
      </c>
      <c r="K845" s="23" t="s">
        <v>6136</v>
      </c>
      <c r="L845" s="25" t="str">
        <f>"RUTL-"&amp;RIGHT(K845,8)</f>
        <v>RUTL-PW0K0DP1</v>
      </c>
      <c r="M845" s="34" t="s">
        <v>40</v>
      </c>
      <c r="N845" s="32" t="s">
        <v>54</v>
      </c>
      <c r="O845" s="32"/>
      <c r="P845" s="35" t="s">
        <v>46</v>
      </c>
      <c r="Q845" s="36" t="s">
        <v>146</v>
      </c>
      <c r="R845" s="15" t="s">
        <v>56</v>
      </c>
      <c r="S845" s="40" t="s">
        <v>57</v>
      </c>
      <c r="T845" s="105" t="s">
        <v>148</v>
      </c>
      <c r="U845" s="39" t="s">
        <v>3043</v>
      </c>
      <c r="V845" s="338">
        <v>46122</v>
      </c>
      <c r="W845" s="32" t="s">
        <v>62</v>
      </c>
      <c r="X845" s="71"/>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c r="BO845" s="30"/>
      <c r="BP845" s="30"/>
      <c r="BQ845" s="30"/>
      <c r="BR845" s="30"/>
      <c r="BS845" s="30"/>
      <c r="BT845" s="30"/>
      <c r="BU845" s="30"/>
      <c r="BV845" s="30"/>
      <c r="BW845" s="30"/>
      <c r="BX845" s="30"/>
      <c r="BY845" s="30"/>
      <c r="BZ845" s="30"/>
      <c r="CA845" s="30"/>
      <c r="CB845" s="30"/>
      <c r="CC845" s="30"/>
      <c r="CD845" s="30"/>
      <c r="CE845" s="30"/>
      <c r="CF845" s="30"/>
      <c r="CG845" s="30"/>
      <c r="CH845" s="30"/>
      <c r="CI845" s="30"/>
      <c r="CJ845" s="30"/>
      <c r="CK845" s="30"/>
      <c r="CL845" s="30"/>
      <c r="CM845" s="30"/>
      <c r="CN845" s="30"/>
      <c r="CO845" s="30"/>
      <c r="CP845" s="30"/>
      <c r="CQ845" s="30"/>
      <c r="CR845" s="30"/>
      <c r="CS845" s="30"/>
      <c r="CT845" s="30"/>
      <c r="CU845" s="30"/>
      <c r="CV845" s="30"/>
      <c r="CW845" s="30"/>
      <c r="CX845" s="30"/>
      <c r="CY845" s="30"/>
      <c r="CZ845" s="30"/>
      <c r="DA845" s="30"/>
      <c r="DB845" s="30"/>
      <c r="DC845" s="30"/>
      <c r="DD845" s="30"/>
      <c r="DE845" s="30"/>
      <c r="DF845" s="30"/>
      <c r="DG845" s="30"/>
      <c r="DH845" s="30"/>
      <c r="DI845" s="30"/>
      <c r="DJ845" s="30"/>
      <c r="DK845" s="30"/>
      <c r="DL845" s="30"/>
      <c r="DM845" s="30"/>
      <c r="DN845" s="30"/>
      <c r="DO845" s="30"/>
      <c r="DP845" s="30"/>
      <c r="DQ845" s="30"/>
      <c r="DR845" s="30"/>
      <c r="DS845" s="30"/>
      <c r="DT845" s="30"/>
      <c r="DU845" s="30"/>
      <c r="DV845" s="30"/>
      <c r="DW845" s="30"/>
      <c r="DX845" s="30"/>
      <c r="DY845" s="30"/>
      <c r="DZ845" s="30"/>
      <c r="EA845" s="30"/>
      <c r="EB845" s="30"/>
      <c r="EC845" s="30"/>
      <c r="ED845" s="30"/>
      <c r="EE845" s="30"/>
    </row>
    <row r="846" spans="1:135" ht="30" customHeight="1" thickBot="1" x14ac:dyDescent="0.3">
      <c r="A846" s="578" t="s">
        <v>4229</v>
      </c>
      <c r="B846" s="16">
        <v>7550</v>
      </c>
      <c r="C846" s="72" t="s">
        <v>4227</v>
      </c>
      <c r="D846" s="140" t="s">
        <v>24</v>
      </c>
      <c r="E846" s="11" t="s">
        <v>25</v>
      </c>
      <c r="F846" s="20" t="s">
        <v>4228</v>
      </c>
      <c r="G846" s="59" t="s">
        <v>2271</v>
      </c>
      <c r="H846" s="22" t="s">
        <v>2246</v>
      </c>
      <c r="I846" s="24" t="s">
        <v>135</v>
      </c>
      <c r="J846" s="24" t="s">
        <v>32</v>
      </c>
      <c r="K846" s="33" t="s">
        <v>4230</v>
      </c>
      <c r="L846" s="25" t="str">
        <f>"RUTL-"&amp;RIGHT(K846,8)</f>
        <v>RUTL-PW0K0DJ9</v>
      </c>
      <c r="M846" s="34" t="s">
        <v>40</v>
      </c>
      <c r="N846" s="23" t="s">
        <v>54</v>
      </c>
      <c r="O846" s="32"/>
      <c r="P846" s="35" t="s">
        <v>46</v>
      </c>
      <c r="Q846" s="36" t="s">
        <v>4231</v>
      </c>
      <c r="R846" s="15" t="s">
        <v>56</v>
      </c>
      <c r="S846" s="40" t="s">
        <v>57</v>
      </c>
      <c r="T846" s="105" t="s">
        <v>148</v>
      </c>
      <c r="U846" s="39" t="s">
        <v>4232</v>
      </c>
      <c r="V846" s="43">
        <v>46122</v>
      </c>
      <c r="W846" s="32" t="s">
        <v>62</v>
      </c>
      <c r="X846" s="71"/>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c r="DJ846" s="5"/>
      <c r="DK846" s="5"/>
      <c r="DL846" s="5"/>
      <c r="DM846" s="5"/>
      <c r="DN846" s="5"/>
      <c r="DO846" s="5"/>
      <c r="DP846" s="5"/>
      <c r="DQ846" s="5"/>
      <c r="DR846" s="5"/>
      <c r="DS846" s="5"/>
      <c r="DT846" s="5"/>
      <c r="DU846" s="5"/>
      <c r="DV846" s="5"/>
      <c r="DW846" s="5"/>
      <c r="DX846" s="5"/>
      <c r="DY846" s="5"/>
      <c r="DZ846" s="5"/>
      <c r="EA846" s="5"/>
      <c r="EB846" s="5"/>
      <c r="EC846" s="5"/>
      <c r="ED846" s="5"/>
      <c r="EE846" s="5"/>
    </row>
    <row r="847" spans="1:135" ht="30" customHeight="1" thickBot="1" x14ac:dyDescent="0.3">
      <c r="A847" s="578" t="s">
        <v>6036</v>
      </c>
      <c r="B847" s="16">
        <v>14925</v>
      </c>
      <c r="C847" s="72" t="s">
        <v>6033</v>
      </c>
      <c r="D847" s="140" t="s">
        <v>24</v>
      </c>
      <c r="E847" s="11" t="s">
        <v>25</v>
      </c>
      <c r="F847" s="20" t="s">
        <v>6034</v>
      </c>
      <c r="G847" s="15" t="s">
        <v>6035</v>
      </c>
      <c r="H847" s="22" t="s">
        <v>564</v>
      </c>
      <c r="I847" s="24" t="s">
        <v>135</v>
      </c>
      <c r="J847" s="24" t="s">
        <v>32</v>
      </c>
      <c r="K847" s="23" t="s">
        <v>6037</v>
      </c>
      <c r="L847" s="25" t="str">
        <f>"RUTL-"&amp;RIGHT(K847,8)</f>
        <v>RUTL-PW0K0DZZ</v>
      </c>
      <c r="M847" s="34" t="s">
        <v>40</v>
      </c>
      <c r="N847" s="32" t="s">
        <v>54</v>
      </c>
      <c r="O847" s="32"/>
      <c r="P847" s="35" t="s">
        <v>46</v>
      </c>
      <c r="Q847" s="36" t="s">
        <v>6038</v>
      </c>
      <c r="R847" s="15" t="s">
        <v>56</v>
      </c>
      <c r="S847" s="37" t="s">
        <v>57</v>
      </c>
      <c r="T847" s="105" t="s">
        <v>148</v>
      </c>
      <c r="U847" s="39" t="s">
        <v>3043</v>
      </c>
      <c r="V847" s="48">
        <v>46122</v>
      </c>
      <c r="W847" s="32" t="s">
        <v>62</v>
      </c>
      <c r="X847" s="71"/>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c r="DE847" s="5"/>
      <c r="DF847" s="5"/>
      <c r="DG847" s="5"/>
      <c r="DH847" s="5"/>
      <c r="DI847" s="5"/>
      <c r="DJ847" s="5"/>
      <c r="DK847" s="5"/>
      <c r="DL847" s="5"/>
      <c r="DM847" s="5"/>
      <c r="DN847" s="5"/>
      <c r="DO847" s="5"/>
      <c r="DP847" s="5"/>
      <c r="DQ847" s="5"/>
      <c r="DR847" s="5"/>
      <c r="DS847" s="5"/>
      <c r="DT847" s="5"/>
      <c r="DU847" s="5"/>
      <c r="DV847" s="5"/>
      <c r="DW847" s="5"/>
      <c r="DX847" s="5"/>
      <c r="DY847" s="5"/>
      <c r="DZ847" s="5"/>
      <c r="EA847" s="5"/>
      <c r="EB847" s="5"/>
      <c r="EC847" s="5"/>
      <c r="ED847" s="5"/>
      <c r="EE847" s="5"/>
    </row>
    <row r="848" spans="1:135" ht="30" customHeight="1" thickBot="1" x14ac:dyDescent="0.3">
      <c r="A848" s="578" t="s">
        <v>5677</v>
      </c>
      <c r="B848" s="8">
        <v>13513</v>
      </c>
      <c r="C848" s="52" t="s">
        <v>5675</v>
      </c>
      <c r="D848" s="140" t="s">
        <v>24</v>
      </c>
      <c r="E848" s="11" t="s">
        <v>25</v>
      </c>
      <c r="F848" s="20" t="s">
        <v>5676</v>
      </c>
      <c r="G848" s="15" t="s">
        <v>3517</v>
      </c>
      <c r="H848" s="22" t="s">
        <v>564</v>
      </c>
      <c r="I848" s="24" t="s">
        <v>135</v>
      </c>
      <c r="J848" s="24" t="s">
        <v>32</v>
      </c>
      <c r="K848" s="23" t="s">
        <v>5678</v>
      </c>
      <c r="L848" s="25" t="str">
        <f>"RUTL-"&amp;RIGHT(K848,8)</f>
        <v>RUTL-PW0K0DSC</v>
      </c>
      <c r="M848" s="34" t="s">
        <v>40</v>
      </c>
      <c r="N848" s="32"/>
      <c r="O848" s="32"/>
      <c r="P848" s="35" t="s">
        <v>46</v>
      </c>
      <c r="Q848" s="36" t="s">
        <v>5679</v>
      </c>
      <c r="R848" s="15" t="s">
        <v>56</v>
      </c>
      <c r="S848" s="37" t="s">
        <v>57</v>
      </c>
      <c r="T848" s="105" t="s">
        <v>148</v>
      </c>
      <c r="U848" s="39" t="s">
        <v>1719</v>
      </c>
      <c r="V848" s="43">
        <v>46122</v>
      </c>
      <c r="W848" s="32" t="s">
        <v>62</v>
      </c>
      <c r="X848" s="71"/>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c r="DE848" s="5"/>
      <c r="DF848" s="5"/>
      <c r="DG848" s="5"/>
      <c r="DH848" s="5"/>
      <c r="DI848" s="5"/>
      <c r="DJ848" s="5"/>
      <c r="DK848" s="5"/>
      <c r="DL848" s="5"/>
      <c r="DM848" s="5"/>
      <c r="DN848" s="5"/>
      <c r="DO848" s="5"/>
      <c r="DP848" s="5"/>
      <c r="DQ848" s="5"/>
      <c r="DR848" s="5"/>
      <c r="DS848" s="5"/>
      <c r="DT848" s="5"/>
      <c r="DU848" s="5"/>
      <c r="DV848" s="5"/>
      <c r="DW848" s="5"/>
      <c r="DX848" s="5"/>
      <c r="DY848" s="5"/>
      <c r="DZ848" s="5"/>
      <c r="EA848" s="5"/>
      <c r="EB848" s="5"/>
      <c r="EC848" s="5"/>
      <c r="ED848" s="5"/>
      <c r="EE848" s="5"/>
    </row>
    <row r="849" spans="1:135" ht="30" customHeight="1" thickBot="1" x14ac:dyDescent="0.3">
      <c r="A849" s="578" t="s">
        <v>7049</v>
      </c>
      <c r="B849" s="51">
        <v>17277</v>
      </c>
      <c r="C849" s="69" t="s">
        <v>7047</v>
      </c>
      <c r="D849" s="140" t="s">
        <v>24</v>
      </c>
      <c r="E849" s="11" t="s">
        <v>25</v>
      </c>
      <c r="F849" s="29" t="s">
        <v>7048</v>
      </c>
      <c r="G849" s="15" t="s">
        <v>889</v>
      </c>
      <c r="H849" s="370" t="s">
        <v>6068</v>
      </c>
      <c r="I849" s="24" t="s">
        <v>135</v>
      </c>
      <c r="J849" s="24" t="s">
        <v>32</v>
      </c>
      <c r="K849" s="23" t="s">
        <v>7050</v>
      </c>
      <c r="L849" s="25" t="str">
        <f>"RUTL-"&amp;RIGHT(K849,8)</f>
        <v>RUTL-PW0K0DJQ</v>
      </c>
      <c r="M849" s="34" t="s">
        <v>40</v>
      </c>
      <c r="N849" s="23" t="s">
        <v>54</v>
      </c>
      <c r="O849" s="32"/>
      <c r="P849" s="35" t="s">
        <v>46</v>
      </c>
      <c r="Q849" s="36" t="s">
        <v>7051</v>
      </c>
      <c r="R849" s="15" t="s">
        <v>56</v>
      </c>
      <c r="S849" s="40" t="s">
        <v>57</v>
      </c>
      <c r="T849" s="118" t="s">
        <v>65</v>
      </c>
      <c r="U849" s="23" t="s">
        <v>7052</v>
      </c>
      <c r="V849" s="43">
        <v>46122</v>
      </c>
      <c r="W849" s="32" t="s">
        <v>62</v>
      </c>
      <c r="X849" s="71"/>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c r="DE849" s="5"/>
      <c r="DF849" s="5"/>
      <c r="DG849" s="5"/>
      <c r="DH849" s="5"/>
      <c r="DI849" s="5"/>
      <c r="DJ849" s="5"/>
      <c r="DK849" s="5"/>
      <c r="DL849" s="5"/>
      <c r="DM849" s="5"/>
      <c r="DN849" s="5"/>
      <c r="DO849" s="5"/>
      <c r="DP849" s="5"/>
      <c r="DQ849" s="5"/>
      <c r="DR849" s="5"/>
      <c r="DS849" s="5"/>
      <c r="DT849" s="5"/>
      <c r="DU849" s="5"/>
      <c r="DV849" s="5"/>
      <c r="DW849" s="5"/>
      <c r="DX849" s="5"/>
      <c r="DY849" s="5"/>
      <c r="DZ849" s="5"/>
      <c r="EA849" s="5"/>
      <c r="EB849" s="5"/>
      <c r="EC849" s="5"/>
      <c r="ED849" s="5"/>
      <c r="EE849" s="5"/>
    </row>
    <row r="850" spans="1:135" ht="30" customHeight="1" thickBot="1" x14ac:dyDescent="0.3">
      <c r="A850" s="578" t="s">
        <v>6789</v>
      </c>
      <c r="B850" s="51">
        <v>16784</v>
      </c>
      <c r="C850" s="9" t="s">
        <v>6786</v>
      </c>
      <c r="D850" s="140" t="s">
        <v>24</v>
      </c>
      <c r="E850" s="11" t="s">
        <v>25</v>
      </c>
      <c r="F850" s="12" t="s">
        <v>6787</v>
      </c>
      <c r="G850" s="15" t="s">
        <v>6788</v>
      </c>
      <c r="H850" s="104" t="s">
        <v>349</v>
      </c>
      <c r="I850" s="24" t="s">
        <v>135</v>
      </c>
      <c r="J850" s="24" t="s">
        <v>32</v>
      </c>
      <c r="K850" s="23" t="s">
        <v>6790</v>
      </c>
      <c r="L850" s="25" t="str">
        <f>"RUTL-"&amp;RIGHT(K850,8)</f>
        <v>RUTL-PW0K0DXW</v>
      </c>
      <c r="M850" s="34" t="s">
        <v>40</v>
      </c>
      <c r="N850" s="23" t="s">
        <v>54</v>
      </c>
      <c r="O850" s="32"/>
      <c r="P850" s="35" t="s">
        <v>46</v>
      </c>
      <c r="Q850" s="36" t="s">
        <v>6791</v>
      </c>
      <c r="R850" s="15" t="s">
        <v>56</v>
      </c>
      <c r="S850" s="37" t="s">
        <v>57</v>
      </c>
      <c r="T850" s="23" t="s">
        <v>273</v>
      </c>
      <c r="U850" s="39" t="s">
        <v>2545</v>
      </c>
      <c r="V850" s="43">
        <v>46122</v>
      </c>
      <c r="W850" s="32" t="s">
        <v>62</v>
      </c>
      <c r="X850" s="71"/>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c r="DE850" s="5"/>
      <c r="DF850" s="5"/>
      <c r="DG850" s="5"/>
      <c r="DH850" s="5"/>
      <c r="DI850" s="5"/>
      <c r="DJ850" s="5"/>
      <c r="DK850" s="5"/>
      <c r="DL850" s="5"/>
      <c r="DM850" s="5"/>
      <c r="DN850" s="5"/>
      <c r="DO850" s="5"/>
      <c r="DP850" s="5"/>
      <c r="DQ850" s="5"/>
      <c r="DR850" s="5"/>
      <c r="DS850" s="5"/>
      <c r="DT850" s="5"/>
      <c r="DU850" s="5"/>
      <c r="DV850" s="5"/>
      <c r="DW850" s="5"/>
      <c r="DX850" s="5"/>
      <c r="DY850" s="5"/>
      <c r="DZ850" s="5"/>
      <c r="EA850" s="5"/>
      <c r="EB850" s="5"/>
      <c r="EC850" s="5"/>
      <c r="ED850" s="5"/>
      <c r="EE850" s="5"/>
    </row>
    <row r="851" spans="1:135" ht="30" customHeight="1" thickBot="1" x14ac:dyDescent="0.3">
      <c r="A851" s="578" t="s">
        <v>4845</v>
      </c>
      <c r="B851" s="51">
        <v>10689</v>
      </c>
      <c r="C851" s="72" t="s">
        <v>4843</v>
      </c>
      <c r="D851" s="418" t="s">
        <v>24</v>
      </c>
      <c r="E851" s="10" t="s">
        <v>25</v>
      </c>
      <c r="F851" s="12" t="s">
        <v>4844</v>
      </c>
      <c r="G851" s="15" t="s">
        <v>443</v>
      </c>
      <c r="H851" s="31" t="s">
        <v>2142</v>
      </c>
      <c r="I851" s="18" t="s">
        <v>48</v>
      </c>
      <c r="J851" s="18" t="s">
        <v>49</v>
      </c>
      <c r="K851" s="330" t="s">
        <v>4846</v>
      </c>
      <c r="L851" s="25" t="str">
        <f>"RUTL-"&amp;RIGHT(K851,8)</f>
        <v>RUTL-1D1C6N02</v>
      </c>
      <c r="M851" s="34" t="s">
        <v>40</v>
      </c>
      <c r="N851" s="23" t="s">
        <v>54</v>
      </c>
      <c r="O851" s="23"/>
      <c r="P851" s="35" t="s">
        <v>46</v>
      </c>
      <c r="Q851" s="36" t="s">
        <v>4847</v>
      </c>
      <c r="R851" s="15" t="s">
        <v>56</v>
      </c>
      <c r="S851" s="40" t="s">
        <v>57</v>
      </c>
      <c r="T851" s="41" t="s">
        <v>65</v>
      </c>
      <c r="U851" s="39" t="s">
        <v>4060</v>
      </c>
      <c r="V851" s="48"/>
      <c r="W851" s="23" t="s">
        <v>99</v>
      </c>
      <c r="X851" s="71"/>
      <c r="Y851" s="238"/>
      <c r="Z851" s="238"/>
      <c r="AA851" s="238"/>
      <c r="AB851" s="238"/>
      <c r="AC851" s="238"/>
      <c r="AD851" s="238"/>
      <c r="AE851" s="238"/>
      <c r="AF851" s="238"/>
      <c r="AG851" s="238"/>
      <c r="AH851" s="238"/>
      <c r="AI851" s="238"/>
      <c r="AJ851" s="238"/>
      <c r="AK851" s="238"/>
      <c r="AL851" s="238"/>
      <c r="AM851" s="238"/>
      <c r="AN851" s="238"/>
      <c r="AO851" s="238"/>
      <c r="AP851" s="238"/>
      <c r="AQ851" s="238"/>
    </row>
    <row r="852" spans="1:135" ht="30" customHeight="1" thickBot="1" x14ac:dyDescent="0.3">
      <c r="A852" s="578" t="s">
        <v>50</v>
      </c>
      <c r="B852" s="90" t="s">
        <v>39</v>
      </c>
      <c r="C852" s="27" t="s">
        <v>42</v>
      </c>
      <c r="D852" s="10" t="s">
        <v>24</v>
      </c>
      <c r="E852" s="28" t="s">
        <v>25</v>
      </c>
      <c r="F852" s="29" t="s">
        <v>44</v>
      </c>
      <c r="G852" s="12" t="s">
        <v>45</v>
      </c>
      <c r="H852" s="31" t="s">
        <v>47</v>
      </c>
      <c r="I852" s="18" t="s">
        <v>48</v>
      </c>
      <c r="J852" s="18" t="s">
        <v>49</v>
      </c>
      <c r="K852" s="33" t="s">
        <v>53</v>
      </c>
      <c r="L852" s="25" t="str">
        <f>"RUTL-"&amp;RIGHT(K852,8)</f>
        <v>RUTL-1A4E6N02</v>
      </c>
      <c r="M852" s="42" t="s">
        <v>40</v>
      </c>
      <c r="N852" s="32" t="s">
        <v>54</v>
      </c>
      <c r="O852" s="23"/>
      <c r="P852" s="45" t="s">
        <v>46</v>
      </c>
      <c r="Q852" s="36" t="s">
        <v>64</v>
      </c>
      <c r="R852" s="46" t="s">
        <v>56</v>
      </c>
      <c r="S852" s="40" t="s">
        <v>57</v>
      </c>
      <c r="T852" s="41" t="s">
        <v>65</v>
      </c>
      <c r="U852" s="47" t="s">
        <v>66</v>
      </c>
      <c r="V852" s="48">
        <v>46111</v>
      </c>
      <c r="W852" s="23" t="s">
        <v>67</v>
      </c>
      <c r="X852" s="71"/>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c r="DV852" s="5"/>
      <c r="DW852" s="5"/>
      <c r="DX852" s="5"/>
      <c r="DY852" s="5"/>
      <c r="DZ852" s="5"/>
      <c r="EA852" s="5"/>
      <c r="EB852" s="5"/>
      <c r="EC852" s="5"/>
      <c r="ED852" s="5"/>
      <c r="EE852" s="5"/>
    </row>
    <row r="853" spans="1:135" ht="30" customHeight="1" thickBot="1" x14ac:dyDescent="0.3">
      <c r="A853" s="578" t="s">
        <v>1812</v>
      </c>
      <c r="B853" s="447" t="s">
        <v>1761</v>
      </c>
      <c r="C853" s="90" t="s">
        <v>1849</v>
      </c>
      <c r="D853" s="27" t="s">
        <v>1809</v>
      </c>
      <c r="E853" s="28" t="s">
        <v>25</v>
      </c>
      <c r="F853" s="29" t="s">
        <v>1810</v>
      </c>
      <c r="G853" s="12" t="s">
        <v>1811</v>
      </c>
      <c r="H853" s="267" t="s">
        <v>1646</v>
      </c>
      <c r="I853" s="18" t="s">
        <v>48</v>
      </c>
      <c r="J853" s="18" t="s">
        <v>49</v>
      </c>
      <c r="K853" s="33" t="s">
        <v>1814</v>
      </c>
      <c r="L853" s="25" t="str">
        <f>"RUTL-"&amp;RIGHT(K853,8)</f>
        <v>RUTL-1AAF6N02</v>
      </c>
      <c r="M853" s="42" t="s">
        <v>40</v>
      </c>
      <c r="N853" s="32" t="s">
        <v>54</v>
      </c>
      <c r="O853" s="23"/>
      <c r="P853" s="45" t="s">
        <v>46</v>
      </c>
      <c r="Q853" s="36" t="s">
        <v>1818</v>
      </c>
      <c r="R853" s="46" t="s">
        <v>56</v>
      </c>
      <c r="S853" s="40" t="s">
        <v>57</v>
      </c>
      <c r="T853" s="41" t="s">
        <v>65</v>
      </c>
      <c r="U853" s="47" t="s">
        <v>66</v>
      </c>
      <c r="V853" s="48">
        <v>46111</v>
      </c>
      <c r="W853" s="23" t="s">
        <v>67</v>
      </c>
      <c r="X853" s="71"/>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c r="DE853" s="5"/>
      <c r="DF853" s="5"/>
      <c r="DG853" s="5"/>
      <c r="DH853" s="5"/>
      <c r="DI853" s="5"/>
      <c r="DJ853" s="5"/>
      <c r="DK853" s="5"/>
      <c r="DL853" s="5"/>
      <c r="DM853" s="5"/>
      <c r="DN853" s="5"/>
      <c r="DO853" s="5"/>
      <c r="DP853" s="5"/>
      <c r="DQ853" s="5"/>
      <c r="DR853" s="5"/>
      <c r="DS853" s="5"/>
      <c r="DT853" s="5"/>
      <c r="DU853" s="5"/>
      <c r="DV853" s="5"/>
      <c r="DW853" s="5"/>
      <c r="DX853" s="5"/>
      <c r="DY853" s="5"/>
      <c r="DZ853" s="5"/>
      <c r="EA853" s="5"/>
      <c r="EB853" s="5"/>
      <c r="EC853" s="5"/>
      <c r="ED853" s="5"/>
      <c r="EE853" s="5"/>
    </row>
    <row r="854" spans="1:135" ht="30" customHeight="1" thickBot="1" x14ac:dyDescent="0.3">
      <c r="A854" s="578" t="s">
        <v>6924</v>
      </c>
      <c r="B854" s="51">
        <v>17005</v>
      </c>
      <c r="C854" s="52" t="s">
        <v>6922</v>
      </c>
      <c r="D854" s="10" t="s">
        <v>24</v>
      </c>
      <c r="E854" s="11" t="s">
        <v>25</v>
      </c>
      <c r="F854" s="12" t="s">
        <v>6923</v>
      </c>
      <c r="G854" s="15" t="s">
        <v>1546</v>
      </c>
      <c r="H854" s="104" t="s">
        <v>4678</v>
      </c>
      <c r="I854" s="296" t="s">
        <v>135</v>
      </c>
      <c r="J854" s="24" t="s">
        <v>32</v>
      </c>
      <c r="K854" s="23" t="s">
        <v>6925</v>
      </c>
      <c r="L854" s="25" t="str">
        <f>"RUTL-"&amp;RIGHT(K854,8)</f>
        <v>RUTL-PW0K0DRE</v>
      </c>
      <c r="M854" s="34" t="s">
        <v>40</v>
      </c>
      <c r="N854" s="23" t="s">
        <v>54</v>
      </c>
      <c r="O854" s="32"/>
      <c r="P854" s="35" t="s">
        <v>46</v>
      </c>
      <c r="Q854" s="36" t="s">
        <v>6926</v>
      </c>
      <c r="R854" s="15" t="s">
        <v>56</v>
      </c>
      <c r="S854" s="37" t="s">
        <v>57</v>
      </c>
      <c r="T854" s="41" t="s">
        <v>65</v>
      </c>
      <c r="U854" s="39" t="s">
        <v>4377</v>
      </c>
      <c r="V854" s="270">
        <v>46122</v>
      </c>
      <c r="W854" s="32" t="s">
        <v>62</v>
      </c>
      <c r="X854" s="71"/>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c r="BO854" s="30"/>
      <c r="BP854" s="30"/>
      <c r="BQ854" s="30"/>
      <c r="BR854" s="30"/>
      <c r="BS854" s="30"/>
      <c r="BT854" s="30"/>
      <c r="BU854" s="30"/>
      <c r="BV854" s="30"/>
      <c r="BW854" s="30"/>
      <c r="BX854" s="30"/>
      <c r="BY854" s="30"/>
      <c r="BZ854" s="30"/>
      <c r="CA854" s="30"/>
      <c r="CB854" s="30"/>
      <c r="CC854" s="30"/>
      <c r="CD854" s="30"/>
      <c r="CE854" s="30"/>
      <c r="CF854" s="30"/>
      <c r="CG854" s="30"/>
      <c r="CH854" s="30"/>
      <c r="CI854" s="30"/>
      <c r="CJ854" s="30"/>
      <c r="CK854" s="30"/>
      <c r="CL854" s="30"/>
      <c r="CM854" s="30"/>
      <c r="CN854" s="30"/>
      <c r="CO854" s="30"/>
      <c r="CP854" s="30"/>
      <c r="CQ854" s="30"/>
      <c r="CR854" s="30"/>
      <c r="CS854" s="30"/>
      <c r="CT854" s="30"/>
      <c r="CU854" s="30"/>
      <c r="CV854" s="30"/>
      <c r="CW854" s="30"/>
      <c r="CX854" s="30"/>
      <c r="CY854" s="30"/>
      <c r="CZ854" s="30"/>
      <c r="DA854" s="30"/>
      <c r="DB854" s="30"/>
      <c r="DC854" s="30"/>
      <c r="DD854" s="30"/>
      <c r="DE854" s="30"/>
      <c r="DF854" s="30"/>
      <c r="DG854" s="30"/>
      <c r="DH854" s="30"/>
      <c r="DI854" s="30"/>
      <c r="DJ854" s="30"/>
      <c r="DK854" s="30"/>
      <c r="DL854" s="30"/>
      <c r="DM854" s="30"/>
      <c r="DN854" s="30"/>
      <c r="DO854" s="30"/>
      <c r="DP854" s="30"/>
      <c r="DQ854" s="30"/>
      <c r="DR854" s="30"/>
      <c r="DS854" s="30"/>
      <c r="DT854" s="30"/>
      <c r="DU854" s="30"/>
      <c r="DV854" s="30"/>
      <c r="DW854" s="30"/>
      <c r="DX854" s="30"/>
      <c r="DY854" s="30"/>
      <c r="DZ854" s="30"/>
      <c r="EA854" s="30"/>
      <c r="EB854" s="30"/>
      <c r="EC854" s="30"/>
      <c r="ED854" s="30"/>
      <c r="EE854" s="30"/>
    </row>
    <row r="855" spans="1:135" ht="30" customHeight="1" thickBot="1" x14ac:dyDescent="0.3">
      <c r="A855" s="578" t="s">
        <v>3148</v>
      </c>
      <c r="B855" s="16">
        <v>2852</v>
      </c>
      <c r="C855" s="167" t="s">
        <v>3145</v>
      </c>
      <c r="D855" s="140" t="s">
        <v>24</v>
      </c>
      <c r="E855" s="11" t="s">
        <v>25</v>
      </c>
      <c r="F855" s="20" t="s">
        <v>3146</v>
      </c>
      <c r="G855" s="59" t="s">
        <v>2512</v>
      </c>
      <c r="H855" s="31" t="s">
        <v>3147</v>
      </c>
      <c r="I855" s="296" t="s">
        <v>135</v>
      </c>
      <c r="J855" s="24" t="s">
        <v>32</v>
      </c>
      <c r="K855" s="33" t="s">
        <v>3149</v>
      </c>
      <c r="L855" s="25" t="str">
        <f>"RUTL-"&amp;RIGHT(K855,8)</f>
        <v>RUTL-PW0K0DW2</v>
      </c>
      <c r="M855" s="34" t="s">
        <v>40</v>
      </c>
      <c r="N855" s="23" t="s">
        <v>54</v>
      </c>
      <c r="O855" s="32"/>
      <c r="P855" s="35" t="s">
        <v>46</v>
      </c>
      <c r="Q855" s="36" t="s">
        <v>3150</v>
      </c>
      <c r="R855" s="15" t="s">
        <v>56</v>
      </c>
      <c r="S855" s="40" t="s">
        <v>57</v>
      </c>
      <c r="T855" s="38" t="s">
        <v>58</v>
      </c>
      <c r="U855" s="39" t="s">
        <v>2216</v>
      </c>
      <c r="V855" s="270">
        <v>46122</v>
      </c>
      <c r="W855" s="32" t="s">
        <v>62</v>
      </c>
      <c r="X855" s="71"/>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c r="BO855" s="30"/>
      <c r="BP855" s="30"/>
      <c r="BQ855" s="30"/>
      <c r="BR855" s="30"/>
      <c r="BS855" s="30"/>
      <c r="BT855" s="30"/>
      <c r="BU855" s="30"/>
      <c r="BV855" s="30"/>
      <c r="BW855" s="30"/>
      <c r="BX855" s="30"/>
      <c r="BY855" s="30"/>
      <c r="BZ855" s="30"/>
      <c r="CA855" s="30"/>
      <c r="CB855" s="30"/>
      <c r="CC855" s="30"/>
      <c r="CD855" s="30"/>
      <c r="CE855" s="30"/>
      <c r="CF855" s="30"/>
      <c r="CG855" s="30"/>
      <c r="CH855" s="30"/>
      <c r="CI855" s="30"/>
      <c r="CJ855" s="30"/>
      <c r="CK855" s="30"/>
      <c r="CL855" s="30"/>
      <c r="CM855" s="30"/>
      <c r="CN855" s="30"/>
      <c r="CO855" s="30"/>
      <c r="CP855" s="30"/>
      <c r="CQ855" s="30"/>
      <c r="CR855" s="30"/>
      <c r="CS855" s="30"/>
      <c r="CT855" s="30"/>
      <c r="CU855" s="30"/>
      <c r="CV855" s="30"/>
      <c r="CW855" s="30"/>
      <c r="CX855" s="30"/>
      <c r="CY855" s="30"/>
      <c r="CZ855" s="30"/>
      <c r="DA855" s="30"/>
      <c r="DB855" s="30"/>
      <c r="DC855" s="30"/>
      <c r="DD855" s="30"/>
      <c r="DE855" s="30"/>
      <c r="DF855" s="30"/>
      <c r="DG855" s="30"/>
      <c r="DH855" s="30"/>
      <c r="DI855" s="30"/>
      <c r="DJ855" s="30"/>
      <c r="DK855" s="30"/>
      <c r="DL855" s="30"/>
      <c r="DM855" s="30"/>
      <c r="DN855" s="30"/>
      <c r="DO855" s="30"/>
      <c r="DP855" s="30"/>
      <c r="DQ855" s="30"/>
      <c r="DR855" s="30"/>
      <c r="DS855" s="30"/>
      <c r="DT855" s="30"/>
      <c r="DU855" s="30"/>
      <c r="DV855" s="30"/>
      <c r="DW855" s="30"/>
      <c r="DX855" s="30"/>
      <c r="DY855" s="30"/>
      <c r="DZ855" s="30"/>
      <c r="EA855" s="30"/>
      <c r="EB855" s="30"/>
      <c r="EC855" s="30"/>
      <c r="ED855" s="30"/>
      <c r="EE855" s="30"/>
    </row>
    <row r="856" spans="1:135" ht="30" customHeight="1" thickBot="1" x14ac:dyDescent="0.3">
      <c r="A856" s="578" t="s">
        <v>41</v>
      </c>
      <c r="B856" s="16" t="s">
        <v>28</v>
      </c>
      <c r="C856" s="19" t="s">
        <v>31</v>
      </c>
      <c r="D856" s="10" t="s">
        <v>24</v>
      </c>
      <c r="E856" s="11" t="s">
        <v>25</v>
      </c>
      <c r="F856" s="20" t="s">
        <v>34</v>
      </c>
      <c r="G856" s="15" t="s">
        <v>35</v>
      </c>
      <c r="H856" s="22" t="s">
        <v>36</v>
      </c>
      <c r="I856" s="18" t="s">
        <v>38</v>
      </c>
      <c r="J856" s="24" t="s">
        <v>32</v>
      </c>
      <c r="K856" s="33" t="s">
        <v>52</v>
      </c>
      <c r="L856" s="21" t="str">
        <f>"RUTL-"&amp;RIGHT(K856,8)</f>
        <v>RUTL-PW0K0DH4</v>
      </c>
      <c r="M856" s="34" t="s">
        <v>40</v>
      </c>
      <c r="N856" s="23" t="s">
        <v>54</v>
      </c>
      <c r="O856" s="32"/>
      <c r="P856" s="35" t="s">
        <v>46</v>
      </c>
      <c r="Q856" s="36" t="s">
        <v>55</v>
      </c>
      <c r="R856" s="15" t="s">
        <v>56</v>
      </c>
      <c r="S856" s="40" t="s">
        <v>57</v>
      </c>
      <c r="T856" s="41" t="s">
        <v>60</v>
      </c>
      <c r="U856" s="23" t="s">
        <v>61</v>
      </c>
      <c r="V856" s="43">
        <v>46122</v>
      </c>
      <c r="W856" s="32" t="s">
        <v>62</v>
      </c>
      <c r="X856" s="71"/>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row>
    <row r="857" spans="1:135" ht="30" customHeight="1" thickBot="1" x14ac:dyDescent="0.3">
      <c r="A857" s="578" t="s">
        <v>6694</v>
      </c>
      <c r="B857" s="51">
        <v>16481</v>
      </c>
      <c r="C857" s="72" t="s">
        <v>6692</v>
      </c>
      <c r="D857" s="10" t="s">
        <v>24</v>
      </c>
      <c r="E857" s="11" t="s">
        <v>25</v>
      </c>
      <c r="F857" s="20" t="s">
        <v>6693</v>
      </c>
      <c r="G857" s="59" t="s">
        <v>3201</v>
      </c>
      <c r="H857" s="17" t="s">
        <v>682</v>
      </c>
      <c r="I857" s="54" t="s">
        <v>135</v>
      </c>
      <c r="J857" s="18" t="s">
        <v>32</v>
      </c>
      <c r="K857" s="23" t="s">
        <v>6695</v>
      </c>
      <c r="L857" s="25" t="str">
        <f>"RUTL-"&amp;RIGHT(K857,8)</f>
        <v>RUTL-PW0K0DWJ</v>
      </c>
      <c r="M857" s="34" t="s">
        <v>40</v>
      </c>
      <c r="N857" s="23" t="s">
        <v>54</v>
      </c>
      <c r="O857" s="32"/>
      <c r="P857" s="35" t="s">
        <v>46</v>
      </c>
      <c r="Q857" s="36" t="s">
        <v>6696</v>
      </c>
      <c r="R857" s="15" t="s">
        <v>56</v>
      </c>
      <c r="S857" s="40" t="s">
        <v>57</v>
      </c>
      <c r="T857" s="118" t="s">
        <v>65</v>
      </c>
      <c r="U857" s="39" t="s">
        <v>6691</v>
      </c>
      <c r="V857" s="43">
        <v>46122</v>
      </c>
      <c r="W857" s="32" t="s">
        <v>62</v>
      </c>
      <c r="X857" s="71"/>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row>
    <row r="858" spans="1:135" ht="30" customHeight="1" thickBot="1" x14ac:dyDescent="0.3">
      <c r="A858" s="578" t="s">
        <v>2146</v>
      </c>
      <c r="B858" s="75" t="s">
        <v>2136</v>
      </c>
      <c r="C858" s="69" t="s">
        <v>2137</v>
      </c>
      <c r="D858" s="10" t="s">
        <v>2138</v>
      </c>
      <c r="E858" s="28" t="s">
        <v>25</v>
      </c>
      <c r="F858" s="20" t="s">
        <v>2140</v>
      </c>
      <c r="G858" s="15" t="s">
        <v>2141</v>
      </c>
      <c r="H858" s="31" t="s">
        <v>2142</v>
      </c>
      <c r="I858" s="18" t="s">
        <v>38</v>
      </c>
      <c r="J858" s="24" t="s">
        <v>32</v>
      </c>
      <c r="K858" s="23" t="s">
        <v>2148</v>
      </c>
      <c r="L858" s="32" t="str">
        <f>"RUTL-"&amp;RIGHT(K858,8)</f>
        <v>RUTL-PW0K0DJC</v>
      </c>
      <c r="M858" s="34" t="s">
        <v>40</v>
      </c>
      <c r="N858" s="39" t="s">
        <v>54</v>
      </c>
      <c r="O858" s="32"/>
      <c r="P858" s="35" t="s">
        <v>46</v>
      </c>
      <c r="Q858" s="36"/>
      <c r="R858" s="15" t="s">
        <v>56</v>
      </c>
      <c r="S858" s="37" t="s">
        <v>57</v>
      </c>
      <c r="T858" s="107" t="s">
        <v>453</v>
      </c>
      <c r="U858" s="23" t="s">
        <v>2153</v>
      </c>
      <c r="V858" s="48">
        <v>46122</v>
      </c>
      <c r="W858" s="32" t="s">
        <v>62</v>
      </c>
      <c r="X858" s="71"/>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c r="DV858" s="5"/>
      <c r="DW858" s="5"/>
      <c r="DX858" s="5"/>
      <c r="DY858" s="5"/>
      <c r="DZ858" s="5"/>
      <c r="EA858" s="5"/>
      <c r="EB858" s="5"/>
      <c r="EC858" s="5"/>
      <c r="ED858" s="5"/>
      <c r="EE858" s="5"/>
    </row>
    <row r="859" spans="1:135" ht="30" customHeight="1" thickBot="1" x14ac:dyDescent="0.3">
      <c r="A859" s="578" t="s">
        <v>4077</v>
      </c>
      <c r="B859" s="16">
        <v>7165</v>
      </c>
      <c r="C859" s="167" t="s">
        <v>4075</v>
      </c>
      <c r="D859" s="15" t="s">
        <v>24</v>
      </c>
      <c r="E859" s="11" t="s">
        <v>25</v>
      </c>
      <c r="F859" s="20" t="s">
        <v>4076</v>
      </c>
      <c r="G859" s="15" t="s">
        <v>2512</v>
      </c>
      <c r="H859" s="31" t="s">
        <v>2360</v>
      </c>
      <c r="I859" s="24" t="s">
        <v>135</v>
      </c>
      <c r="J859" s="24" t="s">
        <v>32</v>
      </c>
      <c r="K859" s="33" t="s">
        <v>4078</v>
      </c>
      <c r="L859" s="25" t="str">
        <f>"RUTL-"&amp;RIGHT(K859,8)</f>
        <v>RUTL-PW0K0DS4</v>
      </c>
      <c r="M859" s="34" t="s">
        <v>40</v>
      </c>
      <c r="N859" s="39" t="s">
        <v>54</v>
      </c>
      <c r="O859" s="32"/>
      <c r="P859" s="35" t="s">
        <v>46</v>
      </c>
      <c r="Q859" s="36" t="s">
        <v>4079</v>
      </c>
      <c r="R859" s="15" t="s">
        <v>56</v>
      </c>
      <c r="S859" s="37" t="s">
        <v>57</v>
      </c>
      <c r="T859" s="361" t="s">
        <v>273</v>
      </c>
      <c r="U859" s="39" t="s">
        <v>3320</v>
      </c>
      <c r="V859" s="48">
        <v>46122</v>
      </c>
      <c r="W859" s="32" t="s">
        <v>62</v>
      </c>
      <c r="X859" s="71"/>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row>
    <row r="860" spans="1:135" ht="30" customHeight="1" thickBot="1" x14ac:dyDescent="0.3">
      <c r="A860" s="578" t="s">
        <v>2904</v>
      </c>
      <c r="B860" s="51" t="s">
        <v>2897</v>
      </c>
      <c r="C860" s="72" t="s">
        <v>2899</v>
      </c>
      <c r="D860" s="10" t="s">
        <v>24</v>
      </c>
      <c r="E860" s="11" t="s">
        <v>25</v>
      </c>
      <c r="F860" s="12" t="s">
        <v>2900</v>
      </c>
      <c r="G860" s="15" t="s">
        <v>2764</v>
      </c>
      <c r="H860" s="22" t="s">
        <v>2902</v>
      </c>
      <c r="I860" s="205" t="s">
        <v>135</v>
      </c>
      <c r="J860" s="24" t="s">
        <v>32</v>
      </c>
      <c r="K860" s="33" t="s">
        <v>2906</v>
      </c>
      <c r="L860" s="25" t="str">
        <f>"RUTL-"&amp;RIGHT(K860,8)</f>
        <v>RUTL-PW0K0DEB</v>
      </c>
      <c r="M860" s="34" t="s">
        <v>40</v>
      </c>
      <c r="N860" s="23" t="s">
        <v>54</v>
      </c>
      <c r="O860" s="32"/>
      <c r="P860" s="35" t="s">
        <v>46</v>
      </c>
      <c r="Q860" s="36" t="s">
        <v>2907</v>
      </c>
      <c r="R860" s="15" t="s">
        <v>56</v>
      </c>
      <c r="S860" s="37" t="s">
        <v>57</v>
      </c>
      <c r="T860" s="87" t="s">
        <v>1370</v>
      </c>
      <c r="U860" s="39" t="s">
        <v>2908</v>
      </c>
      <c r="V860" s="43">
        <v>46122</v>
      </c>
      <c r="W860" s="32" t="s">
        <v>62</v>
      </c>
      <c r="X860" s="71"/>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row>
    <row r="861" spans="1:135" ht="30" customHeight="1" thickBot="1" x14ac:dyDescent="0.3">
      <c r="A861" s="578" t="s">
        <v>2836</v>
      </c>
      <c r="B861" s="16" t="s">
        <v>2830</v>
      </c>
      <c r="C861" s="69" t="s">
        <v>2832</v>
      </c>
      <c r="D861" s="10" t="s">
        <v>24</v>
      </c>
      <c r="E861" s="11" t="s">
        <v>25</v>
      </c>
      <c r="F861" s="20" t="s">
        <v>2833</v>
      </c>
      <c r="G861" s="15" t="s">
        <v>2834</v>
      </c>
      <c r="H861" s="22" t="s">
        <v>1647</v>
      </c>
      <c r="I861" s="24" t="s">
        <v>135</v>
      </c>
      <c r="J861" s="24" t="s">
        <v>32</v>
      </c>
      <c r="K861" s="23" t="s">
        <v>2839</v>
      </c>
      <c r="L861" s="21" t="str">
        <f>"RUTL-"&amp;RIGHT(K861,8)</f>
        <v>RUTL-PW0K0DYM</v>
      </c>
      <c r="M861" s="144" t="s">
        <v>40</v>
      </c>
      <c r="N861" s="23" t="s">
        <v>54</v>
      </c>
      <c r="O861" s="94"/>
      <c r="P861" s="45" t="s">
        <v>46</v>
      </c>
      <c r="Q861" s="35" t="s">
        <v>2840</v>
      </c>
      <c r="R861" s="15" t="s">
        <v>56</v>
      </c>
      <c r="S861" s="37" t="s">
        <v>57</v>
      </c>
      <c r="T861" s="41" t="s">
        <v>2841</v>
      </c>
      <c r="U861" s="23" t="s">
        <v>2842</v>
      </c>
      <c r="V861" s="43">
        <v>46122</v>
      </c>
      <c r="W861" s="32" t="s">
        <v>62</v>
      </c>
      <c r="X861" s="71"/>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c r="DE861" s="5"/>
      <c r="DF861" s="5"/>
      <c r="DG861" s="5"/>
      <c r="DH861" s="5"/>
      <c r="DI861" s="5"/>
      <c r="DJ861" s="5"/>
      <c r="DK861" s="5"/>
      <c r="DL861" s="5"/>
      <c r="DM861" s="5"/>
      <c r="DN861" s="5"/>
      <c r="DO861" s="5"/>
      <c r="DP861" s="5"/>
      <c r="DQ861" s="5"/>
      <c r="DR861" s="5"/>
      <c r="DS861" s="5"/>
      <c r="DT861" s="5"/>
      <c r="DU861" s="5"/>
      <c r="DV861" s="5"/>
      <c r="DW861" s="5"/>
      <c r="DX861" s="5"/>
      <c r="DY861" s="5"/>
      <c r="DZ861" s="5"/>
      <c r="EA861" s="5"/>
      <c r="EB861" s="5"/>
      <c r="EC861" s="5"/>
      <c r="ED861" s="5"/>
      <c r="EE861" s="5"/>
    </row>
    <row r="862" spans="1:135" ht="30" customHeight="1" thickBot="1" x14ac:dyDescent="0.3">
      <c r="A862" s="578" t="s">
        <v>6859</v>
      </c>
      <c r="B862" s="51">
        <v>16867</v>
      </c>
      <c r="C862" s="72" t="s">
        <v>6857</v>
      </c>
      <c r="D862" s="10" t="s">
        <v>24</v>
      </c>
      <c r="E862" s="11" t="s">
        <v>25</v>
      </c>
      <c r="F862" s="20" t="s">
        <v>6858</v>
      </c>
      <c r="G862" s="15" t="s">
        <v>4580</v>
      </c>
      <c r="H862" s="31" t="s">
        <v>255</v>
      </c>
      <c r="I862" s="54" t="s">
        <v>135</v>
      </c>
      <c r="J862" s="18" t="s">
        <v>32</v>
      </c>
      <c r="K862" s="23" t="s">
        <v>6860</v>
      </c>
      <c r="L862" s="25" t="str">
        <f>"RUTL-"&amp;RIGHT(K862,8)</f>
        <v>RUTL-PW0K0D88</v>
      </c>
      <c r="M862" s="34" t="s">
        <v>40</v>
      </c>
      <c r="N862" s="23" t="s">
        <v>54</v>
      </c>
      <c r="O862" s="94"/>
      <c r="P862" s="45" t="s">
        <v>46</v>
      </c>
      <c r="Q862" s="35"/>
      <c r="R862" s="15" t="s">
        <v>56</v>
      </c>
      <c r="S862" s="37" t="s">
        <v>57</v>
      </c>
      <c r="T862" s="118" t="s">
        <v>65</v>
      </c>
      <c r="U862" s="39" t="s">
        <v>6388</v>
      </c>
      <c r="V862" s="43">
        <v>46122</v>
      </c>
      <c r="W862" s="32" t="s">
        <v>62</v>
      </c>
      <c r="X862" s="71"/>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row>
    <row r="863" spans="1:135" ht="30" customHeight="1" thickBot="1" x14ac:dyDescent="0.3">
      <c r="A863" s="578" t="s">
        <v>7319</v>
      </c>
      <c r="B863" s="51">
        <v>18322</v>
      </c>
      <c r="C863" s="52" t="s">
        <v>7316</v>
      </c>
      <c r="D863" s="10" t="s">
        <v>24</v>
      </c>
      <c r="E863" s="28" t="s">
        <v>25</v>
      </c>
      <c r="F863" s="12" t="s">
        <v>7317</v>
      </c>
      <c r="G863" s="59" t="s">
        <v>448</v>
      </c>
      <c r="H863" s="22" t="s">
        <v>2315</v>
      </c>
      <c r="I863" s="142" t="s">
        <v>7318</v>
      </c>
      <c r="J863" s="18" t="s">
        <v>32</v>
      </c>
      <c r="K863" s="23" t="s">
        <v>7320</v>
      </c>
      <c r="L863" s="25" t="str">
        <f>"RUTL-"&amp;RIGHT(K863,8)</f>
        <v>RUTL-PW0K0DWF</v>
      </c>
      <c r="M863" s="34" t="s">
        <v>40</v>
      </c>
      <c r="N863" s="23" t="s">
        <v>54</v>
      </c>
      <c r="O863" s="94"/>
      <c r="P863" s="45" t="s">
        <v>46</v>
      </c>
      <c r="Q863" s="35" t="s">
        <v>7321</v>
      </c>
      <c r="R863" s="15" t="s">
        <v>56</v>
      </c>
      <c r="S863" s="37" t="s">
        <v>57</v>
      </c>
      <c r="T863" s="118" t="s">
        <v>65</v>
      </c>
      <c r="U863" s="39" t="s">
        <v>7322</v>
      </c>
      <c r="V863" s="270">
        <v>46122</v>
      </c>
      <c r="W863" s="32" t="s">
        <v>62</v>
      </c>
      <c r="X863" s="71"/>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c r="BO863" s="30"/>
      <c r="BP863" s="30"/>
      <c r="BQ863" s="30"/>
      <c r="BR863" s="30"/>
      <c r="BS863" s="30"/>
      <c r="BT863" s="30"/>
      <c r="BU863" s="30"/>
      <c r="BV863" s="30"/>
      <c r="BW863" s="30"/>
      <c r="BX863" s="30"/>
      <c r="BY863" s="30"/>
      <c r="BZ863" s="30"/>
      <c r="CA863" s="30"/>
      <c r="CB863" s="30"/>
      <c r="CC863" s="30"/>
      <c r="CD863" s="30"/>
      <c r="CE863" s="30"/>
      <c r="CF863" s="30"/>
      <c r="CG863" s="30"/>
      <c r="CH863" s="30"/>
      <c r="CI863" s="30"/>
      <c r="CJ863" s="30"/>
      <c r="CK863" s="30"/>
      <c r="CL863" s="30"/>
      <c r="CM863" s="30"/>
      <c r="CN863" s="30"/>
      <c r="CO863" s="30"/>
      <c r="CP863" s="30"/>
      <c r="CQ863" s="30"/>
      <c r="CR863" s="30"/>
      <c r="CS863" s="30"/>
      <c r="CT863" s="30"/>
      <c r="CU863" s="30"/>
      <c r="CV863" s="30"/>
      <c r="CW863" s="30"/>
      <c r="CX863" s="30"/>
      <c r="CY863" s="30"/>
      <c r="CZ863" s="30"/>
      <c r="DA863" s="30"/>
      <c r="DB863" s="30"/>
      <c r="DC863" s="30"/>
      <c r="DD863" s="30"/>
      <c r="DE863" s="30"/>
      <c r="DF863" s="30"/>
      <c r="DG863" s="30"/>
      <c r="DH863" s="30"/>
      <c r="DI863" s="30"/>
      <c r="DJ863" s="30"/>
      <c r="DK863" s="30"/>
      <c r="DL863" s="30"/>
      <c r="DM863" s="30"/>
      <c r="DN863" s="30"/>
      <c r="DO863" s="30"/>
      <c r="DP863" s="30"/>
      <c r="DQ863" s="30"/>
      <c r="DR863" s="30"/>
      <c r="DS863" s="30"/>
      <c r="DT863" s="30"/>
      <c r="DU863" s="30"/>
      <c r="DV863" s="30"/>
      <c r="DW863" s="30"/>
      <c r="DX863" s="30"/>
      <c r="DY863" s="30"/>
      <c r="DZ863" s="30"/>
      <c r="EA863" s="30"/>
      <c r="EB863" s="30"/>
      <c r="EC863" s="30"/>
      <c r="ED863" s="30"/>
      <c r="EE863" s="30"/>
    </row>
    <row r="864" spans="1:135" ht="30" customHeight="1" thickBot="1" x14ac:dyDescent="0.3">
      <c r="A864" s="578" t="s">
        <v>2527</v>
      </c>
      <c r="B864" s="16">
        <v>1369</v>
      </c>
      <c r="C864" s="9" t="s">
        <v>2525</v>
      </c>
      <c r="D864" s="10" t="s">
        <v>24</v>
      </c>
      <c r="E864" s="11" t="s">
        <v>25</v>
      </c>
      <c r="F864" s="20" t="s">
        <v>2526</v>
      </c>
      <c r="G864" s="15" t="s">
        <v>2271</v>
      </c>
      <c r="H864" s="31" t="s">
        <v>2109</v>
      </c>
      <c r="I864" s="18" t="s">
        <v>135</v>
      </c>
      <c r="J864" s="18" t="s">
        <v>32</v>
      </c>
      <c r="K864" s="330" t="s">
        <v>2528</v>
      </c>
      <c r="L864" s="25" t="str">
        <f>"RUTL-"&amp;RIGHT(K864,8)</f>
        <v>RUTL-PW0K0E02</v>
      </c>
      <c r="M864" s="34" t="s">
        <v>40</v>
      </c>
      <c r="N864" s="23" t="s">
        <v>54</v>
      </c>
      <c r="O864" s="23"/>
      <c r="P864" s="35" t="s">
        <v>46</v>
      </c>
      <c r="Q864" s="36" t="s">
        <v>2529</v>
      </c>
      <c r="R864" s="15" t="s">
        <v>56</v>
      </c>
      <c r="S864" s="40" t="s">
        <v>57</v>
      </c>
      <c r="T864" s="105" t="s">
        <v>148</v>
      </c>
      <c r="U864" s="39" t="s">
        <v>2530</v>
      </c>
      <c r="V864" s="48">
        <v>46122</v>
      </c>
      <c r="W864" s="23" t="s">
        <v>62</v>
      </c>
      <c r="X864" s="71"/>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c r="DV864" s="5"/>
      <c r="DW864" s="5"/>
      <c r="DX864" s="5"/>
      <c r="DY864" s="5"/>
      <c r="DZ864" s="5"/>
      <c r="EA864" s="5"/>
      <c r="EB864" s="5"/>
      <c r="EC864" s="5"/>
      <c r="ED864" s="5"/>
      <c r="EE864" s="5"/>
    </row>
    <row r="865" spans="1:135" ht="30" customHeight="1" thickBot="1" x14ac:dyDescent="0.3">
      <c r="A865" s="578" t="s">
        <v>6385</v>
      </c>
      <c r="B865" s="51">
        <v>15824</v>
      </c>
      <c r="C865" s="52" t="s">
        <v>6384</v>
      </c>
      <c r="D865" s="140" t="s">
        <v>24</v>
      </c>
      <c r="E865" s="11" t="s">
        <v>25</v>
      </c>
      <c r="F865" s="20"/>
      <c r="G865" s="15" t="s">
        <v>606</v>
      </c>
      <c r="H865" s="31" t="s">
        <v>2109</v>
      </c>
      <c r="I865" s="24" t="s">
        <v>135</v>
      </c>
      <c r="J865" s="24" t="s">
        <v>32</v>
      </c>
      <c r="K865" s="23" t="s">
        <v>6386</v>
      </c>
      <c r="L865" s="25" t="str">
        <f>"RUTL-"&amp;RIGHT(K865,8)</f>
        <v>RUTL-PW0K0DT7</v>
      </c>
      <c r="M865" s="34" t="s">
        <v>40</v>
      </c>
      <c r="N865" s="23" t="s">
        <v>54</v>
      </c>
      <c r="O865" s="94"/>
      <c r="P865" s="45" t="s">
        <v>46</v>
      </c>
      <c r="Q865" s="35" t="s">
        <v>6387</v>
      </c>
      <c r="R865" s="15" t="s">
        <v>56</v>
      </c>
      <c r="S865" s="37" t="s">
        <v>57</v>
      </c>
      <c r="T865" s="23" t="s">
        <v>273</v>
      </c>
      <c r="U865" s="39" t="s">
        <v>6388</v>
      </c>
      <c r="V865" s="43">
        <v>46122</v>
      </c>
      <c r="W865" s="32" t="s">
        <v>62</v>
      </c>
      <c r="X865" s="71"/>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c r="DE865" s="5"/>
      <c r="DF865" s="5"/>
      <c r="DG865" s="5"/>
      <c r="DH865" s="5"/>
      <c r="DI865" s="5"/>
      <c r="DJ865" s="5"/>
      <c r="DK865" s="5"/>
      <c r="DL865" s="5"/>
      <c r="DM865" s="5"/>
      <c r="DN865" s="5"/>
      <c r="DO865" s="5"/>
      <c r="DP865" s="5"/>
      <c r="DQ865" s="5"/>
      <c r="DR865" s="5"/>
      <c r="DS865" s="5"/>
      <c r="DT865" s="5"/>
      <c r="DU865" s="5"/>
      <c r="DV865" s="5"/>
      <c r="DW865" s="5"/>
      <c r="DX865" s="5"/>
      <c r="DY865" s="5"/>
      <c r="DZ865" s="5"/>
      <c r="EA865" s="5"/>
      <c r="EB865" s="5"/>
      <c r="EC865" s="5"/>
      <c r="ED865" s="5"/>
      <c r="EE865" s="5"/>
    </row>
    <row r="866" spans="1:135" ht="30" customHeight="1" thickBot="1" x14ac:dyDescent="0.3">
      <c r="A866" s="578" t="s">
        <v>6909</v>
      </c>
      <c r="B866" s="51">
        <v>16982</v>
      </c>
      <c r="C866" s="52" t="s">
        <v>6907</v>
      </c>
      <c r="D866" s="10" t="s">
        <v>24</v>
      </c>
      <c r="E866" s="11" t="s">
        <v>25</v>
      </c>
      <c r="F866" s="12" t="s">
        <v>6908</v>
      </c>
      <c r="G866" s="59" t="s">
        <v>1007</v>
      </c>
      <c r="H866" s="31" t="s">
        <v>2658</v>
      </c>
      <c r="I866" s="296" t="s">
        <v>4490</v>
      </c>
      <c r="J866" s="24" t="s">
        <v>32</v>
      </c>
      <c r="K866" s="23" t="s">
        <v>6910</v>
      </c>
      <c r="L866" s="25" t="str">
        <f>"RUTL-"&amp;RIGHT(K866,8)</f>
        <v>RUTL-PW0K0DCT</v>
      </c>
      <c r="M866" s="34" t="s">
        <v>40</v>
      </c>
      <c r="N866" s="23" t="s">
        <v>54</v>
      </c>
      <c r="O866" s="94"/>
      <c r="P866" s="45" t="s">
        <v>46</v>
      </c>
      <c r="Q866" s="35" t="s">
        <v>6911</v>
      </c>
      <c r="R866" s="15" t="s">
        <v>56</v>
      </c>
      <c r="S866" s="37" t="s">
        <v>57</v>
      </c>
      <c r="T866" s="105" t="s">
        <v>148</v>
      </c>
      <c r="U866" s="39" t="s">
        <v>6856</v>
      </c>
      <c r="V866" s="270">
        <v>46122</v>
      </c>
      <c r="W866" s="32" t="s">
        <v>62</v>
      </c>
      <c r="X866" s="71"/>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c r="BO866" s="30"/>
      <c r="BP866" s="30"/>
      <c r="BQ866" s="30"/>
      <c r="BR866" s="30"/>
      <c r="BS866" s="30"/>
      <c r="BT866" s="30"/>
      <c r="BU866" s="30"/>
      <c r="BV866" s="30"/>
      <c r="BW866" s="30"/>
      <c r="BX866" s="30"/>
      <c r="BY866" s="30"/>
      <c r="BZ866" s="30"/>
      <c r="CA866" s="30"/>
      <c r="CB866" s="30"/>
      <c r="CC866" s="30"/>
      <c r="CD866" s="30"/>
      <c r="CE866" s="30"/>
      <c r="CF866" s="30"/>
      <c r="CG866" s="30"/>
      <c r="CH866" s="30"/>
      <c r="CI866" s="30"/>
      <c r="CJ866" s="30"/>
      <c r="CK866" s="30"/>
      <c r="CL866" s="30"/>
      <c r="CM866" s="30"/>
      <c r="CN866" s="30"/>
      <c r="CO866" s="30"/>
      <c r="CP866" s="30"/>
      <c r="CQ866" s="30"/>
      <c r="CR866" s="30"/>
      <c r="CS866" s="30"/>
      <c r="CT866" s="30"/>
      <c r="CU866" s="30"/>
      <c r="CV866" s="30"/>
      <c r="CW866" s="30"/>
      <c r="CX866" s="30"/>
      <c r="CY866" s="30"/>
      <c r="CZ866" s="30"/>
      <c r="DA866" s="30"/>
      <c r="DB866" s="30"/>
      <c r="DC866" s="30"/>
      <c r="DD866" s="30"/>
      <c r="DE866" s="30"/>
      <c r="DF866" s="30"/>
      <c r="DG866" s="30"/>
      <c r="DH866" s="30"/>
      <c r="DI866" s="30"/>
      <c r="DJ866" s="30"/>
      <c r="DK866" s="30"/>
      <c r="DL866" s="30"/>
      <c r="DM866" s="30"/>
      <c r="DN866" s="30"/>
      <c r="DO866" s="30"/>
      <c r="DP866" s="30"/>
      <c r="DQ866" s="30"/>
      <c r="DR866" s="30"/>
      <c r="DS866" s="30"/>
      <c r="DT866" s="30"/>
      <c r="DU866" s="30"/>
      <c r="DV866" s="30"/>
      <c r="DW866" s="30"/>
      <c r="DX866" s="30"/>
      <c r="DY866" s="30"/>
      <c r="DZ866" s="30"/>
      <c r="EA866" s="30"/>
      <c r="EB866" s="30"/>
      <c r="EC866" s="30"/>
      <c r="ED866" s="30"/>
      <c r="EE866" s="30"/>
    </row>
    <row r="867" spans="1:135" ht="30" customHeight="1" thickBot="1" x14ac:dyDescent="0.3">
      <c r="A867" s="578" t="s">
        <v>6835</v>
      </c>
      <c r="B867" s="51">
        <v>16841</v>
      </c>
      <c r="C867" s="52" t="s">
        <v>6833</v>
      </c>
      <c r="D867" s="10" t="s">
        <v>24</v>
      </c>
      <c r="E867" s="11" t="s">
        <v>25</v>
      </c>
      <c r="F867" s="12" t="s">
        <v>6834</v>
      </c>
      <c r="G867" s="59" t="s">
        <v>6805</v>
      </c>
      <c r="H867" s="31" t="s">
        <v>3902</v>
      </c>
      <c r="I867" s="296" t="s">
        <v>135</v>
      </c>
      <c r="J867" s="24" t="s">
        <v>32</v>
      </c>
      <c r="K867" s="23" t="s">
        <v>6836</v>
      </c>
      <c r="L867" s="25" t="str">
        <f>"RUTL-"&amp;RIGHT(K867,8)</f>
        <v>RUTL-PW0K0DR3</v>
      </c>
      <c r="M867" s="34" t="s">
        <v>40</v>
      </c>
      <c r="N867" s="39" t="s">
        <v>54</v>
      </c>
      <c r="O867" s="94"/>
      <c r="P867" s="45" t="s">
        <v>46</v>
      </c>
      <c r="Q867" s="35" t="s">
        <v>6837</v>
      </c>
      <c r="R867" s="15" t="s">
        <v>56</v>
      </c>
      <c r="S867" s="37" t="s">
        <v>57</v>
      </c>
      <c r="T867" s="107" t="s">
        <v>453</v>
      </c>
      <c r="U867" s="23" t="s">
        <v>6838</v>
      </c>
      <c r="V867" s="270">
        <v>46122</v>
      </c>
      <c r="W867" s="32" t="s">
        <v>62</v>
      </c>
      <c r="X867" s="71"/>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c r="BO867" s="30"/>
      <c r="BP867" s="30"/>
      <c r="BQ867" s="30"/>
      <c r="BR867" s="30"/>
      <c r="BS867" s="30"/>
      <c r="BT867" s="30"/>
      <c r="BU867" s="30"/>
      <c r="BV867" s="30"/>
      <c r="BW867" s="30"/>
      <c r="BX867" s="30"/>
      <c r="BY867" s="30"/>
      <c r="BZ867" s="30"/>
      <c r="CA867" s="30"/>
      <c r="CB867" s="30"/>
      <c r="CC867" s="30"/>
      <c r="CD867" s="30"/>
      <c r="CE867" s="30"/>
      <c r="CF867" s="30"/>
      <c r="CG867" s="30"/>
      <c r="CH867" s="30"/>
      <c r="CI867" s="30"/>
      <c r="CJ867" s="30"/>
      <c r="CK867" s="30"/>
      <c r="CL867" s="30"/>
      <c r="CM867" s="30"/>
      <c r="CN867" s="30"/>
      <c r="CO867" s="30"/>
      <c r="CP867" s="30"/>
      <c r="CQ867" s="30"/>
      <c r="CR867" s="30"/>
      <c r="CS867" s="30"/>
      <c r="CT867" s="30"/>
      <c r="CU867" s="30"/>
      <c r="CV867" s="30"/>
      <c r="CW867" s="30"/>
      <c r="CX867" s="30"/>
      <c r="CY867" s="30"/>
      <c r="CZ867" s="30"/>
      <c r="DA867" s="30"/>
      <c r="DB867" s="30"/>
      <c r="DC867" s="30"/>
      <c r="DD867" s="30"/>
      <c r="DE867" s="30"/>
      <c r="DF867" s="30"/>
      <c r="DG867" s="30"/>
      <c r="DH867" s="30"/>
      <c r="DI867" s="30"/>
      <c r="DJ867" s="30"/>
      <c r="DK867" s="30"/>
      <c r="DL867" s="30"/>
      <c r="DM867" s="30"/>
      <c r="DN867" s="30"/>
      <c r="DO867" s="30"/>
      <c r="DP867" s="30"/>
      <c r="DQ867" s="30"/>
      <c r="DR867" s="30"/>
      <c r="DS867" s="30"/>
      <c r="DT867" s="30"/>
      <c r="DU867" s="30"/>
      <c r="DV867" s="30"/>
      <c r="DW867" s="30"/>
      <c r="DX867" s="30"/>
      <c r="DY867" s="30"/>
      <c r="DZ867" s="30"/>
      <c r="EA867" s="30"/>
      <c r="EB867" s="30"/>
      <c r="EC867" s="30"/>
      <c r="ED867" s="30"/>
      <c r="EE867" s="30"/>
    </row>
    <row r="868" spans="1:135" ht="30" customHeight="1" thickBot="1" x14ac:dyDescent="0.3">
      <c r="A868" s="578" t="s">
        <v>5839</v>
      </c>
      <c r="B868" s="51">
        <v>14455</v>
      </c>
      <c r="C868" s="72" t="s">
        <v>5837</v>
      </c>
      <c r="D868" s="10" t="s">
        <v>24</v>
      </c>
      <c r="E868" s="11" t="s">
        <v>25</v>
      </c>
      <c r="F868" s="20" t="s">
        <v>5838</v>
      </c>
      <c r="G868" s="59" t="s">
        <v>2764</v>
      </c>
      <c r="H868" s="395" t="s">
        <v>2041</v>
      </c>
      <c r="I868" s="296" t="s">
        <v>135</v>
      </c>
      <c r="J868" s="24" t="s">
        <v>32</v>
      </c>
      <c r="K868" s="23" t="s">
        <v>5840</v>
      </c>
      <c r="L868" s="25" t="str">
        <f>"RUTL-"&amp;RIGHT(K868,8)</f>
        <v>RUTL-PW0K0DCG</v>
      </c>
      <c r="M868" s="34" t="s">
        <v>40</v>
      </c>
      <c r="N868" s="23" t="s">
        <v>54</v>
      </c>
      <c r="O868" s="94"/>
      <c r="P868" s="45" t="s">
        <v>46</v>
      </c>
      <c r="Q868" s="35" t="s">
        <v>5841</v>
      </c>
      <c r="R868" s="15" t="s">
        <v>56</v>
      </c>
      <c r="S868" s="37" t="s">
        <v>57</v>
      </c>
      <c r="T868" s="41" t="s">
        <v>65</v>
      </c>
      <c r="U868" s="23" t="s">
        <v>5842</v>
      </c>
      <c r="V868" s="270">
        <v>46122</v>
      </c>
      <c r="W868" s="32" t="s">
        <v>62</v>
      </c>
      <c r="X868" s="71"/>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c r="BO868" s="30"/>
      <c r="BP868" s="30"/>
      <c r="BQ868" s="30"/>
      <c r="BR868" s="30"/>
      <c r="BS868" s="30"/>
      <c r="BT868" s="30"/>
      <c r="BU868" s="30"/>
      <c r="BV868" s="30"/>
      <c r="BW868" s="30"/>
      <c r="BX868" s="30"/>
      <c r="BY868" s="30"/>
      <c r="BZ868" s="30"/>
      <c r="CA868" s="30"/>
      <c r="CB868" s="30"/>
      <c r="CC868" s="30"/>
      <c r="CD868" s="30"/>
      <c r="CE868" s="30"/>
      <c r="CF868" s="30"/>
      <c r="CG868" s="30"/>
      <c r="CH868" s="30"/>
      <c r="CI868" s="30"/>
      <c r="CJ868" s="30"/>
      <c r="CK868" s="30"/>
      <c r="CL868" s="30"/>
      <c r="CM868" s="30"/>
      <c r="CN868" s="30"/>
      <c r="CO868" s="30"/>
      <c r="CP868" s="30"/>
      <c r="CQ868" s="30"/>
      <c r="CR868" s="30"/>
      <c r="CS868" s="30"/>
      <c r="CT868" s="30"/>
      <c r="CU868" s="30"/>
      <c r="CV868" s="30"/>
      <c r="CW868" s="30"/>
      <c r="CX868" s="30"/>
      <c r="CY868" s="30"/>
      <c r="CZ868" s="30"/>
      <c r="DA868" s="30"/>
      <c r="DB868" s="30"/>
      <c r="DC868" s="30"/>
      <c r="DD868" s="30"/>
      <c r="DE868" s="30"/>
      <c r="DF868" s="30"/>
      <c r="DG868" s="30"/>
      <c r="DH868" s="30"/>
      <c r="DI868" s="30"/>
      <c r="DJ868" s="30"/>
      <c r="DK868" s="30"/>
      <c r="DL868" s="30"/>
      <c r="DM868" s="30"/>
      <c r="DN868" s="30"/>
      <c r="DO868" s="30"/>
      <c r="DP868" s="30"/>
      <c r="DQ868" s="30"/>
      <c r="DR868" s="30"/>
      <c r="DS868" s="30"/>
      <c r="DT868" s="30"/>
      <c r="DU868" s="30"/>
      <c r="DV868" s="30"/>
      <c r="DW868" s="30"/>
      <c r="DX868" s="30"/>
      <c r="DY868" s="30"/>
      <c r="DZ868" s="30"/>
      <c r="EA868" s="30"/>
      <c r="EB868" s="30"/>
      <c r="EC868" s="30"/>
      <c r="ED868" s="30"/>
      <c r="EE868" s="30"/>
    </row>
    <row r="869" spans="1:135" ht="30" customHeight="1" thickBot="1" x14ac:dyDescent="0.3">
      <c r="A869" s="578" t="s">
        <v>6853</v>
      </c>
      <c r="B869" s="51">
        <v>16865</v>
      </c>
      <c r="C869" s="72" t="s">
        <v>6851</v>
      </c>
      <c r="D869" s="140" t="s">
        <v>24</v>
      </c>
      <c r="E869" s="11" t="s">
        <v>25</v>
      </c>
      <c r="F869" s="20" t="s">
        <v>6852</v>
      </c>
      <c r="G869" s="15" t="s">
        <v>889</v>
      </c>
      <c r="H869" s="22" t="s">
        <v>6739</v>
      </c>
      <c r="I869" s="205" t="s">
        <v>135</v>
      </c>
      <c r="J869" s="24" t="s">
        <v>32</v>
      </c>
      <c r="K869" s="23" t="s">
        <v>6854</v>
      </c>
      <c r="L869" s="25" t="str">
        <f>"RUTL-"&amp;RIGHT(K869,8)</f>
        <v>RUTL-PW0K0DK9</v>
      </c>
      <c r="M869" s="34" t="s">
        <v>40</v>
      </c>
      <c r="N869" s="23" t="s">
        <v>54</v>
      </c>
      <c r="O869" s="94"/>
      <c r="P869" s="45" t="s">
        <v>46</v>
      </c>
      <c r="Q869" s="35" t="s">
        <v>6855</v>
      </c>
      <c r="R869" s="15" t="s">
        <v>56</v>
      </c>
      <c r="S869" s="40" t="s">
        <v>57</v>
      </c>
      <c r="T869" s="274" t="s">
        <v>58</v>
      </c>
      <c r="U869" s="39" t="s">
        <v>6856</v>
      </c>
      <c r="V869" s="270">
        <v>46122</v>
      </c>
      <c r="W869" s="32" t="s">
        <v>62</v>
      </c>
      <c r="X869" s="71"/>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row>
    <row r="870" spans="1:135" ht="30" customHeight="1" thickBot="1" x14ac:dyDescent="0.3">
      <c r="A870" s="578" t="s">
        <v>6610</v>
      </c>
      <c r="B870" s="51">
        <v>16330</v>
      </c>
      <c r="C870" s="9" t="s">
        <v>6608</v>
      </c>
      <c r="D870" s="140" t="s">
        <v>24</v>
      </c>
      <c r="E870" s="28" t="s">
        <v>25</v>
      </c>
      <c r="F870" s="12" t="s">
        <v>6609</v>
      </c>
      <c r="G870" s="59" t="s">
        <v>4779</v>
      </c>
      <c r="H870" s="22" t="s">
        <v>2109</v>
      </c>
      <c r="I870" s="142" t="s">
        <v>48</v>
      </c>
      <c r="J870" s="18" t="s">
        <v>49</v>
      </c>
      <c r="K870" s="23" t="s">
        <v>6611</v>
      </c>
      <c r="L870" s="25" t="str">
        <f>"RUTL-"&amp;RIGHT(K870,8)</f>
        <v>RUTL-1A676N02</v>
      </c>
      <c r="M870" s="34" t="s">
        <v>40</v>
      </c>
      <c r="N870" s="23" t="s">
        <v>54</v>
      </c>
      <c r="O870" s="23"/>
      <c r="P870" s="45" t="s">
        <v>46</v>
      </c>
      <c r="Q870" s="35" t="s">
        <v>6612</v>
      </c>
      <c r="R870" s="15" t="s">
        <v>56</v>
      </c>
      <c r="S870" s="40" t="s">
        <v>57</v>
      </c>
      <c r="T870" s="118" t="s">
        <v>65</v>
      </c>
      <c r="U870" s="23" t="s">
        <v>5361</v>
      </c>
      <c r="V870" s="82">
        <v>46111</v>
      </c>
      <c r="W870" s="23" t="s">
        <v>67</v>
      </c>
      <c r="X870" s="71"/>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c r="BO870" s="30"/>
      <c r="BP870" s="30"/>
      <c r="BQ870" s="30"/>
      <c r="BR870" s="30"/>
      <c r="BS870" s="30"/>
      <c r="BT870" s="30"/>
      <c r="BU870" s="30"/>
      <c r="BV870" s="30"/>
      <c r="BW870" s="30"/>
      <c r="BX870" s="30"/>
      <c r="BY870" s="30"/>
      <c r="BZ870" s="30"/>
      <c r="CA870" s="30"/>
      <c r="CB870" s="30"/>
      <c r="CC870" s="30"/>
      <c r="CD870" s="30"/>
      <c r="CE870" s="30"/>
      <c r="CF870" s="30"/>
      <c r="CG870" s="30"/>
      <c r="CH870" s="30"/>
      <c r="CI870" s="30"/>
      <c r="CJ870" s="30"/>
      <c r="CK870" s="30"/>
      <c r="CL870" s="30"/>
      <c r="CM870" s="30"/>
      <c r="CN870" s="30"/>
      <c r="CO870" s="30"/>
      <c r="CP870" s="30"/>
      <c r="CQ870" s="30"/>
      <c r="CR870" s="30"/>
      <c r="CS870" s="30"/>
      <c r="CT870" s="30"/>
      <c r="CU870" s="30"/>
      <c r="CV870" s="30"/>
      <c r="CW870" s="30"/>
      <c r="CX870" s="30"/>
      <c r="CY870" s="30"/>
      <c r="CZ870" s="30"/>
      <c r="DA870" s="30"/>
      <c r="DB870" s="30"/>
      <c r="DC870" s="30"/>
      <c r="DD870" s="30"/>
      <c r="DE870" s="30"/>
      <c r="DF870" s="30"/>
      <c r="DG870" s="30"/>
      <c r="DH870" s="30"/>
      <c r="DI870" s="30"/>
      <c r="DJ870" s="30"/>
      <c r="DK870" s="30"/>
      <c r="DL870" s="30"/>
      <c r="DM870" s="30"/>
      <c r="DN870" s="30"/>
      <c r="DO870" s="30"/>
      <c r="DP870" s="30"/>
      <c r="DQ870" s="30"/>
      <c r="DR870" s="30"/>
      <c r="DS870" s="30"/>
      <c r="DT870" s="30"/>
      <c r="DU870" s="30"/>
      <c r="DV870" s="30"/>
      <c r="DW870" s="30"/>
      <c r="DX870" s="30"/>
      <c r="DY870" s="30"/>
      <c r="DZ870" s="30"/>
      <c r="EA870" s="30"/>
      <c r="EB870" s="30"/>
      <c r="EC870" s="30"/>
      <c r="ED870" s="30"/>
      <c r="EE870" s="30"/>
    </row>
    <row r="871" spans="1:135" ht="30" customHeight="1" thickBot="1" x14ac:dyDescent="0.3">
      <c r="A871" s="578" t="s">
        <v>2351</v>
      </c>
      <c r="B871" s="51" t="s">
        <v>2347</v>
      </c>
      <c r="C871" s="72" t="s">
        <v>2348</v>
      </c>
      <c r="D871" s="140" t="s">
        <v>24</v>
      </c>
      <c r="E871" s="28" t="s">
        <v>25</v>
      </c>
      <c r="F871" s="20" t="s">
        <v>2349</v>
      </c>
      <c r="G871" s="59" t="s">
        <v>2350</v>
      </c>
      <c r="H871" s="31" t="s">
        <v>2109</v>
      </c>
      <c r="I871" s="142" t="s">
        <v>48</v>
      </c>
      <c r="J871" s="18" t="s">
        <v>49</v>
      </c>
      <c r="K871" s="23" t="s">
        <v>2352</v>
      </c>
      <c r="L871" s="21" t="str">
        <f>"RUTL-"&amp;RIGHT(K871,8)</f>
        <v>RUTL-0ECF6N02</v>
      </c>
      <c r="M871" s="144" t="s">
        <v>40</v>
      </c>
      <c r="N871" s="23" t="s">
        <v>54</v>
      </c>
      <c r="O871" s="23"/>
      <c r="P871" s="45" t="s">
        <v>46</v>
      </c>
      <c r="Q871" s="35" t="s">
        <v>2354</v>
      </c>
      <c r="R871" s="15" t="s">
        <v>56</v>
      </c>
      <c r="S871" s="37" t="s">
        <v>57</v>
      </c>
      <c r="T871" s="118" t="s">
        <v>271</v>
      </c>
      <c r="U871" s="39" t="s">
        <v>2355</v>
      </c>
      <c r="V871" s="82">
        <v>46111</v>
      </c>
      <c r="W871" s="23" t="s">
        <v>67</v>
      </c>
      <c r="X871" s="71"/>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c r="BO871" s="30"/>
      <c r="BP871" s="30"/>
      <c r="BQ871" s="30"/>
      <c r="BR871" s="30"/>
      <c r="BS871" s="30"/>
      <c r="BT871" s="30"/>
      <c r="BU871" s="30"/>
      <c r="BV871" s="30"/>
      <c r="BW871" s="30"/>
      <c r="BX871" s="30"/>
      <c r="BY871" s="30"/>
      <c r="BZ871" s="30"/>
      <c r="CA871" s="30"/>
      <c r="CB871" s="30"/>
      <c r="CC871" s="30"/>
      <c r="CD871" s="30"/>
      <c r="CE871" s="30"/>
      <c r="CF871" s="30"/>
      <c r="CG871" s="30"/>
      <c r="CH871" s="30"/>
      <c r="CI871" s="30"/>
      <c r="CJ871" s="30"/>
      <c r="CK871" s="30"/>
      <c r="CL871" s="30"/>
      <c r="CM871" s="30"/>
      <c r="CN871" s="30"/>
      <c r="CO871" s="30"/>
      <c r="CP871" s="30"/>
      <c r="CQ871" s="30"/>
      <c r="CR871" s="30"/>
      <c r="CS871" s="30"/>
      <c r="CT871" s="30"/>
      <c r="CU871" s="30"/>
      <c r="CV871" s="30"/>
      <c r="CW871" s="30"/>
      <c r="CX871" s="30"/>
      <c r="CY871" s="30"/>
      <c r="CZ871" s="30"/>
      <c r="DA871" s="30"/>
      <c r="DB871" s="30"/>
      <c r="DC871" s="30"/>
      <c r="DD871" s="30"/>
      <c r="DE871" s="30"/>
      <c r="DF871" s="30"/>
      <c r="DG871" s="30"/>
      <c r="DH871" s="30"/>
      <c r="DI871" s="30"/>
      <c r="DJ871" s="30"/>
      <c r="DK871" s="30"/>
      <c r="DL871" s="30"/>
      <c r="DM871" s="30"/>
      <c r="DN871" s="30"/>
      <c r="DO871" s="30"/>
      <c r="DP871" s="30"/>
      <c r="DQ871" s="30"/>
      <c r="DR871" s="30"/>
      <c r="DS871" s="30"/>
      <c r="DT871" s="30"/>
      <c r="DU871" s="30"/>
      <c r="DV871" s="30"/>
      <c r="DW871" s="30"/>
      <c r="DX871" s="30"/>
      <c r="DY871" s="30"/>
      <c r="DZ871" s="30"/>
      <c r="EA871" s="30"/>
      <c r="EB871" s="30"/>
      <c r="EC871" s="30"/>
      <c r="ED871" s="30"/>
      <c r="EE871" s="30"/>
    </row>
    <row r="872" spans="1:135" ht="30" customHeight="1" thickBot="1" x14ac:dyDescent="0.3">
      <c r="A872" s="578" t="s">
        <v>6470</v>
      </c>
      <c r="B872" s="51">
        <v>15961</v>
      </c>
      <c r="C872" s="231" t="s">
        <v>6468</v>
      </c>
      <c r="D872" s="10" t="s">
        <v>24</v>
      </c>
      <c r="E872" s="28" t="s">
        <v>25</v>
      </c>
      <c r="F872" s="12" t="s">
        <v>6469</v>
      </c>
      <c r="G872" s="59" t="s">
        <v>5252</v>
      </c>
      <c r="H872" s="370" t="s">
        <v>2315</v>
      </c>
      <c r="I872" s="296" t="s">
        <v>48</v>
      </c>
      <c r="J872" s="24" t="s">
        <v>49</v>
      </c>
      <c r="K872" s="32" t="s">
        <v>6471</v>
      </c>
      <c r="L872" s="25" t="str">
        <f>"RUTL-"&amp;RIGHT(K872,8)</f>
        <v>RUTL-1A516N02</v>
      </c>
      <c r="M872" s="34" t="s">
        <v>40</v>
      </c>
      <c r="N872" s="39" t="s">
        <v>43</v>
      </c>
      <c r="O872" s="23"/>
      <c r="P872" s="45" t="s">
        <v>46</v>
      </c>
      <c r="Q872" s="35" t="s">
        <v>6472</v>
      </c>
      <c r="R872" s="15" t="s">
        <v>56</v>
      </c>
      <c r="S872" s="40" t="s">
        <v>57</v>
      </c>
      <c r="T872" s="105" t="s">
        <v>148</v>
      </c>
      <c r="U872" s="39" t="s">
        <v>5802</v>
      </c>
      <c r="V872" s="82">
        <v>46111</v>
      </c>
      <c r="W872" s="23" t="s">
        <v>67</v>
      </c>
      <c r="X872" s="71"/>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0"/>
      <c r="BY872" s="30"/>
      <c r="BZ872" s="30"/>
      <c r="CA872" s="30"/>
      <c r="CB872" s="30"/>
      <c r="CC872" s="30"/>
      <c r="CD872" s="30"/>
      <c r="CE872" s="30"/>
      <c r="CF872" s="30"/>
      <c r="CG872" s="30"/>
      <c r="CH872" s="30"/>
      <c r="CI872" s="30"/>
      <c r="CJ872" s="30"/>
      <c r="CK872" s="30"/>
      <c r="CL872" s="30"/>
      <c r="CM872" s="30"/>
      <c r="CN872" s="30"/>
      <c r="CO872" s="30"/>
      <c r="CP872" s="30"/>
      <c r="CQ872" s="30"/>
      <c r="CR872" s="30"/>
      <c r="CS872" s="30"/>
      <c r="CT872" s="30"/>
      <c r="CU872" s="30"/>
      <c r="CV872" s="30"/>
      <c r="CW872" s="30"/>
      <c r="CX872" s="30"/>
      <c r="CY872" s="30"/>
      <c r="CZ872" s="30"/>
      <c r="DA872" s="30"/>
      <c r="DB872" s="30"/>
      <c r="DC872" s="30"/>
      <c r="DD872" s="30"/>
      <c r="DE872" s="30"/>
      <c r="DF872" s="30"/>
      <c r="DG872" s="30"/>
      <c r="DH872" s="30"/>
      <c r="DI872" s="30"/>
      <c r="DJ872" s="30"/>
      <c r="DK872" s="30"/>
      <c r="DL872" s="30"/>
      <c r="DM872" s="30"/>
      <c r="DN872" s="30"/>
      <c r="DO872" s="30"/>
      <c r="DP872" s="30"/>
      <c r="DQ872" s="30"/>
      <c r="DR872" s="30"/>
      <c r="DS872" s="30"/>
      <c r="DT872" s="30"/>
      <c r="DU872" s="30"/>
      <c r="DV872" s="30"/>
      <c r="DW872" s="30"/>
      <c r="DX872" s="30"/>
      <c r="DY872" s="30"/>
      <c r="DZ872" s="30"/>
      <c r="EA872" s="30"/>
      <c r="EB872" s="30"/>
      <c r="EC872" s="30"/>
      <c r="ED872" s="30"/>
      <c r="EE872" s="30"/>
    </row>
    <row r="873" spans="1:135" ht="30" customHeight="1" thickBot="1" x14ac:dyDescent="0.3">
      <c r="A873" s="578" t="s">
        <v>2333</v>
      </c>
      <c r="B873" s="51" t="s">
        <v>2328</v>
      </c>
      <c r="C873" s="269" t="s">
        <v>2330</v>
      </c>
      <c r="D873" s="140" t="s">
        <v>24</v>
      </c>
      <c r="E873" s="28" t="s">
        <v>25</v>
      </c>
      <c r="F873" s="20" t="s">
        <v>2331</v>
      </c>
      <c r="G873" s="15" t="s">
        <v>2332</v>
      </c>
      <c r="H873" s="22" t="s">
        <v>2315</v>
      </c>
      <c r="I873" s="142" t="s">
        <v>48</v>
      </c>
      <c r="J873" s="18" t="s">
        <v>49</v>
      </c>
      <c r="K873" s="504" t="s">
        <v>2334</v>
      </c>
      <c r="L873" s="25" t="str">
        <f>"RUTL-"&amp;RIGHT(K873,8)</f>
        <v>RUTL-1A6D6N02</v>
      </c>
      <c r="M873" s="34" t="s">
        <v>40</v>
      </c>
      <c r="N873" s="32" t="s">
        <v>54</v>
      </c>
      <c r="O873" s="23"/>
      <c r="P873" s="45" t="s">
        <v>46</v>
      </c>
      <c r="Q873" s="35" t="s">
        <v>2340</v>
      </c>
      <c r="R873" s="15" t="s">
        <v>56</v>
      </c>
      <c r="S873" s="37" t="s">
        <v>57</v>
      </c>
      <c r="T873" s="107" t="s">
        <v>1390</v>
      </c>
      <c r="U873" s="47" t="s">
        <v>2342</v>
      </c>
      <c r="V873" s="82">
        <v>46111</v>
      </c>
      <c r="W873" s="23" t="s">
        <v>67</v>
      </c>
      <c r="X873" s="71"/>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c r="BO873" s="30"/>
      <c r="BP873" s="30"/>
      <c r="BQ873" s="30"/>
      <c r="BR873" s="30"/>
      <c r="BS873" s="30"/>
      <c r="BT873" s="30"/>
      <c r="BU873" s="30"/>
      <c r="BV873" s="30"/>
      <c r="BW873" s="30"/>
      <c r="BX873" s="30"/>
      <c r="BY873" s="30"/>
      <c r="BZ873" s="30"/>
      <c r="CA873" s="30"/>
      <c r="CB873" s="30"/>
      <c r="CC873" s="30"/>
      <c r="CD873" s="30"/>
      <c r="CE873" s="30"/>
      <c r="CF873" s="30"/>
      <c r="CG873" s="30"/>
      <c r="CH873" s="30"/>
      <c r="CI873" s="30"/>
      <c r="CJ873" s="30"/>
      <c r="CK873" s="30"/>
      <c r="CL873" s="30"/>
      <c r="CM873" s="30"/>
      <c r="CN873" s="30"/>
      <c r="CO873" s="30"/>
      <c r="CP873" s="30"/>
      <c r="CQ873" s="30"/>
      <c r="CR873" s="30"/>
      <c r="CS873" s="30"/>
      <c r="CT873" s="30"/>
      <c r="CU873" s="30"/>
      <c r="CV873" s="30"/>
      <c r="CW873" s="30"/>
      <c r="CX873" s="30"/>
      <c r="CY873" s="30"/>
      <c r="CZ873" s="30"/>
      <c r="DA873" s="30"/>
      <c r="DB873" s="30"/>
      <c r="DC873" s="30"/>
      <c r="DD873" s="30"/>
      <c r="DE873" s="30"/>
      <c r="DF873" s="30"/>
      <c r="DG873" s="30"/>
      <c r="DH873" s="30"/>
      <c r="DI873" s="30"/>
      <c r="DJ873" s="30"/>
      <c r="DK873" s="30"/>
      <c r="DL873" s="30"/>
      <c r="DM873" s="30"/>
      <c r="DN873" s="30"/>
      <c r="DO873" s="30"/>
      <c r="DP873" s="30"/>
      <c r="DQ873" s="30"/>
      <c r="DR873" s="30"/>
      <c r="DS873" s="30"/>
      <c r="DT873" s="30"/>
      <c r="DU873" s="30"/>
      <c r="DV873" s="30"/>
      <c r="DW873" s="30"/>
      <c r="DX873" s="30"/>
      <c r="DY873" s="30"/>
      <c r="DZ873" s="30"/>
      <c r="EA873" s="30"/>
      <c r="EB873" s="30"/>
      <c r="EC873" s="30"/>
      <c r="ED873" s="30"/>
      <c r="EE873" s="30"/>
    </row>
    <row r="874" spans="1:135" ht="30" customHeight="1" thickBot="1" x14ac:dyDescent="0.3">
      <c r="A874" s="578" t="s">
        <v>7441</v>
      </c>
      <c r="B874" s="51">
        <v>18670</v>
      </c>
      <c r="C874" s="231" t="s">
        <v>7439</v>
      </c>
      <c r="D874" s="140" t="s">
        <v>24</v>
      </c>
      <c r="E874" s="28" t="s">
        <v>25</v>
      </c>
      <c r="F874" s="20" t="s">
        <v>7440</v>
      </c>
      <c r="G874" s="59" t="s">
        <v>7347</v>
      </c>
      <c r="H874" s="31" t="s">
        <v>255</v>
      </c>
      <c r="I874" s="142" t="s">
        <v>48</v>
      </c>
      <c r="J874" s="18" t="s">
        <v>49</v>
      </c>
      <c r="K874" s="250" t="s">
        <v>7442</v>
      </c>
      <c r="L874" s="25" t="str">
        <f>"RUTL-"&amp;RIGHT(K874,8)</f>
        <v>RUTL-1AA06N02</v>
      </c>
      <c r="M874" s="129" t="s">
        <v>40</v>
      </c>
      <c r="N874" s="23" t="s">
        <v>54</v>
      </c>
      <c r="O874" s="23"/>
      <c r="P874" s="45" t="s">
        <v>46</v>
      </c>
      <c r="Q874" s="35" t="s">
        <v>7443</v>
      </c>
      <c r="R874" s="15" t="s">
        <v>56</v>
      </c>
      <c r="S874" s="40" t="s">
        <v>180</v>
      </c>
      <c r="T874" s="105" t="s">
        <v>453</v>
      </c>
      <c r="U874" s="39" t="s">
        <v>7444</v>
      </c>
      <c r="V874" s="82">
        <v>46111</v>
      </c>
      <c r="W874" s="23" t="s">
        <v>67</v>
      </c>
      <c r="X874" s="71"/>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c r="BO874" s="30"/>
      <c r="BP874" s="30"/>
      <c r="BQ874" s="30"/>
      <c r="BR874" s="30"/>
      <c r="BS874" s="30"/>
      <c r="BT874" s="30"/>
      <c r="BU874" s="30"/>
      <c r="BV874" s="30"/>
      <c r="BW874" s="30"/>
      <c r="BX874" s="30"/>
      <c r="BY874" s="30"/>
      <c r="BZ874" s="30"/>
      <c r="CA874" s="30"/>
      <c r="CB874" s="30"/>
      <c r="CC874" s="30"/>
      <c r="CD874" s="30"/>
      <c r="CE874" s="30"/>
      <c r="CF874" s="30"/>
      <c r="CG874" s="30"/>
      <c r="CH874" s="30"/>
      <c r="CI874" s="30"/>
      <c r="CJ874" s="30"/>
      <c r="CK874" s="30"/>
      <c r="CL874" s="30"/>
      <c r="CM874" s="30"/>
      <c r="CN874" s="30"/>
      <c r="CO874" s="30"/>
      <c r="CP874" s="30"/>
      <c r="CQ874" s="30"/>
      <c r="CR874" s="30"/>
      <c r="CS874" s="30"/>
      <c r="CT874" s="30"/>
      <c r="CU874" s="30"/>
      <c r="CV874" s="30"/>
      <c r="CW874" s="30"/>
      <c r="CX874" s="30"/>
      <c r="CY874" s="30"/>
      <c r="CZ874" s="30"/>
      <c r="DA874" s="30"/>
      <c r="DB874" s="30"/>
      <c r="DC874" s="30"/>
      <c r="DD874" s="30"/>
      <c r="DE874" s="30"/>
      <c r="DF874" s="30"/>
      <c r="DG874" s="30"/>
      <c r="DH874" s="30"/>
      <c r="DI874" s="30"/>
      <c r="DJ874" s="30"/>
      <c r="DK874" s="30"/>
      <c r="DL874" s="30"/>
      <c r="DM874" s="30"/>
      <c r="DN874" s="30"/>
      <c r="DO874" s="30"/>
      <c r="DP874" s="30"/>
      <c r="DQ874" s="30"/>
      <c r="DR874" s="30"/>
      <c r="DS874" s="30"/>
      <c r="DT874" s="30"/>
      <c r="DU874" s="30"/>
      <c r="DV874" s="30"/>
      <c r="DW874" s="30"/>
      <c r="DX874" s="30"/>
      <c r="DY874" s="30"/>
      <c r="DZ874" s="30"/>
      <c r="EA874" s="30"/>
      <c r="EB874" s="30"/>
      <c r="EC874" s="30"/>
      <c r="ED874" s="30"/>
      <c r="EE874" s="30"/>
    </row>
    <row r="875" spans="1:135" ht="30" customHeight="1" thickBot="1" x14ac:dyDescent="0.3">
      <c r="A875" s="578" t="s">
        <v>6772</v>
      </c>
      <c r="B875" s="51">
        <v>16759</v>
      </c>
      <c r="C875" s="231" t="s">
        <v>6770</v>
      </c>
      <c r="D875" s="10" t="s">
        <v>24</v>
      </c>
      <c r="E875" s="28" t="s">
        <v>25</v>
      </c>
      <c r="F875" s="12" t="s">
        <v>6771</v>
      </c>
      <c r="G875" s="15" t="s">
        <v>793</v>
      </c>
      <c r="H875" s="31" t="s">
        <v>3902</v>
      </c>
      <c r="I875" s="18" t="s">
        <v>48</v>
      </c>
      <c r="J875" s="18" t="s">
        <v>49</v>
      </c>
      <c r="K875" s="23" t="s">
        <v>6773</v>
      </c>
      <c r="L875" s="25" t="str">
        <f>"RUTL-"&amp;RIGHT(K875,8)</f>
        <v>RUTL-1A716N02</v>
      </c>
      <c r="M875" s="34" t="s">
        <v>40</v>
      </c>
      <c r="N875" s="23" t="s">
        <v>54</v>
      </c>
      <c r="O875" s="23"/>
      <c r="P875" s="45" t="s">
        <v>46</v>
      </c>
      <c r="Q875" s="113"/>
      <c r="R875" s="15" t="s">
        <v>56</v>
      </c>
      <c r="S875" s="37" t="s">
        <v>57</v>
      </c>
      <c r="T875" s="87" t="s">
        <v>273</v>
      </c>
      <c r="U875" s="39" t="s">
        <v>5842</v>
      </c>
      <c r="V875" s="48">
        <v>46111</v>
      </c>
      <c r="W875" s="23" t="s">
        <v>67</v>
      </c>
      <c r="X875" s="71"/>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row>
    <row r="876" spans="1:135" ht="30" customHeight="1" thickBot="1" x14ac:dyDescent="0.3">
      <c r="A876" s="578" t="s">
        <v>6475</v>
      </c>
      <c r="B876" s="51">
        <v>15973</v>
      </c>
      <c r="C876" s="315" t="s">
        <v>6473</v>
      </c>
      <c r="D876" s="10" t="s">
        <v>24</v>
      </c>
      <c r="E876" s="28" t="s">
        <v>25</v>
      </c>
      <c r="F876" s="12" t="s">
        <v>6474</v>
      </c>
      <c r="G876" s="15" t="s">
        <v>5798</v>
      </c>
      <c r="H876" s="22" t="s">
        <v>3902</v>
      </c>
      <c r="I876" s="142" t="s">
        <v>48</v>
      </c>
      <c r="J876" s="18" t="s">
        <v>49</v>
      </c>
      <c r="K876" s="32" t="s">
        <v>6476</v>
      </c>
      <c r="L876" s="25" t="str">
        <f>"RUTL-"&amp;RIGHT(K876,8)</f>
        <v>RUTL-1A7D6N02</v>
      </c>
      <c r="M876" s="34" t="s">
        <v>40</v>
      </c>
      <c r="N876" s="39" t="s">
        <v>54</v>
      </c>
      <c r="O876" s="23"/>
      <c r="P876" s="45" t="s">
        <v>46</v>
      </c>
      <c r="Q876" s="35" t="s">
        <v>6477</v>
      </c>
      <c r="R876" s="15" t="s">
        <v>56</v>
      </c>
      <c r="S876" s="40" t="s">
        <v>57</v>
      </c>
      <c r="T876" s="105" t="s">
        <v>148</v>
      </c>
      <c r="U876" s="39" t="s">
        <v>5802</v>
      </c>
      <c r="V876" s="82">
        <v>46111</v>
      </c>
      <c r="W876" s="23" t="s">
        <v>67</v>
      </c>
      <c r="X876" s="71"/>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c r="BO876" s="30"/>
      <c r="BP876" s="30"/>
      <c r="BQ876" s="30"/>
      <c r="BR876" s="30"/>
      <c r="BS876" s="30"/>
      <c r="BT876" s="30"/>
      <c r="BU876" s="30"/>
      <c r="BV876" s="30"/>
      <c r="BW876" s="30"/>
      <c r="BX876" s="30"/>
      <c r="BY876" s="30"/>
      <c r="BZ876" s="30"/>
      <c r="CA876" s="30"/>
      <c r="CB876" s="30"/>
      <c r="CC876" s="30"/>
      <c r="CD876" s="30"/>
      <c r="CE876" s="30"/>
      <c r="CF876" s="30"/>
      <c r="CG876" s="30"/>
      <c r="CH876" s="30"/>
      <c r="CI876" s="30"/>
      <c r="CJ876" s="30"/>
      <c r="CK876" s="30"/>
      <c r="CL876" s="30"/>
      <c r="CM876" s="30"/>
      <c r="CN876" s="30"/>
      <c r="CO876" s="30"/>
      <c r="CP876" s="30"/>
      <c r="CQ876" s="30"/>
      <c r="CR876" s="30"/>
      <c r="CS876" s="30"/>
      <c r="CT876" s="30"/>
      <c r="CU876" s="30"/>
      <c r="CV876" s="30"/>
      <c r="CW876" s="30"/>
      <c r="CX876" s="30"/>
      <c r="CY876" s="30"/>
      <c r="CZ876" s="30"/>
      <c r="DA876" s="30"/>
      <c r="DB876" s="30"/>
      <c r="DC876" s="30"/>
      <c r="DD876" s="30"/>
      <c r="DE876" s="30"/>
      <c r="DF876" s="30"/>
      <c r="DG876" s="30"/>
      <c r="DH876" s="30"/>
      <c r="DI876" s="30"/>
      <c r="DJ876" s="30"/>
      <c r="DK876" s="30"/>
      <c r="DL876" s="30"/>
      <c r="DM876" s="30"/>
      <c r="DN876" s="30"/>
      <c r="DO876" s="30"/>
      <c r="DP876" s="30"/>
      <c r="DQ876" s="30"/>
      <c r="DR876" s="30"/>
      <c r="DS876" s="30"/>
      <c r="DT876" s="30"/>
      <c r="DU876" s="30"/>
      <c r="DV876" s="30"/>
      <c r="DW876" s="30"/>
      <c r="DX876" s="30"/>
      <c r="DY876" s="30"/>
      <c r="DZ876" s="30"/>
      <c r="EA876" s="30"/>
      <c r="EB876" s="30"/>
      <c r="EC876" s="30"/>
      <c r="ED876" s="30"/>
      <c r="EE876" s="30"/>
    </row>
    <row r="877" spans="1:135" ht="30" customHeight="1" thickBot="1" x14ac:dyDescent="0.3">
      <c r="A877" s="578" t="s">
        <v>6740</v>
      </c>
      <c r="B877" s="51">
        <v>16632</v>
      </c>
      <c r="C877" s="50" t="s">
        <v>6737</v>
      </c>
      <c r="D877" s="10" t="s">
        <v>24</v>
      </c>
      <c r="E877" s="28" t="s">
        <v>25</v>
      </c>
      <c r="F877" s="20" t="s">
        <v>6738</v>
      </c>
      <c r="G877" s="15" t="s">
        <v>889</v>
      </c>
      <c r="H877" s="31" t="s">
        <v>6739</v>
      </c>
      <c r="I877" s="54" t="s">
        <v>48</v>
      </c>
      <c r="J877" s="18" t="s">
        <v>49</v>
      </c>
      <c r="K877" s="385" t="s">
        <v>6741</v>
      </c>
      <c r="L877" s="25" t="str">
        <f>"RUTL-"&amp;RIGHT(K877,8)</f>
        <v>RUTL-1A746N02</v>
      </c>
      <c r="M877" s="34" t="s">
        <v>40</v>
      </c>
      <c r="N877" s="23" t="s">
        <v>54</v>
      </c>
      <c r="O877" s="23"/>
      <c r="P877" s="45" t="s">
        <v>46</v>
      </c>
      <c r="Q877" s="35" t="s">
        <v>6742</v>
      </c>
      <c r="R877" s="15" t="s">
        <v>56</v>
      </c>
      <c r="S877" s="40" t="s">
        <v>57</v>
      </c>
      <c r="T877" s="118" t="s">
        <v>65</v>
      </c>
      <c r="U877" s="23" t="s">
        <v>2517</v>
      </c>
      <c r="V877" s="48" t="s">
        <v>6743</v>
      </c>
      <c r="W877" s="23" t="s">
        <v>6744</v>
      </c>
      <c r="X877" s="71"/>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row>
    <row r="878" spans="1:135" ht="30" customHeight="1" thickBot="1" x14ac:dyDescent="0.3">
      <c r="A878" s="578" t="s">
        <v>6414</v>
      </c>
      <c r="B878" s="51">
        <v>15871</v>
      </c>
      <c r="C878" s="231" t="s">
        <v>6412</v>
      </c>
      <c r="D878" s="10" t="s">
        <v>24</v>
      </c>
      <c r="E878" s="28" t="s">
        <v>25</v>
      </c>
      <c r="F878" s="20" t="s">
        <v>6413</v>
      </c>
      <c r="G878" s="59" t="s">
        <v>1698</v>
      </c>
      <c r="H878" s="31" t="s">
        <v>3147</v>
      </c>
      <c r="I878" s="142" t="s">
        <v>48</v>
      </c>
      <c r="J878" s="18" t="s">
        <v>49</v>
      </c>
      <c r="K878" s="23" t="s">
        <v>6415</v>
      </c>
      <c r="L878" s="25" t="str">
        <f>"RUTL-"&amp;RIGHT(K878,8)</f>
        <v>RUTL-1A4C6N02</v>
      </c>
      <c r="M878" s="34" t="s">
        <v>40</v>
      </c>
      <c r="N878" s="23" t="s">
        <v>54</v>
      </c>
      <c r="O878" s="23"/>
      <c r="P878" s="45" t="s">
        <v>46</v>
      </c>
      <c r="Q878" s="35" t="s">
        <v>6416</v>
      </c>
      <c r="R878" s="15" t="s">
        <v>56</v>
      </c>
      <c r="S878" s="40" t="s">
        <v>57</v>
      </c>
      <c r="T878" s="274" t="s">
        <v>58</v>
      </c>
      <c r="U878" s="23" t="s">
        <v>6417</v>
      </c>
      <c r="V878" s="82">
        <v>46111</v>
      </c>
      <c r="W878" s="23" t="s">
        <v>67</v>
      </c>
      <c r="X878" s="71"/>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0"/>
      <c r="BY878" s="30"/>
      <c r="BZ878" s="30"/>
      <c r="CA878" s="30"/>
      <c r="CB878" s="30"/>
      <c r="CC878" s="30"/>
      <c r="CD878" s="30"/>
      <c r="CE878" s="30"/>
      <c r="CF878" s="30"/>
      <c r="CG878" s="30"/>
      <c r="CH878" s="30"/>
      <c r="CI878" s="30"/>
      <c r="CJ878" s="30"/>
      <c r="CK878" s="30"/>
      <c r="CL878" s="30"/>
      <c r="CM878" s="30"/>
      <c r="CN878" s="30"/>
      <c r="CO878" s="30"/>
      <c r="CP878" s="30"/>
      <c r="CQ878" s="30"/>
      <c r="CR878" s="30"/>
      <c r="CS878" s="30"/>
      <c r="CT878" s="30"/>
      <c r="CU878" s="30"/>
      <c r="CV878" s="30"/>
      <c r="CW878" s="30"/>
      <c r="CX878" s="30"/>
      <c r="CY878" s="30"/>
      <c r="CZ878" s="30"/>
      <c r="DA878" s="30"/>
      <c r="DB878" s="30"/>
      <c r="DC878" s="30"/>
      <c r="DD878" s="30"/>
      <c r="DE878" s="30"/>
      <c r="DF878" s="30"/>
      <c r="DG878" s="30"/>
      <c r="DH878" s="30"/>
      <c r="DI878" s="30"/>
      <c r="DJ878" s="30"/>
      <c r="DK878" s="30"/>
      <c r="DL878" s="30"/>
      <c r="DM878" s="30"/>
      <c r="DN878" s="30"/>
      <c r="DO878" s="30"/>
      <c r="DP878" s="30"/>
      <c r="DQ878" s="30"/>
      <c r="DR878" s="30"/>
      <c r="DS878" s="30"/>
      <c r="DT878" s="30"/>
      <c r="DU878" s="30"/>
      <c r="DV878" s="30"/>
      <c r="DW878" s="30"/>
      <c r="DX878" s="30"/>
      <c r="DY878" s="30"/>
      <c r="DZ878" s="30"/>
      <c r="EA878" s="30"/>
      <c r="EB878" s="30"/>
      <c r="EC878" s="30"/>
      <c r="ED878" s="30"/>
      <c r="EE878" s="30"/>
    </row>
    <row r="879" spans="1:135" ht="30" customHeight="1" thickBot="1" x14ac:dyDescent="0.3">
      <c r="A879" s="578" t="s">
        <v>6806</v>
      </c>
      <c r="B879" s="51">
        <v>16806</v>
      </c>
      <c r="C879" s="231" t="s">
        <v>6803</v>
      </c>
      <c r="D879" s="140" t="s">
        <v>24</v>
      </c>
      <c r="E879" s="28" t="s">
        <v>25</v>
      </c>
      <c r="F879" s="12" t="s">
        <v>6804</v>
      </c>
      <c r="G879" s="15" t="s">
        <v>6805</v>
      </c>
      <c r="H879" s="31" t="s">
        <v>2142</v>
      </c>
      <c r="I879" s="54" t="s">
        <v>48</v>
      </c>
      <c r="J879" s="18" t="s">
        <v>49</v>
      </c>
      <c r="K879" s="23" t="s">
        <v>6807</v>
      </c>
      <c r="L879" s="25" t="str">
        <f>"RUTL-"&amp;RIGHT(K879,8)</f>
        <v>RUTL-1A8B6N02</v>
      </c>
      <c r="M879" s="34" t="s">
        <v>40</v>
      </c>
      <c r="N879" s="39" t="s">
        <v>54</v>
      </c>
      <c r="O879" s="23"/>
      <c r="P879" s="35" t="s">
        <v>46</v>
      </c>
      <c r="Q879" s="36" t="s">
        <v>6808</v>
      </c>
      <c r="R879" s="15" t="s">
        <v>56</v>
      </c>
      <c r="S879" s="37" t="s">
        <v>57</v>
      </c>
      <c r="T879" s="105" t="s">
        <v>148</v>
      </c>
      <c r="U879" s="39" t="s">
        <v>5802</v>
      </c>
      <c r="V879" s="48">
        <v>46111</v>
      </c>
      <c r="W879" s="23" t="s">
        <v>67</v>
      </c>
      <c r="X879" s="71"/>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row>
    <row r="880" spans="1:135" ht="30" customHeight="1" thickBot="1" x14ac:dyDescent="0.3">
      <c r="A880" s="578" t="s">
        <v>6438</v>
      </c>
      <c r="B880" s="51">
        <v>15908</v>
      </c>
      <c r="C880" s="72" t="s">
        <v>6436</v>
      </c>
      <c r="D880" s="10" t="s">
        <v>24</v>
      </c>
      <c r="E880" s="11" t="s">
        <v>25</v>
      </c>
      <c r="F880" s="12" t="s">
        <v>6437</v>
      </c>
      <c r="G880" s="15" t="s">
        <v>3993</v>
      </c>
      <c r="H880" s="31" t="s">
        <v>2142</v>
      </c>
      <c r="I880" s="18" t="s">
        <v>48</v>
      </c>
      <c r="J880" s="18" t="s">
        <v>49</v>
      </c>
      <c r="K880" s="385" t="s">
        <v>6439</v>
      </c>
      <c r="L880" s="25" t="str">
        <f>"RUTL-"&amp;RIGHT(K880,8)</f>
        <v>RUTL-1A446N02</v>
      </c>
      <c r="M880" s="34" t="s">
        <v>40</v>
      </c>
      <c r="N880" s="23" t="s">
        <v>54</v>
      </c>
      <c r="O880" s="23"/>
      <c r="P880" s="45" t="s">
        <v>46</v>
      </c>
      <c r="Q880" s="41" t="s">
        <v>146</v>
      </c>
      <c r="R880" s="15" t="s">
        <v>56</v>
      </c>
      <c r="S880" s="40" t="s">
        <v>57</v>
      </c>
      <c r="T880" s="107" t="s">
        <v>453</v>
      </c>
      <c r="U880" s="39" t="s">
        <v>6417</v>
      </c>
      <c r="V880" s="48">
        <v>46111</v>
      </c>
      <c r="W880" s="23" t="s">
        <v>67</v>
      </c>
      <c r="X880" s="71"/>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row>
    <row r="881" spans="1:135" ht="30" customHeight="1" thickBot="1" x14ac:dyDescent="0.3">
      <c r="A881" s="578" t="s">
        <v>6904</v>
      </c>
      <c r="B881" s="51">
        <v>16976</v>
      </c>
      <c r="C881" s="52" t="s">
        <v>6902</v>
      </c>
      <c r="D881" s="10" t="s">
        <v>24</v>
      </c>
      <c r="E881" s="28" t="s">
        <v>25</v>
      </c>
      <c r="F881" s="12" t="s">
        <v>6903</v>
      </c>
      <c r="G881" s="15" t="s">
        <v>1546</v>
      </c>
      <c r="H881" s="22" t="s">
        <v>2646</v>
      </c>
      <c r="I881" s="18" t="s">
        <v>135</v>
      </c>
      <c r="J881" s="18" t="s">
        <v>32</v>
      </c>
      <c r="K881" s="23" t="s">
        <v>6905</v>
      </c>
      <c r="L881" s="25" t="str">
        <f>"RUTL-"&amp;RIGHT(K881,8)</f>
        <v>RUTL-PW0K0DA6</v>
      </c>
      <c r="M881" s="34" t="s">
        <v>40</v>
      </c>
      <c r="N881" s="39" t="s">
        <v>54</v>
      </c>
      <c r="O881" s="94"/>
      <c r="P881" s="45" t="s">
        <v>46</v>
      </c>
      <c r="Q881" s="36" t="s">
        <v>6906</v>
      </c>
      <c r="R881" s="15" t="s">
        <v>56</v>
      </c>
      <c r="S881" s="37" t="s">
        <v>57</v>
      </c>
      <c r="T881" s="118" t="s">
        <v>65</v>
      </c>
      <c r="U881" s="57"/>
      <c r="V881" s="43">
        <v>46122</v>
      </c>
      <c r="W881" s="32" t="s">
        <v>62</v>
      </c>
      <c r="X881" s="71"/>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row>
    <row r="882" spans="1:135" ht="30" customHeight="1" thickBot="1" x14ac:dyDescent="0.3">
      <c r="A882" s="578" t="s">
        <v>2789</v>
      </c>
      <c r="B882" s="51" t="s">
        <v>2784</v>
      </c>
      <c r="C882" s="9" t="s">
        <v>2785</v>
      </c>
      <c r="D882" s="10" t="s">
        <v>24</v>
      </c>
      <c r="E882" s="11" t="s">
        <v>25</v>
      </c>
      <c r="F882" s="20" t="s">
        <v>2786</v>
      </c>
      <c r="G882" s="59" t="s">
        <v>2787</v>
      </c>
      <c r="H882" s="22" t="s">
        <v>2788</v>
      </c>
      <c r="I882" s="142" t="s">
        <v>38</v>
      </c>
      <c r="J882" s="24" t="s">
        <v>32</v>
      </c>
      <c r="K882" s="23" t="s">
        <v>2790</v>
      </c>
      <c r="L882" s="25" t="str">
        <f>"RUTL-"&amp;RIGHT(K882,8)</f>
        <v>RUTL-PW0K0DQF</v>
      </c>
      <c r="M882" s="34" t="s">
        <v>40</v>
      </c>
      <c r="N882" s="23" t="s">
        <v>54</v>
      </c>
      <c r="O882" s="98"/>
      <c r="P882" s="45" t="s">
        <v>46</v>
      </c>
      <c r="Q882" s="35" t="s">
        <v>2792</v>
      </c>
      <c r="R882" s="15" t="s">
        <v>56</v>
      </c>
      <c r="S882" s="37" t="s">
        <v>57</v>
      </c>
      <c r="T882" s="112" t="s">
        <v>2795</v>
      </c>
      <c r="U882" s="47" t="s">
        <v>2798</v>
      </c>
      <c r="V882" s="270">
        <v>46122</v>
      </c>
      <c r="W882" s="32" t="s">
        <v>62</v>
      </c>
      <c r="X882" s="71"/>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c r="BO882" s="30"/>
      <c r="BP882" s="30"/>
      <c r="BQ882" s="30"/>
      <c r="BR882" s="30"/>
      <c r="BS882" s="30"/>
      <c r="BT882" s="30"/>
      <c r="BU882" s="30"/>
      <c r="BV882" s="30"/>
      <c r="BW882" s="30"/>
      <c r="BX882" s="30"/>
      <c r="BY882" s="30"/>
      <c r="BZ882" s="30"/>
      <c r="CA882" s="30"/>
      <c r="CB882" s="30"/>
      <c r="CC882" s="30"/>
      <c r="CD882" s="30"/>
      <c r="CE882" s="30"/>
      <c r="CF882" s="30"/>
      <c r="CG882" s="30"/>
      <c r="CH882" s="30"/>
      <c r="CI882" s="30"/>
      <c r="CJ882" s="30"/>
      <c r="CK882" s="30"/>
      <c r="CL882" s="30"/>
      <c r="CM882" s="30"/>
      <c r="CN882" s="30"/>
      <c r="CO882" s="30"/>
      <c r="CP882" s="30"/>
      <c r="CQ882" s="30"/>
      <c r="CR882" s="30"/>
      <c r="CS882" s="30"/>
      <c r="CT882" s="30"/>
      <c r="CU882" s="30"/>
      <c r="CV882" s="30"/>
      <c r="CW882" s="30"/>
      <c r="CX882" s="30"/>
      <c r="CY882" s="30"/>
      <c r="CZ882" s="30"/>
      <c r="DA882" s="30"/>
      <c r="DB882" s="30"/>
      <c r="DC882" s="30"/>
      <c r="DD882" s="30"/>
      <c r="DE882" s="30"/>
      <c r="DF882" s="30"/>
      <c r="DG882" s="30"/>
      <c r="DH882" s="30"/>
      <c r="DI882" s="30"/>
      <c r="DJ882" s="30"/>
      <c r="DK882" s="30"/>
      <c r="DL882" s="30"/>
      <c r="DM882" s="30"/>
      <c r="DN882" s="30"/>
      <c r="DO882" s="30"/>
      <c r="DP882" s="30"/>
      <c r="DQ882" s="30"/>
      <c r="DR882" s="30"/>
      <c r="DS882" s="30"/>
      <c r="DT882" s="30"/>
      <c r="DU882" s="30"/>
      <c r="DV882" s="30"/>
      <c r="DW882" s="30"/>
      <c r="DX882" s="30"/>
      <c r="DY882" s="30"/>
      <c r="DZ882" s="30"/>
      <c r="EA882" s="30"/>
      <c r="EB882" s="30"/>
      <c r="EC882" s="30"/>
      <c r="ED882" s="30"/>
      <c r="EE882" s="30"/>
    </row>
    <row r="883" spans="1:135" ht="30" customHeight="1" thickBot="1" x14ac:dyDescent="0.3">
      <c r="A883" s="578" t="s">
        <v>7540</v>
      </c>
      <c r="B883" s="51" t="s">
        <v>7536</v>
      </c>
      <c r="C883" s="69" t="s">
        <v>7537</v>
      </c>
      <c r="D883" s="140" t="s">
        <v>24</v>
      </c>
      <c r="E883" s="28" t="s">
        <v>25</v>
      </c>
      <c r="F883" s="20" t="s">
        <v>7538</v>
      </c>
      <c r="G883" s="59" t="s">
        <v>7539</v>
      </c>
      <c r="H883" s="22" t="s">
        <v>2646</v>
      </c>
      <c r="I883" s="296" t="s">
        <v>135</v>
      </c>
      <c r="J883" s="24" t="s">
        <v>32</v>
      </c>
      <c r="K883" s="23" t="s">
        <v>7541</v>
      </c>
      <c r="L883" s="21" t="str">
        <f>"RUTL-"&amp;RIGHT(K883,8)</f>
        <v>RUTL-PW0K0DJD</v>
      </c>
      <c r="M883" s="34" t="s">
        <v>40</v>
      </c>
      <c r="N883" s="23" t="s">
        <v>54</v>
      </c>
      <c r="O883" s="94"/>
      <c r="P883" s="45" t="s">
        <v>46</v>
      </c>
      <c r="Q883" s="35" t="s">
        <v>7542</v>
      </c>
      <c r="R883" s="15" t="s">
        <v>56</v>
      </c>
      <c r="S883" s="37" t="s">
        <v>57</v>
      </c>
      <c r="T883" s="427" t="s">
        <v>7543</v>
      </c>
      <c r="U883" s="39" t="s">
        <v>7544</v>
      </c>
      <c r="V883" s="569">
        <v>46122</v>
      </c>
      <c r="W883" s="32" t="s">
        <v>62</v>
      </c>
      <c r="X883" s="71"/>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0"/>
      <c r="BY883" s="30"/>
      <c r="BZ883" s="30"/>
      <c r="CA883" s="30"/>
      <c r="CB883" s="30"/>
      <c r="CC883" s="30"/>
      <c r="CD883" s="30"/>
      <c r="CE883" s="30"/>
      <c r="CF883" s="30"/>
      <c r="CG883" s="30"/>
      <c r="CH883" s="30"/>
      <c r="CI883" s="30"/>
      <c r="CJ883" s="30"/>
      <c r="CK883" s="30"/>
      <c r="CL883" s="30"/>
      <c r="CM883" s="30"/>
      <c r="CN883" s="30"/>
      <c r="CO883" s="30"/>
      <c r="CP883" s="30"/>
      <c r="CQ883" s="30"/>
      <c r="CR883" s="30"/>
      <c r="CS883" s="30"/>
      <c r="CT883" s="30"/>
      <c r="CU883" s="30"/>
      <c r="CV883" s="30"/>
      <c r="CW883" s="30"/>
      <c r="CX883" s="30"/>
      <c r="CY883" s="30"/>
      <c r="CZ883" s="30"/>
      <c r="DA883" s="30"/>
      <c r="DB883" s="30"/>
      <c r="DC883" s="30"/>
      <c r="DD883" s="30"/>
      <c r="DE883" s="30"/>
      <c r="DF883" s="30"/>
      <c r="DG883" s="30"/>
      <c r="DH883" s="30"/>
      <c r="DI883" s="30"/>
      <c r="DJ883" s="30"/>
      <c r="DK883" s="30"/>
      <c r="DL883" s="30"/>
      <c r="DM883" s="30"/>
      <c r="DN883" s="30"/>
      <c r="DO883" s="30"/>
      <c r="DP883" s="30"/>
      <c r="DQ883" s="30"/>
      <c r="DR883" s="30"/>
      <c r="DS883" s="30"/>
      <c r="DT883" s="30"/>
      <c r="DU883" s="30"/>
      <c r="DV883" s="30"/>
      <c r="DW883" s="30"/>
      <c r="DX883" s="30"/>
      <c r="DY883" s="30"/>
      <c r="DZ883" s="30"/>
      <c r="EA883" s="30"/>
      <c r="EB883" s="30"/>
      <c r="EC883" s="30"/>
      <c r="ED883" s="30"/>
      <c r="EE883" s="30"/>
    </row>
    <row r="884" spans="1:135" ht="30" customHeight="1" thickBot="1" x14ac:dyDescent="0.3">
      <c r="A884" s="578" t="s">
        <v>7426</v>
      </c>
      <c r="B884" s="435">
        <v>18629</v>
      </c>
      <c r="C884" s="52" t="s">
        <v>7424</v>
      </c>
      <c r="D884" s="10" t="s">
        <v>24</v>
      </c>
      <c r="E884" s="28" t="s">
        <v>25</v>
      </c>
      <c r="F884" s="20" t="s">
        <v>7425</v>
      </c>
      <c r="G884" s="59" t="s">
        <v>904</v>
      </c>
      <c r="H884" s="22" t="s">
        <v>1221</v>
      </c>
      <c r="I884" s="296" t="s">
        <v>135</v>
      </c>
      <c r="J884" s="24" t="s">
        <v>32</v>
      </c>
      <c r="K884" s="33" t="s">
        <v>7427</v>
      </c>
      <c r="L884" s="25" t="str">
        <f>"RUTL-"&amp;RIGHT(K884,8)</f>
        <v>RUTL-PW0K0D84</v>
      </c>
      <c r="M884" s="34" t="s">
        <v>40</v>
      </c>
      <c r="N884" s="23" t="s">
        <v>54</v>
      </c>
      <c r="O884" s="32"/>
      <c r="P884" s="35" t="s">
        <v>46</v>
      </c>
      <c r="Q884" s="36" t="s">
        <v>7428</v>
      </c>
      <c r="R884" s="15" t="s">
        <v>56</v>
      </c>
      <c r="S884" s="37" t="s">
        <v>57</v>
      </c>
      <c r="T884" s="41" t="s">
        <v>65</v>
      </c>
      <c r="U884" s="39" t="s">
        <v>7429</v>
      </c>
      <c r="V884" s="270">
        <v>46122</v>
      </c>
      <c r="W884" s="32" t="s">
        <v>62</v>
      </c>
      <c r="X884" s="71"/>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c r="BO884" s="30"/>
      <c r="BP884" s="30"/>
      <c r="BQ884" s="30"/>
      <c r="BR884" s="30"/>
      <c r="BS884" s="30"/>
      <c r="BT884" s="30"/>
      <c r="BU884" s="30"/>
      <c r="BV884" s="30"/>
      <c r="BW884" s="30"/>
      <c r="BX884" s="30"/>
      <c r="BY884" s="30"/>
      <c r="BZ884" s="30"/>
      <c r="CA884" s="30"/>
      <c r="CB884" s="30"/>
      <c r="CC884" s="30"/>
      <c r="CD884" s="30"/>
      <c r="CE884" s="30"/>
      <c r="CF884" s="30"/>
      <c r="CG884" s="30"/>
      <c r="CH884" s="30"/>
      <c r="CI884" s="30"/>
      <c r="CJ884" s="30"/>
      <c r="CK884" s="30"/>
      <c r="CL884" s="30"/>
      <c r="CM884" s="30"/>
      <c r="CN884" s="30"/>
      <c r="CO884" s="30"/>
      <c r="CP884" s="30"/>
      <c r="CQ884" s="30"/>
      <c r="CR884" s="30"/>
      <c r="CS884" s="30"/>
      <c r="CT884" s="30"/>
      <c r="CU884" s="30"/>
      <c r="CV884" s="30"/>
      <c r="CW884" s="30"/>
      <c r="CX884" s="30"/>
      <c r="CY884" s="30"/>
      <c r="CZ884" s="30"/>
      <c r="DA884" s="30"/>
      <c r="DB884" s="30"/>
      <c r="DC884" s="30"/>
      <c r="DD884" s="30"/>
      <c r="DE884" s="30"/>
      <c r="DF884" s="30"/>
      <c r="DG884" s="30"/>
      <c r="DH884" s="30"/>
      <c r="DI884" s="30"/>
      <c r="DJ884" s="30"/>
      <c r="DK884" s="30"/>
      <c r="DL884" s="30"/>
      <c r="DM884" s="30"/>
      <c r="DN884" s="30"/>
      <c r="DO884" s="30"/>
      <c r="DP884" s="30"/>
      <c r="DQ884" s="30"/>
      <c r="DR884" s="30"/>
      <c r="DS884" s="30"/>
      <c r="DT884" s="30"/>
      <c r="DU884" s="30"/>
      <c r="DV884" s="30"/>
      <c r="DW884" s="30"/>
      <c r="DX884" s="30"/>
      <c r="DY884" s="30"/>
      <c r="DZ884" s="30"/>
      <c r="EA884" s="30"/>
      <c r="EB884" s="30"/>
      <c r="EC884" s="30"/>
      <c r="ED884" s="30"/>
      <c r="EE884" s="30"/>
    </row>
    <row r="885" spans="1:135" ht="30" customHeight="1" thickBot="1" x14ac:dyDescent="0.3">
      <c r="A885" s="578" t="s">
        <v>6919</v>
      </c>
      <c r="B885" s="51">
        <v>17004</v>
      </c>
      <c r="C885" s="52" t="s">
        <v>6917</v>
      </c>
      <c r="D885" s="140" t="s">
        <v>24</v>
      </c>
      <c r="E885" s="11" t="s">
        <v>25</v>
      </c>
      <c r="F885" s="12" t="s">
        <v>6918</v>
      </c>
      <c r="G885" s="15" t="s">
        <v>369</v>
      </c>
      <c r="H885" s="22" t="s">
        <v>1647</v>
      </c>
      <c r="I885" s="24" t="s">
        <v>135</v>
      </c>
      <c r="J885" s="24" t="s">
        <v>32</v>
      </c>
      <c r="K885" s="23" t="s">
        <v>6920</v>
      </c>
      <c r="L885" s="25" t="str">
        <f>"RUTL-"&amp;RIGHT(K885,8)</f>
        <v>RUTL-PW0K0DEL</v>
      </c>
      <c r="M885" s="34" t="s">
        <v>40</v>
      </c>
      <c r="N885" s="23" t="s">
        <v>54</v>
      </c>
      <c r="O885" s="94"/>
      <c r="P885" s="45" t="s">
        <v>46</v>
      </c>
      <c r="Q885" s="35" t="s">
        <v>6921</v>
      </c>
      <c r="R885" s="15" t="s">
        <v>56</v>
      </c>
      <c r="S885" s="37" t="s">
        <v>57</v>
      </c>
      <c r="T885" s="274" t="s">
        <v>58</v>
      </c>
      <c r="U885" s="39" t="s">
        <v>4377</v>
      </c>
      <c r="V885" s="43">
        <v>46122</v>
      </c>
      <c r="W885" s="32" t="s">
        <v>62</v>
      </c>
      <c r="X885" s="71"/>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c r="DJ885" s="5"/>
      <c r="DK885" s="5"/>
      <c r="DL885" s="5"/>
      <c r="DM885" s="5"/>
      <c r="DN885" s="5"/>
      <c r="DO885" s="5"/>
      <c r="DP885" s="5"/>
      <c r="DQ885" s="5"/>
      <c r="DR885" s="5"/>
      <c r="DS885" s="5"/>
      <c r="DT885" s="5"/>
      <c r="DU885" s="5"/>
      <c r="DV885" s="5"/>
      <c r="DW885" s="5"/>
      <c r="DX885" s="5"/>
      <c r="DY885" s="5"/>
      <c r="DZ885" s="5"/>
      <c r="EA885" s="5"/>
      <c r="EB885" s="5"/>
      <c r="EC885" s="5"/>
      <c r="ED885" s="5"/>
      <c r="EE885" s="5"/>
    </row>
    <row r="886" spans="1:135" ht="30" customHeight="1" thickBot="1" x14ac:dyDescent="0.3">
      <c r="A886" s="578" t="s">
        <v>6783</v>
      </c>
      <c r="B886" s="51">
        <v>16774</v>
      </c>
      <c r="C886" s="72" t="s">
        <v>6781</v>
      </c>
      <c r="D886" s="140" t="s">
        <v>24</v>
      </c>
      <c r="E886" s="11" t="s">
        <v>25</v>
      </c>
      <c r="F886" s="20" t="s">
        <v>6782</v>
      </c>
      <c r="G886" s="15" t="s">
        <v>889</v>
      </c>
      <c r="H886" s="22" t="s">
        <v>6068</v>
      </c>
      <c r="I886" s="24" t="s">
        <v>135</v>
      </c>
      <c r="J886" s="24" t="s">
        <v>32</v>
      </c>
      <c r="K886" s="23" t="s">
        <v>6784</v>
      </c>
      <c r="L886" s="25" t="str">
        <f>"RUTL-"&amp;RIGHT(K886,8)</f>
        <v>RUTL-PW0K0DA9</v>
      </c>
      <c r="M886" s="34" t="s">
        <v>40</v>
      </c>
      <c r="N886" s="23" t="s">
        <v>54</v>
      </c>
      <c r="O886" s="94"/>
      <c r="P886" s="45" t="s">
        <v>46</v>
      </c>
      <c r="Q886" s="35" t="s">
        <v>6785</v>
      </c>
      <c r="R886" s="15" t="s">
        <v>56</v>
      </c>
      <c r="S886" s="37" t="s">
        <v>57</v>
      </c>
      <c r="T886" s="274" t="s">
        <v>58</v>
      </c>
      <c r="U886" s="39" t="s">
        <v>5842</v>
      </c>
      <c r="V886" s="43">
        <v>46122</v>
      </c>
      <c r="W886" s="32" t="s">
        <v>62</v>
      </c>
      <c r="X886" s="71"/>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c r="DJ886" s="5"/>
      <c r="DK886" s="5"/>
      <c r="DL886" s="5"/>
      <c r="DM886" s="5"/>
      <c r="DN886" s="5"/>
      <c r="DO886" s="5"/>
      <c r="DP886" s="5"/>
      <c r="DQ886" s="5"/>
      <c r="DR886" s="5"/>
      <c r="DS886" s="5"/>
      <c r="DT886" s="5"/>
      <c r="DU886" s="5"/>
      <c r="DV886" s="5"/>
      <c r="DW886" s="5"/>
      <c r="DX886" s="5"/>
      <c r="DY886" s="5"/>
      <c r="DZ886" s="5"/>
      <c r="EA886" s="5"/>
      <c r="EB886" s="5"/>
      <c r="EC886" s="5"/>
      <c r="ED886" s="5"/>
      <c r="EE886" s="5"/>
    </row>
    <row r="887" spans="1:135" ht="30" customHeight="1" thickBot="1" x14ac:dyDescent="0.3">
      <c r="A887" s="578" t="s">
        <v>6868</v>
      </c>
      <c r="B887" s="51">
        <v>16873</v>
      </c>
      <c r="C887" s="52" t="s">
        <v>6866</v>
      </c>
      <c r="D887" s="140" t="s">
        <v>24</v>
      </c>
      <c r="E887" s="28" t="s">
        <v>25</v>
      </c>
      <c r="F887" s="20" t="s">
        <v>6867</v>
      </c>
      <c r="G887" s="15" t="s">
        <v>889</v>
      </c>
      <c r="H887" s="22" t="s">
        <v>6068</v>
      </c>
      <c r="I887" s="18" t="s">
        <v>135</v>
      </c>
      <c r="J887" s="18" t="s">
        <v>32</v>
      </c>
      <c r="K887" s="23" t="s">
        <v>6869</v>
      </c>
      <c r="L887" s="25" t="str">
        <f>"RUTL-"&amp;RIGHT(K887,8)</f>
        <v>RUTL-PW0K0DWK</v>
      </c>
      <c r="M887" s="34" t="s">
        <v>40</v>
      </c>
      <c r="N887" s="23" t="s">
        <v>54</v>
      </c>
      <c r="O887" s="94"/>
      <c r="P887" s="45" t="s">
        <v>46</v>
      </c>
      <c r="Q887" s="35" t="s">
        <v>6870</v>
      </c>
      <c r="R887" s="15" t="s">
        <v>56</v>
      </c>
      <c r="S887" s="37" t="s">
        <v>57</v>
      </c>
      <c r="T887" s="105" t="s">
        <v>148</v>
      </c>
      <c r="U887" s="39" t="s">
        <v>2530</v>
      </c>
      <c r="V887" s="43">
        <v>46122</v>
      </c>
      <c r="W887" s="32" t="s">
        <v>62</v>
      </c>
      <c r="X887" s="71"/>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c r="DG887" s="5"/>
      <c r="DH887" s="5"/>
      <c r="DI887" s="5"/>
      <c r="DJ887" s="5"/>
      <c r="DK887" s="5"/>
      <c r="DL887" s="5"/>
      <c r="DM887" s="5"/>
      <c r="DN887" s="5"/>
      <c r="DO887" s="5"/>
      <c r="DP887" s="5"/>
      <c r="DQ887" s="5"/>
      <c r="DR887" s="5"/>
      <c r="DS887" s="5"/>
      <c r="DT887" s="5"/>
      <c r="DU887" s="5"/>
      <c r="DV887" s="5"/>
      <c r="DW887" s="5"/>
      <c r="DX887" s="5"/>
      <c r="DY887" s="5"/>
      <c r="DZ887" s="5"/>
      <c r="EA887" s="5"/>
      <c r="EB887" s="5"/>
      <c r="EC887" s="5"/>
      <c r="ED887" s="5"/>
      <c r="EE887" s="5"/>
    </row>
    <row r="888" spans="1:135" ht="30" customHeight="1" thickBot="1" x14ac:dyDescent="0.3">
      <c r="A888" s="578" t="s">
        <v>7382</v>
      </c>
      <c r="B888" s="51">
        <v>18531</v>
      </c>
      <c r="C888" s="72" t="s">
        <v>7379</v>
      </c>
      <c r="D888" s="140" t="s">
        <v>24</v>
      </c>
      <c r="E888" s="11" t="s">
        <v>25</v>
      </c>
      <c r="F888" s="20" t="s">
        <v>7380</v>
      </c>
      <c r="G888" s="15" t="s">
        <v>606</v>
      </c>
      <c r="H888" s="22" t="s">
        <v>7381</v>
      </c>
      <c r="I888" s="205" t="s">
        <v>135</v>
      </c>
      <c r="J888" s="24" t="s">
        <v>32</v>
      </c>
      <c r="K888" s="23" t="s">
        <v>7383</v>
      </c>
      <c r="L888" s="21" t="str">
        <f>"RUTL-"&amp;RIGHT(K888,8)</f>
        <v>RUTL-PW0K0DQJ</v>
      </c>
      <c r="M888" s="34"/>
      <c r="N888" s="23" t="s">
        <v>54</v>
      </c>
      <c r="O888" s="94"/>
      <c r="P888" s="45" t="s">
        <v>46</v>
      </c>
      <c r="Q888" s="35" t="s">
        <v>7384</v>
      </c>
      <c r="R888" s="15" t="s">
        <v>56</v>
      </c>
      <c r="S888" s="37" t="s">
        <v>57</v>
      </c>
      <c r="T888" s="183" t="s">
        <v>675</v>
      </c>
      <c r="U888" s="23" t="s">
        <v>4760</v>
      </c>
      <c r="V888" s="43">
        <v>46122</v>
      </c>
      <c r="W888" s="32" t="s">
        <v>62</v>
      </c>
      <c r="X888" s="71"/>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c r="DJ888" s="5"/>
      <c r="DK888" s="5"/>
      <c r="DL888" s="5"/>
      <c r="DM888" s="5"/>
      <c r="DN888" s="5"/>
      <c r="DO888" s="5"/>
      <c r="DP888" s="5"/>
      <c r="DQ888" s="5"/>
      <c r="DR888" s="5"/>
      <c r="DS888" s="5"/>
      <c r="DT888" s="5"/>
      <c r="DU888" s="5"/>
      <c r="DV888" s="5"/>
      <c r="DW888" s="5"/>
      <c r="DX888" s="5"/>
      <c r="DY888" s="5"/>
      <c r="DZ888" s="5"/>
      <c r="EA888" s="5"/>
      <c r="EB888" s="5"/>
      <c r="EC888" s="5"/>
      <c r="ED888" s="5"/>
      <c r="EE888" s="5"/>
    </row>
    <row r="889" spans="1:135" ht="30" customHeight="1" thickBot="1" x14ac:dyDescent="0.3">
      <c r="A889" s="578" t="s">
        <v>6313</v>
      </c>
      <c r="B889" s="51">
        <v>15621</v>
      </c>
      <c r="C889" s="72" t="s">
        <v>6311</v>
      </c>
      <c r="D889" s="140" t="s">
        <v>24</v>
      </c>
      <c r="E889" s="11" t="s">
        <v>25</v>
      </c>
      <c r="F889" s="20" t="s">
        <v>6312</v>
      </c>
      <c r="G889" s="15" t="s">
        <v>4580</v>
      </c>
      <c r="H889" s="22" t="s">
        <v>2754</v>
      </c>
      <c r="I889" s="18" t="s">
        <v>48</v>
      </c>
      <c r="J889" s="18" t="s">
        <v>49</v>
      </c>
      <c r="K889" s="385" t="s">
        <v>6314</v>
      </c>
      <c r="L889" s="25" t="str">
        <f>"RUTL-"&amp;RIGHT(K889,8)</f>
        <v>RUTL-1A906N02</v>
      </c>
      <c r="M889" s="34" t="s">
        <v>40</v>
      </c>
      <c r="N889" s="39" t="s">
        <v>54</v>
      </c>
      <c r="O889" s="23"/>
      <c r="P889" s="35" t="s">
        <v>46</v>
      </c>
      <c r="Q889" s="35" t="s">
        <v>6315</v>
      </c>
      <c r="R889" s="15" t="s">
        <v>56</v>
      </c>
      <c r="S889" s="37" t="s">
        <v>57</v>
      </c>
      <c r="T889" s="107" t="s">
        <v>453</v>
      </c>
      <c r="U889" s="39" t="s">
        <v>5802</v>
      </c>
      <c r="V889" s="48">
        <v>46111</v>
      </c>
      <c r="W889" s="23" t="s">
        <v>67</v>
      </c>
      <c r="X889" s="71"/>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c r="DE889" s="5"/>
      <c r="DF889" s="5"/>
      <c r="DG889" s="5"/>
      <c r="DH889" s="5"/>
      <c r="DI889" s="5"/>
      <c r="DJ889" s="5"/>
      <c r="DK889" s="5"/>
      <c r="DL889" s="5"/>
      <c r="DM889" s="5"/>
      <c r="DN889" s="5"/>
      <c r="DO889" s="5"/>
      <c r="DP889" s="5"/>
      <c r="DQ889" s="5"/>
      <c r="DR889" s="5"/>
      <c r="DS889" s="5"/>
      <c r="DT889" s="5"/>
      <c r="DU889" s="5"/>
      <c r="DV889" s="5"/>
      <c r="DW889" s="5"/>
      <c r="DX889" s="5"/>
      <c r="DY889" s="5"/>
      <c r="DZ889" s="5"/>
      <c r="EA889" s="5"/>
      <c r="EB889" s="5"/>
      <c r="EC889" s="5"/>
      <c r="ED889" s="5"/>
      <c r="EE889" s="5"/>
    </row>
    <row r="890" spans="1:135" ht="30" customHeight="1" thickBot="1" x14ac:dyDescent="0.3">
      <c r="A890" s="578" t="s">
        <v>6273</v>
      </c>
      <c r="B890" s="51">
        <v>15575</v>
      </c>
      <c r="C890" s="72" t="s">
        <v>6271</v>
      </c>
      <c r="D890" s="10" t="s">
        <v>24</v>
      </c>
      <c r="E890" s="28" t="s">
        <v>25</v>
      </c>
      <c r="F890" s="20" t="s">
        <v>6272</v>
      </c>
      <c r="G890" s="59" t="s">
        <v>4580</v>
      </c>
      <c r="H890" s="31" t="s">
        <v>2646</v>
      </c>
      <c r="I890" s="142" t="s">
        <v>48</v>
      </c>
      <c r="J890" s="18" t="s">
        <v>49</v>
      </c>
      <c r="K890" s="23" t="s">
        <v>6274</v>
      </c>
      <c r="L890" s="25" t="str">
        <f>"RUTL-"&amp;RIGHT(K890,8)</f>
        <v>RUTL-1AB16N02</v>
      </c>
      <c r="M890" s="34" t="s">
        <v>40</v>
      </c>
      <c r="N890" s="39" t="s">
        <v>54</v>
      </c>
      <c r="O890" s="23"/>
      <c r="P890" s="45" t="s">
        <v>46</v>
      </c>
      <c r="Q890" s="327" t="s">
        <v>6275</v>
      </c>
      <c r="R890" s="15" t="s">
        <v>56</v>
      </c>
      <c r="S890" s="40" t="s">
        <v>57</v>
      </c>
      <c r="T890" s="105" t="s">
        <v>148</v>
      </c>
      <c r="U890" s="39" t="s">
        <v>5802</v>
      </c>
      <c r="V890" s="82">
        <v>46111</v>
      </c>
      <c r="W890" s="23" t="s">
        <v>67</v>
      </c>
      <c r="X890" s="71"/>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c r="BO890" s="30"/>
      <c r="BP890" s="30"/>
      <c r="BQ890" s="30"/>
      <c r="BR890" s="30"/>
      <c r="BS890" s="30"/>
      <c r="BT890" s="30"/>
      <c r="BU890" s="30"/>
      <c r="BV890" s="30"/>
      <c r="BW890" s="30"/>
      <c r="BX890" s="30"/>
      <c r="BY890" s="30"/>
      <c r="BZ890" s="30"/>
      <c r="CA890" s="30"/>
      <c r="CB890" s="30"/>
      <c r="CC890" s="30"/>
      <c r="CD890" s="30"/>
      <c r="CE890" s="30"/>
      <c r="CF890" s="30"/>
      <c r="CG890" s="30"/>
      <c r="CH890" s="30"/>
      <c r="CI890" s="30"/>
      <c r="CJ890" s="30"/>
      <c r="CK890" s="30"/>
      <c r="CL890" s="30"/>
      <c r="CM890" s="30"/>
      <c r="CN890" s="30"/>
      <c r="CO890" s="30"/>
      <c r="CP890" s="30"/>
      <c r="CQ890" s="30"/>
      <c r="CR890" s="30"/>
      <c r="CS890" s="30"/>
      <c r="CT890" s="30"/>
      <c r="CU890" s="30"/>
      <c r="CV890" s="30"/>
      <c r="CW890" s="30"/>
      <c r="CX890" s="30"/>
      <c r="CY890" s="30"/>
      <c r="CZ890" s="30"/>
      <c r="DA890" s="30"/>
      <c r="DB890" s="30"/>
      <c r="DC890" s="30"/>
      <c r="DD890" s="30"/>
      <c r="DE890" s="30"/>
      <c r="DF890" s="30"/>
      <c r="DG890" s="30"/>
      <c r="DH890" s="30"/>
      <c r="DI890" s="30"/>
      <c r="DJ890" s="30"/>
      <c r="DK890" s="30"/>
      <c r="DL890" s="30"/>
      <c r="DM890" s="30"/>
      <c r="DN890" s="30"/>
      <c r="DO890" s="30"/>
      <c r="DP890" s="30"/>
      <c r="DQ890" s="30"/>
      <c r="DR890" s="30"/>
      <c r="DS890" s="30"/>
      <c r="DT890" s="30"/>
      <c r="DU890" s="30"/>
      <c r="DV890" s="30"/>
      <c r="DW890" s="30"/>
      <c r="DX890" s="30"/>
      <c r="DY890" s="30"/>
      <c r="DZ890" s="30"/>
      <c r="EA890" s="30"/>
      <c r="EB890" s="30"/>
      <c r="EC890" s="30"/>
      <c r="ED890" s="30"/>
      <c r="EE890" s="30"/>
    </row>
    <row r="891" spans="1:135" ht="30" customHeight="1" thickBot="1" x14ac:dyDescent="0.3">
      <c r="A891" s="578" t="s">
        <v>6847</v>
      </c>
      <c r="B891" s="51">
        <v>16863</v>
      </c>
      <c r="C891" s="52" t="s">
        <v>6844</v>
      </c>
      <c r="D891" s="140" t="s">
        <v>24</v>
      </c>
      <c r="E891" s="28" t="s">
        <v>25</v>
      </c>
      <c r="F891" s="12" t="s">
        <v>6845</v>
      </c>
      <c r="G891" s="59" t="s">
        <v>6846</v>
      </c>
      <c r="H891" s="22" t="s">
        <v>4568</v>
      </c>
      <c r="I891" s="142" t="s">
        <v>48</v>
      </c>
      <c r="J891" s="18" t="s">
        <v>49</v>
      </c>
      <c r="K891" s="340" t="s">
        <v>6848</v>
      </c>
      <c r="L891" s="25" t="str">
        <f>"RUTL-"&amp;RIGHT(K891,8)</f>
        <v>RUTL-1A5C6N02</v>
      </c>
      <c r="M891" s="34" t="s">
        <v>40</v>
      </c>
      <c r="N891" s="23" t="s">
        <v>54</v>
      </c>
      <c r="O891" s="23"/>
      <c r="P891" s="45" t="s">
        <v>46</v>
      </c>
      <c r="Q891" s="35" t="s">
        <v>6849</v>
      </c>
      <c r="R891" s="15" t="s">
        <v>56</v>
      </c>
      <c r="S891" s="40" t="s">
        <v>180</v>
      </c>
      <c r="T891" s="105" t="s">
        <v>148</v>
      </c>
      <c r="U891" s="39" t="s">
        <v>6850</v>
      </c>
      <c r="V891" s="82">
        <v>46111</v>
      </c>
      <c r="W891" s="23" t="s">
        <v>67</v>
      </c>
      <c r="X891" s="71"/>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c r="BO891" s="30"/>
      <c r="BP891" s="30"/>
      <c r="BQ891" s="30"/>
      <c r="BR891" s="30"/>
      <c r="BS891" s="30"/>
      <c r="BT891" s="30"/>
      <c r="BU891" s="30"/>
      <c r="BV891" s="30"/>
      <c r="BW891" s="30"/>
      <c r="BX891" s="30"/>
      <c r="BY891" s="30"/>
      <c r="BZ891" s="30"/>
      <c r="CA891" s="30"/>
      <c r="CB891" s="30"/>
      <c r="CC891" s="30"/>
      <c r="CD891" s="30"/>
      <c r="CE891" s="30"/>
      <c r="CF891" s="30"/>
      <c r="CG891" s="30"/>
      <c r="CH891" s="30"/>
      <c r="CI891" s="30"/>
      <c r="CJ891" s="30"/>
      <c r="CK891" s="30"/>
      <c r="CL891" s="30"/>
      <c r="CM891" s="30"/>
      <c r="CN891" s="30"/>
      <c r="CO891" s="30"/>
      <c r="CP891" s="30"/>
      <c r="CQ891" s="30"/>
      <c r="CR891" s="30"/>
      <c r="CS891" s="30"/>
      <c r="CT891" s="30"/>
      <c r="CU891" s="30"/>
      <c r="CV891" s="30"/>
      <c r="CW891" s="30"/>
      <c r="CX891" s="30"/>
      <c r="CY891" s="30"/>
      <c r="CZ891" s="30"/>
      <c r="DA891" s="30"/>
      <c r="DB891" s="30"/>
      <c r="DC891" s="30"/>
      <c r="DD891" s="30"/>
      <c r="DE891" s="30"/>
      <c r="DF891" s="30"/>
      <c r="DG891" s="30"/>
      <c r="DH891" s="30"/>
      <c r="DI891" s="30"/>
      <c r="DJ891" s="30"/>
      <c r="DK891" s="30"/>
      <c r="DL891" s="30"/>
      <c r="DM891" s="30"/>
      <c r="DN891" s="30"/>
      <c r="DO891" s="30"/>
      <c r="DP891" s="30"/>
      <c r="DQ891" s="30"/>
      <c r="DR891" s="30"/>
      <c r="DS891" s="30"/>
      <c r="DT891" s="30"/>
      <c r="DU891" s="30"/>
      <c r="DV891" s="30"/>
      <c r="DW891" s="30"/>
      <c r="DX891" s="30"/>
      <c r="DY891" s="30"/>
      <c r="DZ891" s="30"/>
      <c r="EA891" s="30"/>
      <c r="EB891" s="30"/>
      <c r="EC891" s="30"/>
      <c r="ED891" s="30"/>
      <c r="EE891" s="30"/>
    </row>
    <row r="892" spans="1:135" ht="30" customHeight="1" thickBot="1" x14ac:dyDescent="0.3">
      <c r="A892" s="578" t="s">
        <v>6580</v>
      </c>
      <c r="B892" s="51">
        <v>16205</v>
      </c>
      <c r="C892" s="72" t="s">
        <v>6578</v>
      </c>
      <c r="D892" s="10" t="s">
        <v>24</v>
      </c>
      <c r="E892" s="28" t="s">
        <v>25</v>
      </c>
      <c r="F892" s="12" t="s">
        <v>6579</v>
      </c>
      <c r="G892" s="15" t="s">
        <v>2390</v>
      </c>
      <c r="H892" s="22" t="s">
        <v>4568</v>
      </c>
      <c r="I892" s="18" t="s">
        <v>48</v>
      </c>
      <c r="J892" s="18" t="s">
        <v>49</v>
      </c>
      <c r="K892" s="23" t="s">
        <v>6581</v>
      </c>
      <c r="L892" s="25" t="str">
        <f>"RUTL-"&amp;RIGHT(K892,8)</f>
        <v>RUTL-1A8C6N02</v>
      </c>
      <c r="M892" s="34" t="s">
        <v>40</v>
      </c>
      <c r="N892" s="39" t="s">
        <v>54</v>
      </c>
      <c r="O892" s="32"/>
      <c r="P892" s="45" t="s">
        <v>46</v>
      </c>
      <c r="Q892" s="35" t="s">
        <v>6582</v>
      </c>
      <c r="R892" s="15" t="s">
        <v>56</v>
      </c>
      <c r="S892" s="40" t="s">
        <v>57</v>
      </c>
      <c r="T892" s="105" t="s">
        <v>148</v>
      </c>
      <c r="U892" s="39" t="s">
        <v>5802</v>
      </c>
      <c r="V892" s="48">
        <v>46111</v>
      </c>
      <c r="W892" s="23" t="s">
        <v>67</v>
      </c>
      <c r="X892" s="71"/>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c r="DJ892" s="5"/>
      <c r="DK892" s="5"/>
      <c r="DL892" s="5"/>
      <c r="DM892" s="5"/>
      <c r="DN892" s="5"/>
      <c r="DO892" s="5"/>
      <c r="DP892" s="5"/>
      <c r="DQ892" s="5"/>
      <c r="DR892" s="5"/>
      <c r="DS892" s="5"/>
      <c r="DT892" s="5"/>
      <c r="DU892" s="5"/>
      <c r="DV892" s="5"/>
      <c r="DW892" s="5"/>
      <c r="DX892" s="5"/>
      <c r="DY892" s="5"/>
      <c r="DZ892" s="5"/>
      <c r="EA892" s="5"/>
      <c r="EB892" s="5"/>
      <c r="EC892" s="5"/>
      <c r="ED892" s="5"/>
      <c r="EE892" s="5"/>
    </row>
    <row r="893" spans="1:135" ht="30" customHeight="1" thickBot="1" x14ac:dyDescent="0.3">
      <c r="A893" s="578" t="s">
        <v>3175</v>
      </c>
      <c r="B893" s="51">
        <v>2989</v>
      </c>
      <c r="C893" s="52" t="s">
        <v>3173</v>
      </c>
      <c r="D893" s="140" t="s">
        <v>24</v>
      </c>
      <c r="E893" s="28" t="s">
        <v>25</v>
      </c>
      <c r="F893" s="20" t="s">
        <v>3174</v>
      </c>
      <c r="G893" s="15" t="s">
        <v>3162</v>
      </c>
      <c r="H893" s="22" t="s">
        <v>1454</v>
      </c>
      <c r="I893" s="54" t="s">
        <v>48</v>
      </c>
      <c r="J893" s="18" t="s">
        <v>49</v>
      </c>
      <c r="K893" s="33" t="s">
        <v>3176</v>
      </c>
      <c r="L893" s="25" t="str">
        <f>"RUTL-"&amp;RIGHT(K893,8)</f>
        <v>RUTL-1A526N02</v>
      </c>
      <c r="M893" s="34" t="s">
        <v>40</v>
      </c>
      <c r="N893" s="23" t="s">
        <v>54</v>
      </c>
      <c r="O893" s="23"/>
      <c r="P893" s="45" t="s">
        <v>46</v>
      </c>
      <c r="Q893" s="35" t="s">
        <v>3177</v>
      </c>
      <c r="R893" s="15" t="s">
        <v>56</v>
      </c>
      <c r="S893" s="37" t="s">
        <v>57</v>
      </c>
      <c r="T893" s="105" t="s">
        <v>148</v>
      </c>
      <c r="U893" s="39" t="s">
        <v>2530</v>
      </c>
      <c r="V893" s="48">
        <v>46111</v>
      </c>
      <c r="W893" s="23" t="s">
        <v>67</v>
      </c>
      <c r="X893" s="71"/>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row>
    <row r="894" spans="1:135" ht="30" customHeight="1" thickBot="1" x14ac:dyDescent="0.3">
      <c r="A894" s="578" t="s">
        <v>5357</v>
      </c>
      <c r="B894" s="51">
        <v>12672</v>
      </c>
      <c r="C894" s="72" t="s">
        <v>5354</v>
      </c>
      <c r="D894" s="10" t="s">
        <v>24</v>
      </c>
      <c r="E894" s="11" t="s">
        <v>25</v>
      </c>
      <c r="F894" s="20" t="s">
        <v>5355</v>
      </c>
      <c r="G894" s="15" t="s">
        <v>5356</v>
      </c>
      <c r="H894" s="24" t="s">
        <v>2210</v>
      </c>
      <c r="I894" s="24" t="s">
        <v>135</v>
      </c>
      <c r="J894" s="24" t="s">
        <v>32</v>
      </c>
      <c r="K894" s="23" t="s">
        <v>5358</v>
      </c>
      <c r="L894" s="25" t="str">
        <f>"RUTL-"&amp;RIGHT(K894,8)</f>
        <v>RUTL-PW0K0DJV</v>
      </c>
      <c r="M894" s="34" t="s">
        <v>40</v>
      </c>
      <c r="N894" s="39" t="s">
        <v>414</v>
      </c>
      <c r="O894" s="39" t="s">
        <v>5359</v>
      </c>
      <c r="P894" s="45" t="s">
        <v>46</v>
      </c>
      <c r="Q894" s="35" t="s">
        <v>5360</v>
      </c>
      <c r="R894" s="15" t="s">
        <v>56</v>
      </c>
      <c r="S894" s="37" t="s">
        <v>57</v>
      </c>
      <c r="T894" s="274" t="s">
        <v>58</v>
      </c>
      <c r="U894" s="39" t="s">
        <v>5361</v>
      </c>
      <c r="V894" s="43">
        <v>46122</v>
      </c>
      <c r="W894" s="32" t="s">
        <v>62</v>
      </c>
      <c r="X894" s="71"/>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c r="DJ894" s="5"/>
      <c r="DK894" s="5"/>
      <c r="DL894" s="5"/>
      <c r="DM894" s="5"/>
      <c r="DN894" s="5"/>
      <c r="DO894" s="5"/>
      <c r="DP894" s="5"/>
      <c r="DQ894" s="5"/>
      <c r="DR894" s="5"/>
      <c r="DS894" s="5"/>
      <c r="DT894" s="5"/>
      <c r="DU894" s="5"/>
      <c r="DV894" s="5"/>
      <c r="DW894" s="5"/>
      <c r="DX894" s="5"/>
      <c r="DY894" s="5"/>
      <c r="DZ894" s="5"/>
      <c r="EA894" s="5"/>
      <c r="EB894" s="5"/>
      <c r="EC894" s="5"/>
      <c r="ED894" s="5"/>
      <c r="EE894" s="5"/>
    </row>
    <row r="895" spans="1:135" ht="30" customHeight="1" thickBot="1" x14ac:dyDescent="0.3">
      <c r="A895" s="578" t="s">
        <v>4022</v>
      </c>
      <c r="B895" s="51">
        <v>6841</v>
      </c>
      <c r="C895" s="52" t="s">
        <v>4019</v>
      </c>
      <c r="D895" s="140" t="s">
        <v>24</v>
      </c>
      <c r="E895" s="11" t="s">
        <v>25</v>
      </c>
      <c r="F895" s="20" t="s">
        <v>4020</v>
      </c>
      <c r="G895" s="15" t="s">
        <v>4021</v>
      </c>
      <c r="H895" s="147" t="s">
        <v>1882</v>
      </c>
      <c r="I895" s="296" t="s">
        <v>135</v>
      </c>
      <c r="J895" s="24" t="s">
        <v>32</v>
      </c>
      <c r="K895" s="250" t="s">
        <v>4023</v>
      </c>
      <c r="L895" s="25" t="str">
        <f>"RUTL-"&amp;RIGHT(K895,8)</f>
        <v>RUTL-PW0K0D8C</v>
      </c>
      <c r="M895" s="511" t="s">
        <v>40</v>
      </c>
      <c r="N895" s="23" t="s">
        <v>54</v>
      </c>
      <c r="O895" s="94"/>
      <c r="P895" s="45" t="s">
        <v>46</v>
      </c>
      <c r="Q895" s="35" t="s">
        <v>4024</v>
      </c>
      <c r="R895" s="15" t="s">
        <v>56</v>
      </c>
      <c r="S895" s="37" t="s">
        <v>57</v>
      </c>
      <c r="T895" s="41" t="s">
        <v>65</v>
      </c>
      <c r="U895" s="39" t="s">
        <v>4025</v>
      </c>
      <c r="V895" s="270">
        <v>46122</v>
      </c>
      <c r="W895" s="32" t="s">
        <v>62</v>
      </c>
      <c r="X895" s="71"/>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c r="BO895" s="30"/>
      <c r="BP895" s="30"/>
      <c r="BQ895" s="30"/>
      <c r="BR895" s="30"/>
      <c r="BS895" s="30"/>
      <c r="BT895" s="30"/>
      <c r="BU895" s="30"/>
      <c r="BV895" s="30"/>
      <c r="BW895" s="30"/>
      <c r="BX895" s="30"/>
      <c r="BY895" s="30"/>
      <c r="BZ895" s="30"/>
      <c r="CA895" s="30"/>
      <c r="CB895" s="30"/>
      <c r="CC895" s="30"/>
      <c r="CD895" s="30"/>
      <c r="CE895" s="30"/>
      <c r="CF895" s="30"/>
      <c r="CG895" s="30"/>
      <c r="CH895" s="30"/>
      <c r="CI895" s="30"/>
      <c r="CJ895" s="30"/>
      <c r="CK895" s="30"/>
      <c r="CL895" s="30"/>
      <c r="CM895" s="30"/>
      <c r="CN895" s="30"/>
      <c r="CO895" s="30"/>
      <c r="CP895" s="30"/>
      <c r="CQ895" s="30"/>
      <c r="CR895" s="30"/>
      <c r="CS895" s="30"/>
      <c r="CT895" s="30"/>
      <c r="CU895" s="30"/>
      <c r="CV895" s="30"/>
      <c r="CW895" s="30"/>
      <c r="CX895" s="30"/>
      <c r="CY895" s="30"/>
      <c r="CZ895" s="30"/>
      <c r="DA895" s="30"/>
      <c r="DB895" s="30"/>
      <c r="DC895" s="30"/>
      <c r="DD895" s="30"/>
      <c r="DE895" s="30"/>
      <c r="DF895" s="30"/>
      <c r="DG895" s="30"/>
      <c r="DH895" s="30"/>
      <c r="DI895" s="30"/>
      <c r="DJ895" s="30"/>
      <c r="DK895" s="30"/>
      <c r="DL895" s="30"/>
      <c r="DM895" s="30"/>
      <c r="DN895" s="30"/>
      <c r="DO895" s="30"/>
      <c r="DP895" s="30"/>
      <c r="DQ895" s="30"/>
      <c r="DR895" s="30"/>
      <c r="DS895" s="30"/>
      <c r="DT895" s="30"/>
      <c r="DU895" s="30"/>
      <c r="DV895" s="30"/>
      <c r="DW895" s="30"/>
      <c r="DX895" s="30"/>
      <c r="DY895" s="30"/>
      <c r="DZ895" s="30"/>
      <c r="EA895" s="30"/>
      <c r="EB895" s="30"/>
      <c r="EC895" s="30"/>
      <c r="ED895" s="30"/>
      <c r="EE895" s="30"/>
    </row>
    <row r="896" spans="1:135" ht="30" customHeight="1" thickBot="1" x14ac:dyDescent="0.3">
      <c r="A896" s="578" t="s">
        <v>6747</v>
      </c>
      <c r="B896" s="51">
        <v>16641</v>
      </c>
      <c r="C896" s="231" t="s">
        <v>6745</v>
      </c>
      <c r="D896" s="10" t="s">
        <v>24</v>
      </c>
      <c r="E896" s="28" t="s">
        <v>25</v>
      </c>
      <c r="F896" s="20" t="s">
        <v>6746</v>
      </c>
      <c r="G896" s="15" t="s">
        <v>5614</v>
      </c>
      <c r="H896" s="291" t="s">
        <v>3268</v>
      </c>
      <c r="I896" s="24" t="s">
        <v>135</v>
      </c>
      <c r="J896" s="24" t="s">
        <v>32</v>
      </c>
      <c r="K896" s="33" t="s">
        <v>6748</v>
      </c>
      <c r="L896" s="25" t="str">
        <f>"RUTL-"&amp;RIGHT(K896,8)</f>
        <v>RUTL-PW0K0DXP</v>
      </c>
      <c r="M896" s="34" t="s">
        <v>40</v>
      </c>
      <c r="N896" s="39" t="s">
        <v>5830</v>
      </c>
      <c r="O896" s="39" t="s">
        <v>6749</v>
      </c>
      <c r="P896" s="45" t="s">
        <v>46</v>
      </c>
      <c r="Q896" s="35" t="s">
        <v>6750</v>
      </c>
      <c r="R896" s="15" t="s">
        <v>56</v>
      </c>
      <c r="S896" s="40" t="s">
        <v>57</v>
      </c>
      <c r="T896" s="118" t="s">
        <v>65</v>
      </c>
      <c r="U896" s="39" t="s">
        <v>6406</v>
      </c>
      <c r="V896" s="43">
        <v>46122</v>
      </c>
      <c r="W896" s="32" t="s">
        <v>62</v>
      </c>
      <c r="X896" s="71"/>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c r="DJ896" s="5"/>
      <c r="DK896" s="5"/>
      <c r="DL896" s="5"/>
      <c r="DM896" s="5"/>
      <c r="DN896" s="5"/>
      <c r="DO896" s="5"/>
      <c r="DP896" s="5"/>
      <c r="DQ896" s="5"/>
      <c r="DR896" s="5"/>
      <c r="DS896" s="5"/>
      <c r="DT896" s="5"/>
      <c r="DU896" s="5"/>
      <c r="DV896" s="5"/>
      <c r="DW896" s="5"/>
      <c r="DX896" s="5"/>
      <c r="DY896" s="5"/>
      <c r="DZ896" s="5"/>
      <c r="EA896" s="5"/>
      <c r="EB896" s="5"/>
      <c r="EC896" s="5"/>
      <c r="ED896" s="5"/>
      <c r="EE896" s="5"/>
    </row>
    <row r="897" spans="1:135" ht="30" customHeight="1" thickBot="1" x14ac:dyDescent="0.3">
      <c r="A897" s="578" t="s">
        <v>3771</v>
      </c>
      <c r="B897" s="51">
        <v>5553</v>
      </c>
      <c r="C897" s="50" t="s">
        <v>3769</v>
      </c>
      <c r="D897" s="140" t="s">
        <v>24</v>
      </c>
      <c r="E897" s="28" t="s">
        <v>25</v>
      </c>
      <c r="F897" s="12" t="s">
        <v>3770</v>
      </c>
      <c r="G897" s="15" t="s">
        <v>1622</v>
      </c>
      <c r="H897" s="119" t="s">
        <v>1071</v>
      </c>
      <c r="I897" s="24" t="s">
        <v>135</v>
      </c>
      <c r="J897" s="24" t="s">
        <v>32</v>
      </c>
      <c r="K897" s="33" t="s">
        <v>3772</v>
      </c>
      <c r="L897" s="25" t="str">
        <f>"RUTL-"&amp;RIGHT(K897,8)</f>
        <v>RUTL-PW0K0DBN</v>
      </c>
      <c r="M897" s="34" t="s">
        <v>40</v>
      </c>
      <c r="N897" s="23" t="s">
        <v>54</v>
      </c>
      <c r="O897" s="94"/>
      <c r="P897" s="45" t="s">
        <v>46</v>
      </c>
      <c r="Q897" s="35" t="s">
        <v>3773</v>
      </c>
      <c r="R897" s="15" t="s">
        <v>56</v>
      </c>
      <c r="S897" s="37" t="s">
        <v>57</v>
      </c>
      <c r="T897" s="274" t="s">
        <v>58</v>
      </c>
      <c r="U897" s="23" t="s">
        <v>3637</v>
      </c>
      <c r="V897" s="43">
        <v>46122</v>
      </c>
      <c r="W897" s="32" t="s">
        <v>62</v>
      </c>
      <c r="X897" s="71"/>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c r="DS897" s="5"/>
      <c r="DT897" s="5"/>
      <c r="DU897" s="5"/>
      <c r="DV897" s="5"/>
      <c r="DW897" s="5"/>
      <c r="DX897" s="5"/>
      <c r="DY897" s="5"/>
      <c r="DZ897" s="5"/>
      <c r="EA897" s="5"/>
      <c r="EB897" s="5"/>
      <c r="EC897" s="5"/>
      <c r="ED897" s="5"/>
      <c r="EE897" s="5"/>
    </row>
    <row r="898" spans="1:135" ht="30" customHeight="1" thickBot="1" x14ac:dyDescent="0.3">
      <c r="A898" s="578" t="s">
        <v>6949</v>
      </c>
      <c r="B898" s="51">
        <v>17083</v>
      </c>
      <c r="C898" s="72" t="s">
        <v>6947</v>
      </c>
      <c r="D898" s="10" t="s">
        <v>24</v>
      </c>
      <c r="E898" s="11" t="s">
        <v>25</v>
      </c>
      <c r="F898" s="20" t="s">
        <v>6948</v>
      </c>
      <c r="G898" s="15" t="s">
        <v>3745</v>
      </c>
      <c r="H898" s="119" t="s">
        <v>852</v>
      </c>
      <c r="I898" s="18" t="s">
        <v>135</v>
      </c>
      <c r="J898" s="18" t="s">
        <v>32</v>
      </c>
      <c r="K898" s="23" t="s">
        <v>6950</v>
      </c>
      <c r="L898" s="25" t="str">
        <f>"RUTL-"&amp;RIGHT(K898,8)</f>
        <v>RUTL-PW0K0DT9</v>
      </c>
      <c r="M898" s="34" t="s">
        <v>40</v>
      </c>
      <c r="N898" s="32" t="s">
        <v>54</v>
      </c>
      <c r="O898" s="94"/>
      <c r="P898" s="45" t="s">
        <v>46</v>
      </c>
      <c r="Q898" s="35" t="s">
        <v>6951</v>
      </c>
      <c r="R898" s="15" t="s">
        <v>56</v>
      </c>
      <c r="S898" s="37" t="s">
        <v>57</v>
      </c>
      <c r="T898" s="107" t="s">
        <v>453</v>
      </c>
      <c r="U898" s="39" t="s">
        <v>1676</v>
      </c>
      <c r="V898" s="43">
        <v>46122</v>
      </c>
      <c r="W898" s="32" t="s">
        <v>62</v>
      </c>
      <c r="X898" s="71"/>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c r="DE898" s="5"/>
      <c r="DF898" s="5"/>
      <c r="DG898" s="5"/>
      <c r="DH898" s="5"/>
      <c r="DI898" s="5"/>
      <c r="DJ898" s="5"/>
      <c r="DK898" s="5"/>
      <c r="DL898" s="5"/>
      <c r="DM898" s="5"/>
      <c r="DN898" s="5"/>
      <c r="DO898" s="5"/>
      <c r="DP898" s="5"/>
      <c r="DQ898" s="5"/>
      <c r="DR898" s="5"/>
      <c r="DS898" s="5"/>
      <c r="DT898" s="5"/>
      <c r="DU898" s="5"/>
      <c r="DV898" s="5"/>
      <c r="DW898" s="5"/>
      <c r="DX898" s="5"/>
      <c r="DY898" s="5"/>
      <c r="DZ898" s="5"/>
      <c r="EA898" s="5"/>
      <c r="EB898" s="5"/>
      <c r="EC898" s="5"/>
      <c r="ED898" s="5"/>
      <c r="EE898" s="5"/>
    </row>
    <row r="899" spans="1:135" ht="30" customHeight="1" thickBot="1" x14ac:dyDescent="0.35">
      <c r="A899" s="578" t="s">
        <v>1648</v>
      </c>
      <c r="B899" s="448" t="s">
        <v>1632</v>
      </c>
      <c r="C899" s="90" t="s">
        <v>1849</v>
      </c>
      <c r="D899" s="322" t="s">
        <v>1639</v>
      </c>
      <c r="E899" s="266" t="s">
        <v>25</v>
      </c>
      <c r="F899" s="29" t="s">
        <v>1643</v>
      </c>
      <c r="G899" s="15" t="s">
        <v>1645</v>
      </c>
      <c r="H899" s="295" t="s">
        <v>1646</v>
      </c>
      <c r="I899" s="205" t="s">
        <v>135</v>
      </c>
      <c r="J899" s="24" t="s">
        <v>32</v>
      </c>
      <c r="K899" s="23" t="s">
        <v>1670</v>
      </c>
      <c r="L899" s="25" t="str">
        <f>"RUTL-"&amp;RIGHT(K899,8)</f>
        <v>RUTL-PW0K0DPT</v>
      </c>
      <c r="M899" s="34" t="s">
        <v>40</v>
      </c>
      <c r="N899" s="32" t="s">
        <v>54</v>
      </c>
      <c r="O899" s="98"/>
      <c r="P899" s="45" t="s">
        <v>46</v>
      </c>
      <c r="Q899" s="35" t="s">
        <v>1675</v>
      </c>
      <c r="R899" s="15" t="s">
        <v>56</v>
      </c>
      <c r="S899" s="40" t="s">
        <v>57</v>
      </c>
      <c r="T899" s="105" t="s">
        <v>148</v>
      </c>
      <c r="U899" s="47" t="s">
        <v>1676</v>
      </c>
      <c r="V899" s="43">
        <v>46122</v>
      </c>
      <c r="W899" s="32" t="s">
        <v>62</v>
      </c>
      <c r="X899" s="30"/>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row>
    <row r="900" spans="1:135" ht="30" customHeight="1" thickBot="1" x14ac:dyDescent="0.3">
      <c r="A900" s="578" t="s">
        <v>1658</v>
      </c>
      <c r="B900" s="435" t="s">
        <v>1651</v>
      </c>
      <c r="C900" s="9" t="s">
        <v>1652</v>
      </c>
      <c r="D900" s="10" t="s">
        <v>24</v>
      </c>
      <c r="E900" s="11" t="s">
        <v>25</v>
      </c>
      <c r="F900" s="12" t="s">
        <v>1656</v>
      </c>
      <c r="G900" s="59" t="s">
        <v>1657</v>
      </c>
      <c r="H900" s="17" t="s">
        <v>1154</v>
      </c>
      <c r="I900" s="54" t="s">
        <v>38</v>
      </c>
      <c r="J900" s="24" t="s">
        <v>32</v>
      </c>
      <c r="K900" s="23" t="s">
        <v>1660</v>
      </c>
      <c r="L900" s="32" t="str">
        <f>"RUTL-"&amp;RIGHT(K900,8)</f>
        <v>RUTL-PW0K0DP7</v>
      </c>
      <c r="M900" s="34" t="s">
        <v>40</v>
      </c>
      <c r="N900" s="23" t="s">
        <v>54</v>
      </c>
      <c r="O900" s="98"/>
      <c r="P900" s="45" t="s">
        <v>46</v>
      </c>
      <c r="Q900" s="35" t="s">
        <v>1663</v>
      </c>
      <c r="R900" s="15" t="s">
        <v>56</v>
      </c>
      <c r="S900" s="37" t="s">
        <v>57</v>
      </c>
      <c r="T900" s="41" t="s">
        <v>271</v>
      </c>
      <c r="U900" s="47" t="s">
        <v>1665</v>
      </c>
      <c r="V900" s="43">
        <v>46122</v>
      </c>
      <c r="W900" s="32" t="s">
        <v>62</v>
      </c>
      <c r="X900" s="71"/>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c r="DE900" s="5"/>
      <c r="DF900" s="5"/>
      <c r="DG900" s="5"/>
      <c r="DH900" s="5"/>
      <c r="DI900" s="5"/>
      <c r="DJ900" s="5"/>
      <c r="DK900" s="5"/>
      <c r="DL900" s="5"/>
      <c r="DM900" s="5"/>
      <c r="DN900" s="5"/>
      <c r="DO900" s="5"/>
      <c r="DP900" s="5"/>
      <c r="DQ900" s="5"/>
      <c r="DR900" s="5"/>
      <c r="DS900" s="5"/>
      <c r="DT900" s="5"/>
      <c r="DU900" s="5"/>
      <c r="DV900" s="5"/>
      <c r="DW900" s="5"/>
      <c r="DX900" s="5"/>
      <c r="DY900" s="5"/>
      <c r="DZ900" s="5"/>
      <c r="EA900" s="5"/>
      <c r="EB900" s="5"/>
      <c r="EC900" s="5"/>
      <c r="ED900" s="5"/>
      <c r="EE900" s="5"/>
    </row>
    <row r="901" spans="1:135" ht="30" customHeight="1" thickBot="1" x14ac:dyDescent="0.3">
      <c r="A901" s="578" t="s">
        <v>1155</v>
      </c>
      <c r="B901" s="51">
        <v>471</v>
      </c>
      <c r="C901" s="72" t="s">
        <v>1150</v>
      </c>
      <c r="D901" s="10" t="s">
        <v>24</v>
      </c>
      <c r="E901" s="11" t="s">
        <v>25</v>
      </c>
      <c r="F901" s="29" t="s">
        <v>1152</v>
      </c>
      <c r="G901" s="15" t="s">
        <v>1153</v>
      </c>
      <c r="H901" s="206" t="s">
        <v>1154</v>
      </c>
      <c r="I901" s="24" t="s">
        <v>135</v>
      </c>
      <c r="J901" s="24" t="s">
        <v>32</v>
      </c>
      <c r="K901" s="23" t="s">
        <v>1158</v>
      </c>
      <c r="L901" s="25" t="str">
        <f>"RUTL-"&amp;RIGHT(K901,8)</f>
        <v>RUTL-PW0K0DBJ</v>
      </c>
      <c r="M901" s="34" t="s">
        <v>40</v>
      </c>
      <c r="N901" s="32" t="s">
        <v>54</v>
      </c>
      <c r="O901" s="94"/>
      <c r="P901" s="45" t="s">
        <v>46</v>
      </c>
      <c r="Q901" s="35" t="s">
        <v>1160</v>
      </c>
      <c r="R901" s="15" t="s">
        <v>56</v>
      </c>
      <c r="S901" s="37" t="s">
        <v>57</v>
      </c>
      <c r="T901" s="107" t="s">
        <v>453</v>
      </c>
      <c r="U901" s="23" t="s">
        <v>1162</v>
      </c>
      <c r="V901" s="43">
        <v>46122</v>
      </c>
      <c r="W901" s="32" t="s">
        <v>62</v>
      </c>
      <c r="X901" s="71"/>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c r="DE901" s="5"/>
      <c r="DF901" s="5"/>
      <c r="DG901" s="5"/>
      <c r="DH901" s="5"/>
      <c r="DI901" s="5"/>
      <c r="DJ901" s="5"/>
      <c r="DK901" s="5"/>
      <c r="DL901" s="5"/>
      <c r="DM901" s="5"/>
      <c r="DN901" s="5"/>
      <c r="DO901" s="5"/>
      <c r="DP901" s="5"/>
      <c r="DQ901" s="5"/>
      <c r="DR901" s="5"/>
      <c r="DS901" s="5"/>
      <c r="DT901" s="5"/>
      <c r="DU901" s="5"/>
      <c r="DV901" s="5"/>
      <c r="DW901" s="5"/>
      <c r="DX901" s="5"/>
      <c r="DY901" s="5"/>
      <c r="DZ901" s="5"/>
      <c r="EA901" s="5"/>
      <c r="EB901" s="5"/>
      <c r="EC901" s="5"/>
      <c r="ED901" s="5"/>
      <c r="EE901" s="5"/>
    </row>
    <row r="902" spans="1:135" ht="30" customHeight="1" thickBot="1" x14ac:dyDescent="0.3">
      <c r="A902" s="578" t="s">
        <v>6863</v>
      </c>
      <c r="B902" s="51">
        <v>16870</v>
      </c>
      <c r="C902" s="52" t="s">
        <v>6861</v>
      </c>
      <c r="D902" s="10" t="s">
        <v>24</v>
      </c>
      <c r="E902" s="11" t="s">
        <v>25</v>
      </c>
      <c r="F902" s="422" t="s">
        <v>6862</v>
      </c>
      <c r="G902" s="59" t="s">
        <v>1525</v>
      </c>
      <c r="H902" s="17" t="s">
        <v>682</v>
      </c>
      <c r="I902" s="142" t="s">
        <v>135</v>
      </c>
      <c r="J902" s="18" t="s">
        <v>32</v>
      </c>
      <c r="K902" s="23" t="s">
        <v>6864</v>
      </c>
      <c r="L902" s="25" t="str">
        <f>"RUTL-"&amp;RIGHT(K902,8)</f>
        <v>RUTL-PW0K0DZ7</v>
      </c>
      <c r="M902" s="34" t="s">
        <v>40</v>
      </c>
      <c r="N902" s="23" t="s">
        <v>54</v>
      </c>
      <c r="O902" s="94"/>
      <c r="P902" s="45" t="s">
        <v>46</v>
      </c>
      <c r="Q902" s="35" t="s">
        <v>6865</v>
      </c>
      <c r="R902" s="15" t="s">
        <v>56</v>
      </c>
      <c r="S902" s="37" t="s">
        <v>57</v>
      </c>
      <c r="T902" s="274" t="s">
        <v>58</v>
      </c>
      <c r="U902" s="39" t="s">
        <v>6388</v>
      </c>
      <c r="V902" s="270">
        <v>46122</v>
      </c>
      <c r="W902" s="32" t="s">
        <v>62</v>
      </c>
      <c r="X902" s="71"/>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0"/>
      <c r="BY902" s="30"/>
      <c r="BZ902" s="30"/>
      <c r="CA902" s="30"/>
      <c r="CB902" s="30"/>
      <c r="CC902" s="30"/>
      <c r="CD902" s="30"/>
      <c r="CE902" s="30"/>
      <c r="CF902" s="30"/>
      <c r="CG902" s="30"/>
      <c r="CH902" s="30"/>
      <c r="CI902" s="30"/>
      <c r="CJ902" s="30"/>
      <c r="CK902" s="30"/>
      <c r="CL902" s="30"/>
      <c r="CM902" s="30"/>
      <c r="CN902" s="30"/>
      <c r="CO902" s="30"/>
      <c r="CP902" s="30"/>
      <c r="CQ902" s="30"/>
      <c r="CR902" s="30"/>
      <c r="CS902" s="30"/>
      <c r="CT902" s="30"/>
      <c r="CU902" s="30"/>
      <c r="CV902" s="30"/>
      <c r="CW902" s="30"/>
      <c r="CX902" s="30"/>
      <c r="CY902" s="30"/>
      <c r="CZ902" s="30"/>
      <c r="DA902" s="30"/>
      <c r="DB902" s="30"/>
      <c r="DC902" s="30"/>
      <c r="DD902" s="30"/>
      <c r="DE902" s="30"/>
      <c r="DF902" s="30"/>
      <c r="DG902" s="30"/>
      <c r="DH902" s="30"/>
      <c r="DI902" s="30"/>
      <c r="DJ902" s="30"/>
      <c r="DK902" s="30"/>
      <c r="DL902" s="30"/>
      <c r="DM902" s="30"/>
      <c r="DN902" s="30"/>
      <c r="DO902" s="30"/>
      <c r="DP902" s="30"/>
      <c r="DQ902" s="30"/>
      <c r="DR902" s="30"/>
      <c r="DS902" s="30"/>
      <c r="DT902" s="30"/>
      <c r="DU902" s="30"/>
      <c r="DV902" s="30"/>
      <c r="DW902" s="30"/>
      <c r="DX902" s="30"/>
      <c r="DY902" s="30"/>
      <c r="DZ902" s="30"/>
      <c r="EA902" s="30"/>
      <c r="EB902" s="30"/>
      <c r="EC902" s="30"/>
      <c r="ED902" s="30"/>
      <c r="EE902" s="30"/>
    </row>
    <row r="903" spans="1:135" ht="30" customHeight="1" thickBot="1" x14ac:dyDescent="0.3">
      <c r="A903" s="578" t="s">
        <v>5652</v>
      </c>
      <c r="B903" s="51">
        <v>13433</v>
      </c>
      <c r="C903" s="69" t="s">
        <v>5650</v>
      </c>
      <c r="D903" s="10" t="s">
        <v>24</v>
      </c>
      <c r="E903" s="28" t="s">
        <v>25</v>
      </c>
      <c r="F903" s="29" t="s">
        <v>5651</v>
      </c>
      <c r="G903" s="15" t="s">
        <v>4779</v>
      </c>
      <c r="H903" s="17" t="s">
        <v>714</v>
      </c>
      <c r="I903" s="205" t="s">
        <v>135</v>
      </c>
      <c r="J903" s="24" t="s">
        <v>32</v>
      </c>
      <c r="K903" s="23" t="s">
        <v>5653</v>
      </c>
      <c r="L903" s="25" t="str">
        <f>"RUTL-"&amp;RIGHT(K903,8)</f>
        <v>RUTL-PW0K0DYN</v>
      </c>
      <c r="M903" s="34" t="s">
        <v>40</v>
      </c>
      <c r="N903" s="23" t="s">
        <v>54</v>
      </c>
      <c r="O903" s="94"/>
      <c r="P903" s="45" t="s">
        <v>46</v>
      </c>
      <c r="Q903" s="35" t="s">
        <v>5654</v>
      </c>
      <c r="R903" s="15" t="s">
        <v>56</v>
      </c>
      <c r="S903" s="37" t="s">
        <v>57</v>
      </c>
      <c r="T903" s="96" t="s">
        <v>148</v>
      </c>
      <c r="U903" s="39" t="s">
        <v>3672</v>
      </c>
      <c r="V903" s="43">
        <v>46122</v>
      </c>
      <c r="W903" s="32" t="s">
        <v>62</v>
      </c>
      <c r="X903" s="30"/>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row>
    <row r="904" spans="1:135" ht="30" customHeight="1" thickBot="1" x14ac:dyDescent="0.3">
      <c r="A904" s="578" t="s">
        <v>6816</v>
      </c>
      <c r="B904" s="51">
        <v>16809</v>
      </c>
      <c r="C904" s="9" t="s">
        <v>6814</v>
      </c>
      <c r="D904" s="140" t="s">
        <v>24</v>
      </c>
      <c r="E904" s="11" t="s">
        <v>25</v>
      </c>
      <c r="F904" s="20" t="s">
        <v>6815</v>
      </c>
      <c r="G904" s="59" t="s">
        <v>5356</v>
      </c>
      <c r="H904" s="17" t="s">
        <v>714</v>
      </c>
      <c r="I904" s="296" t="s">
        <v>135</v>
      </c>
      <c r="J904" s="24" t="s">
        <v>32</v>
      </c>
      <c r="K904" s="340" t="s">
        <v>6817</v>
      </c>
      <c r="L904" s="25" t="str">
        <f>"RUTL-"&amp;RIGHT(K904,8)</f>
        <v>RUTL-PW0K0DJR</v>
      </c>
      <c r="M904" s="34" t="s">
        <v>40</v>
      </c>
      <c r="N904" s="23" t="s">
        <v>54</v>
      </c>
      <c r="O904" s="94"/>
      <c r="P904" s="45" t="s">
        <v>46</v>
      </c>
      <c r="Q904" s="35" t="s">
        <v>6818</v>
      </c>
      <c r="R904" s="15" t="s">
        <v>56</v>
      </c>
      <c r="S904" s="37" t="s">
        <v>57</v>
      </c>
      <c r="T904" s="107" t="s">
        <v>453</v>
      </c>
      <c r="U904" s="23" t="s">
        <v>3891</v>
      </c>
      <c r="V904" s="270">
        <v>46122</v>
      </c>
      <c r="W904" s="32" t="s">
        <v>62</v>
      </c>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c r="CE904" s="30"/>
      <c r="CF904" s="30"/>
      <c r="CG904" s="30"/>
      <c r="CH904" s="30"/>
      <c r="CI904" s="30"/>
      <c r="CJ904" s="30"/>
      <c r="CK904" s="30"/>
      <c r="CL904" s="30"/>
      <c r="CM904" s="30"/>
      <c r="CN904" s="30"/>
      <c r="CO904" s="30"/>
      <c r="CP904" s="30"/>
      <c r="CQ904" s="30"/>
      <c r="CR904" s="30"/>
      <c r="CS904" s="30"/>
      <c r="CT904" s="30"/>
      <c r="CU904" s="30"/>
      <c r="CV904" s="30"/>
      <c r="CW904" s="30"/>
      <c r="CX904" s="30"/>
      <c r="CY904" s="30"/>
      <c r="CZ904" s="30"/>
      <c r="DA904" s="30"/>
      <c r="DB904" s="30"/>
      <c r="DC904" s="30"/>
      <c r="DD904" s="30"/>
      <c r="DE904" s="30"/>
      <c r="DF904" s="30"/>
      <c r="DG904" s="30"/>
      <c r="DH904" s="30"/>
      <c r="DI904" s="30"/>
      <c r="DJ904" s="30"/>
      <c r="DK904" s="30"/>
      <c r="DL904" s="30"/>
      <c r="DM904" s="30"/>
      <c r="DN904" s="30"/>
      <c r="DO904" s="30"/>
      <c r="DP904" s="30"/>
      <c r="DQ904" s="30"/>
      <c r="DR904" s="30"/>
      <c r="DS904" s="30"/>
      <c r="DT904" s="30"/>
      <c r="DU904" s="30"/>
      <c r="DV904" s="30"/>
      <c r="DW904" s="30"/>
      <c r="DX904" s="30"/>
      <c r="DY904" s="30"/>
      <c r="DZ904" s="30"/>
      <c r="EA904" s="30"/>
      <c r="EB904" s="30"/>
      <c r="EC904" s="30"/>
      <c r="ED904" s="30"/>
      <c r="EE904" s="30"/>
    </row>
    <row r="905" spans="1:135" ht="30" customHeight="1" thickBot="1" x14ac:dyDescent="0.3">
      <c r="A905" s="578" t="s">
        <v>3669</v>
      </c>
      <c r="B905" s="51">
        <v>4997</v>
      </c>
      <c r="C905" s="69" t="s">
        <v>3667</v>
      </c>
      <c r="D905" s="10" t="s">
        <v>24</v>
      </c>
      <c r="E905" s="11" t="s">
        <v>25</v>
      </c>
      <c r="F905" s="12" t="s">
        <v>3668</v>
      </c>
      <c r="G905" s="15" t="s">
        <v>2512</v>
      </c>
      <c r="H905" s="17" t="s">
        <v>682</v>
      </c>
      <c r="I905" s="54" t="s">
        <v>48</v>
      </c>
      <c r="J905" s="18" t="s">
        <v>49</v>
      </c>
      <c r="K905" s="33" t="s">
        <v>3670</v>
      </c>
      <c r="L905" s="25" t="str">
        <f>"RUTL-"&amp;RIGHT(K905,8)</f>
        <v>RUTL-1A7A6N02</v>
      </c>
      <c r="M905" s="34" t="s">
        <v>40</v>
      </c>
      <c r="N905" s="39" t="s">
        <v>54</v>
      </c>
      <c r="O905" s="23"/>
      <c r="P905" s="35" t="s">
        <v>46</v>
      </c>
      <c r="Q905" s="352" t="s">
        <v>3671</v>
      </c>
      <c r="R905" s="15" t="s">
        <v>56</v>
      </c>
      <c r="S905" s="37" t="s">
        <v>57</v>
      </c>
      <c r="T905" s="118" t="s">
        <v>65</v>
      </c>
      <c r="U905" s="39" t="s">
        <v>3672</v>
      </c>
      <c r="V905" s="48">
        <v>46111</v>
      </c>
      <c r="W905" s="23" t="s">
        <v>67</v>
      </c>
      <c r="X905" s="30"/>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c r="DE905" s="5"/>
      <c r="DF905" s="5"/>
      <c r="DG905" s="5"/>
      <c r="DH905" s="5"/>
      <c r="DI905" s="5"/>
      <c r="DJ905" s="5"/>
      <c r="DK905" s="5"/>
      <c r="DL905" s="5"/>
      <c r="DM905" s="5"/>
      <c r="DN905" s="5"/>
      <c r="DO905" s="5"/>
      <c r="DP905" s="5"/>
      <c r="DQ905" s="5"/>
      <c r="DR905" s="5"/>
      <c r="DS905" s="5"/>
      <c r="DT905" s="5"/>
      <c r="DU905" s="5"/>
      <c r="DV905" s="5"/>
      <c r="DW905" s="5"/>
      <c r="DX905" s="5"/>
      <c r="DY905" s="5"/>
      <c r="DZ905" s="5"/>
      <c r="EA905" s="5"/>
      <c r="EB905" s="5"/>
      <c r="EC905" s="5"/>
      <c r="ED905" s="5"/>
      <c r="EE905" s="5"/>
    </row>
    <row r="906" spans="1:135" ht="30" customHeight="1" thickBot="1" x14ac:dyDescent="0.3">
      <c r="A906" s="578" t="s">
        <v>6368</v>
      </c>
      <c r="B906" s="436">
        <v>15777</v>
      </c>
      <c r="C906" s="231" t="s">
        <v>6364</v>
      </c>
      <c r="D906" s="10" t="s">
        <v>24</v>
      </c>
      <c r="E906" s="28" t="s">
        <v>25</v>
      </c>
      <c r="F906" s="20" t="s">
        <v>6365</v>
      </c>
      <c r="G906" s="15" t="s">
        <v>6366</v>
      </c>
      <c r="H906" s="17" t="s">
        <v>6367</v>
      </c>
      <c r="I906" s="142" t="s">
        <v>135</v>
      </c>
      <c r="J906" s="24" t="s">
        <v>32</v>
      </c>
      <c r="K906" s="23" t="s">
        <v>6369</v>
      </c>
      <c r="L906" s="25" t="str">
        <f>"RUTL-"&amp;RIGHT(K906,8)</f>
        <v>RUTL-PW0K0E06</v>
      </c>
      <c r="M906" s="34" t="s">
        <v>40</v>
      </c>
      <c r="N906" s="39" t="s">
        <v>54</v>
      </c>
      <c r="O906" s="94"/>
      <c r="P906" s="45" t="s">
        <v>46</v>
      </c>
      <c r="Q906" s="327" t="s">
        <v>6370</v>
      </c>
      <c r="R906" s="15" t="s">
        <v>56</v>
      </c>
      <c r="S906" s="37" t="s">
        <v>57</v>
      </c>
      <c r="T906" s="118" t="s">
        <v>65</v>
      </c>
      <c r="U906" s="39" t="s">
        <v>5361</v>
      </c>
      <c r="V906" s="270">
        <v>46122</v>
      </c>
      <c r="W906" s="32" t="s">
        <v>62</v>
      </c>
      <c r="X906" s="71"/>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0"/>
      <c r="BY906" s="30"/>
      <c r="BZ906" s="30"/>
      <c r="CA906" s="30"/>
      <c r="CB906" s="30"/>
      <c r="CC906" s="30"/>
      <c r="CD906" s="30"/>
      <c r="CE906" s="30"/>
      <c r="CF906" s="30"/>
      <c r="CG906" s="30"/>
      <c r="CH906" s="30"/>
      <c r="CI906" s="30"/>
      <c r="CJ906" s="30"/>
      <c r="CK906" s="30"/>
      <c r="CL906" s="30"/>
      <c r="CM906" s="30"/>
      <c r="CN906" s="30"/>
      <c r="CO906" s="30"/>
      <c r="CP906" s="30"/>
      <c r="CQ906" s="30"/>
      <c r="CR906" s="30"/>
      <c r="CS906" s="30"/>
      <c r="CT906" s="30"/>
      <c r="CU906" s="30"/>
      <c r="CV906" s="30"/>
      <c r="CW906" s="30"/>
      <c r="CX906" s="30"/>
      <c r="CY906" s="30"/>
      <c r="CZ906" s="30"/>
      <c r="DA906" s="30"/>
      <c r="DB906" s="30"/>
      <c r="DC906" s="30"/>
      <c r="DD906" s="30"/>
      <c r="DE906" s="30"/>
      <c r="DF906" s="30"/>
      <c r="DG906" s="30"/>
      <c r="DH906" s="30"/>
      <c r="DI906" s="30"/>
      <c r="DJ906" s="30"/>
      <c r="DK906" s="30"/>
      <c r="DL906" s="30"/>
      <c r="DM906" s="30"/>
      <c r="DN906" s="30"/>
      <c r="DO906" s="30"/>
      <c r="DP906" s="30"/>
      <c r="DQ906" s="30"/>
      <c r="DR906" s="30"/>
      <c r="DS906" s="30"/>
      <c r="DT906" s="30"/>
      <c r="DU906" s="30"/>
      <c r="DV906" s="30"/>
      <c r="DW906" s="30"/>
      <c r="DX906" s="30"/>
      <c r="DY906" s="30"/>
      <c r="DZ906" s="30"/>
      <c r="EA906" s="30"/>
      <c r="EB906" s="30"/>
      <c r="EC906" s="30"/>
      <c r="ED906" s="30"/>
      <c r="EE906" s="30"/>
    </row>
    <row r="907" spans="1:135" ht="30" customHeight="1" thickBot="1" x14ac:dyDescent="0.3">
      <c r="A907" s="578" t="s">
        <v>5862</v>
      </c>
      <c r="B907" s="381">
        <v>14615</v>
      </c>
      <c r="C907" s="72" t="s">
        <v>5860</v>
      </c>
      <c r="D907" s="10" t="s">
        <v>24</v>
      </c>
      <c r="E907" s="11" t="s">
        <v>25</v>
      </c>
      <c r="F907" s="20" t="s">
        <v>5861</v>
      </c>
      <c r="G907" s="15" t="s">
        <v>1622</v>
      </c>
      <c r="H907" s="31" t="s">
        <v>1221</v>
      </c>
      <c r="I907" s="205" t="s">
        <v>135</v>
      </c>
      <c r="J907" s="24" t="s">
        <v>32</v>
      </c>
      <c r="K907" s="33" t="s">
        <v>5863</v>
      </c>
      <c r="L907" s="25" t="str">
        <f>"RUTL-"&amp;RIGHT(K907,8)</f>
        <v>RUTL-PW0K0DLP</v>
      </c>
      <c r="M907" s="144" t="s">
        <v>40</v>
      </c>
      <c r="N907" s="23" t="s">
        <v>54</v>
      </c>
      <c r="O907" s="94"/>
      <c r="P907" s="45" t="s">
        <v>46</v>
      </c>
      <c r="Q907" s="35" t="s">
        <v>5864</v>
      </c>
      <c r="R907" s="15" t="s">
        <v>56</v>
      </c>
      <c r="S907" s="37" t="s">
        <v>57</v>
      </c>
      <c r="T907" s="108" t="s">
        <v>273</v>
      </c>
      <c r="U907" s="23" t="s">
        <v>5865</v>
      </c>
      <c r="V907" s="43">
        <v>46122</v>
      </c>
      <c r="W907" s="32" t="s">
        <v>62</v>
      </c>
      <c r="X907" s="71"/>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c r="DJ907" s="5"/>
      <c r="DK907" s="5"/>
      <c r="DL907" s="5"/>
      <c r="DM907" s="5"/>
      <c r="DN907" s="5"/>
      <c r="DO907" s="5"/>
      <c r="DP907" s="5"/>
      <c r="DQ907" s="5"/>
      <c r="DR907" s="5"/>
      <c r="DS907" s="5"/>
      <c r="DT907" s="5"/>
      <c r="DU907" s="5"/>
      <c r="DV907" s="5"/>
      <c r="DW907" s="5"/>
      <c r="DX907" s="5"/>
      <c r="DY907" s="5"/>
      <c r="DZ907" s="5"/>
      <c r="EA907" s="5"/>
      <c r="EB907" s="5"/>
      <c r="EC907" s="5"/>
      <c r="ED907" s="5"/>
      <c r="EE907" s="5"/>
    </row>
    <row r="908" spans="1:135" ht="30" customHeight="1" thickBot="1" x14ac:dyDescent="0.3">
      <c r="A908" s="578" t="s">
        <v>6724</v>
      </c>
      <c r="B908" s="436">
        <v>16548</v>
      </c>
      <c r="C908" s="72" t="s">
        <v>6722</v>
      </c>
      <c r="D908" s="10" t="s">
        <v>24</v>
      </c>
      <c r="E908" s="28" t="s">
        <v>25</v>
      </c>
      <c r="F908" s="29" t="s">
        <v>6723</v>
      </c>
      <c r="G908" s="59" t="s">
        <v>469</v>
      </c>
      <c r="H908" s="31" t="s">
        <v>134</v>
      </c>
      <c r="I908" s="205" t="s">
        <v>117</v>
      </c>
      <c r="J908" s="24" t="s">
        <v>32</v>
      </c>
      <c r="K908" s="33" t="s">
        <v>6725</v>
      </c>
      <c r="L908" s="25" t="str">
        <f>"RUTL-"&amp;RIGHT(K908,8)</f>
        <v>RUTL-PW0K0DSW</v>
      </c>
      <c r="M908" s="511" t="s">
        <v>40</v>
      </c>
      <c r="N908" s="32" t="s">
        <v>54</v>
      </c>
      <c r="O908" s="94"/>
      <c r="P908" s="45" t="s">
        <v>46</v>
      </c>
      <c r="Q908" s="35" t="s">
        <v>6726</v>
      </c>
      <c r="R908" s="15" t="s">
        <v>56</v>
      </c>
      <c r="S908" s="40" t="s">
        <v>57</v>
      </c>
      <c r="T908" s="118" t="s">
        <v>65</v>
      </c>
      <c r="U908" s="39" t="s">
        <v>800</v>
      </c>
      <c r="V908" s="43">
        <v>46122</v>
      </c>
      <c r="W908" s="32" t="s">
        <v>62</v>
      </c>
      <c r="X908" s="71"/>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row>
    <row r="909" spans="1:135" ht="30" customHeight="1" thickBot="1" x14ac:dyDescent="0.3">
      <c r="A909" s="578" t="s">
        <v>292</v>
      </c>
      <c r="B909" s="436" t="s">
        <v>283</v>
      </c>
      <c r="C909" s="72" t="s">
        <v>286</v>
      </c>
      <c r="D909" s="10" t="s">
        <v>24</v>
      </c>
      <c r="E909" s="28" t="s">
        <v>25</v>
      </c>
      <c r="F909" s="20" t="s">
        <v>289</v>
      </c>
      <c r="G909" s="15" t="s">
        <v>290</v>
      </c>
      <c r="H909" s="31" t="s">
        <v>262</v>
      </c>
      <c r="I909" s="24" t="s">
        <v>135</v>
      </c>
      <c r="J909" s="24" t="s">
        <v>32</v>
      </c>
      <c r="K909" s="23" t="s">
        <v>298</v>
      </c>
      <c r="L909" s="21" t="str">
        <f>"RUTL-"&amp;RIGHT(K909,8)</f>
        <v>RUTL-PW0K0D45</v>
      </c>
      <c r="M909" s="34" t="s">
        <v>40</v>
      </c>
      <c r="N909" s="23" t="s">
        <v>54</v>
      </c>
      <c r="O909" s="94"/>
      <c r="P909" s="45" t="s">
        <v>46</v>
      </c>
      <c r="Q909" s="36" t="s">
        <v>303</v>
      </c>
      <c r="R909" s="15" t="s">
        <v>56</v>
      </c>
      <c r="S909" s="40" t="s">
        <v>57</v>
      </c>
      <c r="T909" s="118" t="s">
        <v>271</v>
      </c>
      <c r="U909" s="39" t="s">
        <v>305</v>
      </c>
      <c r="V909" s="43">
        <v>46122</v>
      </c>
      <c r="W909" s="32" t="s">
        <v>62</v>
      </c>
      <c r="X909" s="423"/>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row>
    <row r="910" spans="1:135" ht="30" customHeight="1" x14ac:dyDescent="0.25">
      <c r="A910" s="578" t="s">
        <v>6333</v>
      </c>
      <c r="B910" s="436">
        <v>15706</v>
      </c>
      <c r="C910" s="72" t="s">
        <v>6331</v>
      </c>
      <c r="D910" s="10" t="s">
        <v>24</v>
      </c>
      <c r="E910" s="11" t="s">
        <v>25</v>
      </c>
      <c r="F910" s="20" t="s">
        <v>6332</v>
      </c>
      <c r="G910" s="15" t="s">
        <v>4580</v>
      </c>
      <c r="H910" s="22" t="s">
        <v>3752</v>
      </c>
      <c r="I910" s="18" t="s">
        <v>48</v>
      </c>
      <c r="J910" s="18" t="s">
        <v>49</v>
      </c>
      <c r="K910" s="385" t="s">
        <v>6334</v>
      </c>
      <c r="L910" s="25" t="str">
        <f>"RUTL-"&amp;RIGHT(K910,8)</f>
        <v>RUTL-1A856N02</v>
      </c>
      <c r="M910" s="34" t="s">
        <v>40</v>
      </c>
      <c r="N910" s="39" t="s">
        <v>54</v>
      </c>
      <c r="O910" s="23"/>
      <c r="P910" s="35" t="s">
        <v>46</v>
      </c>
      <c r="Q910" s="36" t="s">
        <v>6335</v>
      </c>
      <c r="R910" s="15" t="s">
        <v>56</v>
      </c>
      <c r="S910" s="37" t="s">
        <v>57</v>
      </c>
      <c r="T910" s="107" t="s">
        <v>453</v>
      </c>
      <c r="U910" s="39" t="s">
        <v>5802</v>
      </c>
      <c r="V910" s="48">
        <v>46111</v>
      </c>
      <c r="W910" s="23" t="s">
        <v>67</v>
      </c>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row>
    <row r="911" spans="1:135" ht="30" customHeight="1" thickBot="1" x14ac:dyDescent="0.3">
      <c r="A911" s="578" t="s">
        <v>3955</v>
      </c>
      <c r="B911" s="436">
        <v>6593</v>
      </c>
      <c r="C911" s="52" t="s">
        <v>3953</v>
      </c>
      <c r="D911" s="10" t="s">
        <v>24</v>
      </c>
      <c r="E911" s="11" t="s">
        <v>25</v>
      </c>
      <c r="F911" s="29" t="s">
        <v>3954</v>
      </c>
      <c r="G911" s="15" t="s">
        <v>2512</v>
      </c>
      <c r="H911" s="22" t="s">
        <v>3752</v>
      </c>
      <c r="I911" s="18" t="s">
        <v>48</v>
      </c>
      <c r="J911" s="18" t="s">
        <v>49</v>
      </c>
      <c r="K911" s="33" t="s">
        <v>3956</v>
      </c>
      <c r="L911" s="25" t="str">
        <f>"RUTL-"&amp;RIGHT(K911,8)</f>
        <v>RUTL-1A5A6N02</v>
      </c>
      <c r="M911" s="34" t="s">
        <v>40</v>
      </c>
      <c r="N911" s="32" t="s">
        <v>54</v>
      </c>
      <c r="O911" s="32"/>
      <c r="P911" s="35" t="s">
        <v>46</v>
      </c>
      <c r="Q911" s="35" t="s">
        <v>3957</v>
      </c>
      <c r="R911" s="15" t="s">
        <v>56</v>
      </c>
      <c r="S911" s="37" t="s">
        <v>57</v>
      </c>
      <c r="T911" s="105" t="s">
        <v>148</v>
      </c>
      <c r="U911" s="39" t="s">
        <v>3756</v>
      </c>
      <c r="V911" s="48">
        <v>46111</v>
      </c>
      <c r="W911" s="23" t="s">
        <v>67</v>
      </c>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row>
    <row r="912" spans="1:135" ht="30" customHeight="1" thickBot="1" x14ac:dyDescent="0.3">
      <c r="A912" s="578" t="s">
        <v>6102</v>
      </c>
      <c r="B912" s="436">
        <v>15081</v>
      </c>
      <c r="C912" s="52" t="s">
        <v>6100</v>
      </c>
      <c r="D912" s="10" t="s">
        <v>24</v>
      </c>
      <c r="E912" s="11" t="s">
        <v>25</v>
      </c>
      <c r="F912" s="20" t="s">
        <v>6101</v>
      </c>
      <c r="G912" s="59" t="s">
        <v>1698</v>
      </c>
      <c r="H912" s="22" t="s">
        <v>3752</v>
      </c>
      <c r="I912" s="18" t="s">
        <v>48</v>
      </c>
      <c r="J912" s="18" t="s">
        <v>49</v>
      </c>
      <c r="K912" s="385" t="s">
        <v>6103</v>
      </c>
      <c r="L912" s="25" t="str">
        <f>"RUTL-"&amp;RIGHT(K912,8)</f>
        <v>RUTL-1AB76N02</v>
      </c>
      <c r="M912" s="511" t="s">
        <v>40</v>
      </c>
      <c r="N912" s="495" t="s">
        <v>54</v>
      </c>
      <c r="O912" s="493"/>
      <c r="P912" s="521" t="s">
        <v>46</v>
      </c>
      <c r="Q912" s="522" t="s">
        <v>6104</v>
      </c>
      <c r="R912" s="15" t="s">
        <v>56</v>
      </c>
      <c r="S912" s="37" t="s">
        <v>57</v>
      </c>
      <c r="T912" s="107" t="s">
        <v>453</v>
      </c>
      <c r="U912" s="23" t="s">
        <v>1162</v>
      </c>
      <c r="V912" s="48">
        <v>46111</v>
      </c>
      <c r="W912" s="23" t="s">
        <v>67</v>
      </c>
      <c r="X912" s="71"/>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c r="DE912" s="5"/>
      <c r="DF912" s="5"/>
      <c r="DG912" s="5"/>
      <c r="DH912" s="5"/>
      <c r="DI912" s="5"/>
      <c r="DJ912" s="5"/>
      <c r="DK912" s="5"/>
      <c r="DL912" s="5"/>
      <c r="DM912" s="5"/>
      <c r="DN912" s="5"/>
      <c r="DO912" s="5"/>
      <c r="DP912" s="5"/>
      <c r="DQ912" s="5"/>
      <c r="DR912" s="5"/>
      <c r="DS912" s="5"/>
      <c r="DT912" s="5"/>
      <c r="DU912" s="5"/>
      <c r="DV912" s="5"/>
      <c r="DW912" s="5"/>
      <c r="DX912" s="5"/>
      <c r="DY912" s="5"/>
      <c r="DZ912" s="5"/>
      <c r="EA912" s="5"/>
      <c r="EB912" s="5"/>
      <c r="EC912" s="5"/>
      <c r="ED912" s="5"/>
      <c r="EE912" s="5"/>
    </row>
    <row r="913" spans="1:135" ht="30" customHeight="1" x14ac:dyDescent="0.3">
      <c r="A913" s="578" t="s">
        <v>1768</v>
      </c>
      <c r="B913" s="447" t="s">
        <v>1761</v>
      </c>
      <c r="C913" s="90" t="s">
        <v>1849</v>
      </c>
      <c r="D913" s="27" t="s">
        <v>1763</v>
      </c>
      <c r="E913" s="266" t="s">
        <v>25</v>
      </c>
      <c r="F913" s="12" t="s">
        <v>1764</v>
      </c>
      <c r="G913" s="12" t="s">
        <v>91</v>
      </c>
      <c r="H913" s="267" t="s">
        <v>1646</v>
      </c>
      <c r="I913" s="489" t="s">
        <v>48</v>
      </c>
      <c r="J913" s="67" t="s">
        <v>49</v>
      </c>
      <c r="K913" s="33" t="s">
        <v>1771</v>
      </c>
      <c r="L913" s="184" t="str">
        <f>"RUTL-"&amp;RIGHT(K913,8)</f>
        <v>RUTL-1AB86N02</v>
      </c>
      <c r="M913" s="73" t="s">
        <v>40</v>
      </c>
      <c r="N913" s="77" t="s">
        <v>54</v>
      </c>
      <c r="O913" s="79"/>
      <c r="P913" s="189" t="s">
        <v>46</v>
      </c>
      <c r="Q913" s="534"/>
      <c r="R913" s="46" t="s">
        <v>56</v>
      </c>
      <c r="S913" s="85" t="s">
        <v>57</v>
      </c>
      <c r="T913" s="81" t="s">
        <v>65</v>
      </c>
      <c r="U913" s="47" t="s">
        <v>128</v>
      </c>
      <c r="V913" s="193">
        <v>46111</v>
      </c>
      <c r="W913" s="77" t="s">
        <v>67</v>
      </c>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row>
    <row r="914" spans="1:135" ht="30" customHeight="1" thickBot="1" x14ac:dyDescent="0.3">
      <c r="A914" s="578" t="s">
        <v>6121</v>
      </c>
      <c r="B914" s="51">
        <v>15161</v>
      </c>
      <c r="C914" s="72" t="s">
        <v>6119</v>
      </c>
      <c r="D914" s="10" t="s">
        <v>24</v>
      </c>
      <c r="E914" s="28" t="s">
        <v>25</v>
      </c>
      <c r="F914" s="20" t="s">
        <v>6120</v>
      </c>
      <c r="G914" s="15" t="s">
        <v>443</v>
      </c>
      <c r="H914" s="31" t="s">
        <v>92</v>
      </c>
      <c r="I914" s="18" t="s">
        <v>48</v>
      </c>
      <c r="J914" s="18" t="s">
        <v>49</v>
      </c>
      <c r="K914" s="23" t="s">
        <v>6122</v>
      </c>
      <c r="L914" s="25" t="str">
        <f>"RUTL-"&amp;RIGHT(K914,8)</f>
        <v>RUTL-1A636N02</v>
      </c>
      <c r="M914" s="34" t="s">
        <v>40</v>
      </c>
      <c r="N914" s="39" t="s">
        <v>54</v>
      </c>
      <c r="O914" s="23"/>
      <c r="P914" s="35" t="s">
        <v>46</v>
      </c>
      <c r="Q914" s="35" t="s">
        <v>6123</v>
      </c>
      <c r="R914" s="15" t="s">
        <v>56</v>
      </c>
      <c r="S914" s="37" t="s">
        <v>57</v>
      </c>
      <c r="T914" s="107" t="s">
        <v>453</v>
      </c>
      <c r="U914" s="23" t="s">
        <v>5802</v>
      </c>
      <c r="V914" s="48">
        <v>46111</v>
      </c>
      <c r="W914" s="23" t="s">
        <v>67</v>
      </c>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0"/>
      <c r="BY914" s="30"/>
      <c r="BZ914" s="30"/>
      <c r="CA914" s="30"/>
      <c r="CB914" s="30"/>
      <c r="CC914" s="30"/>
      <c r="CD914" s="30"/>
      <c r="CE914" s="30"/>
      <c r="CF914" s="30"/>
      <c r="CG914" s="30"/>
      <c r="CH914" s="30"/>
      <c r="CI914" s="30"/>
      <c r="CJ914" s="30"/>
      <c r="CK914" s="30"/>
      <c r="CL914" s="30"/>
      <c r="CM914" s="30"/>
      <c r="CN914" s="30"/>
      <c r="CO914" s="30"/>
      <c r="CP914" s="30"/>
      <c r="CQ914" s="30"/>
      <c r="CR914" s="30"/>
      <c r="CS914" s="30"/>
      <c r="CT914" s="30"/>
      <c r="CU914" s="30"/>
      <c r="CV914" s="30"/>
      <c r="CW914" s="30"/>
      <c r="CX914" s="30"/>
      <c r="CY914" s="30"/>
      <c r="CZ914" s="30"/>
      <c r="DA914" s="30"/>
      <c r="DB914" s="30"/>
      <c r="DC914" s="30"/>
      <c r="DD914" s="30"/>
      <c r="DE914" s="30"/>
      <c r="DF914" s="30"/>
      <c r="DG914" s="30"/>
      <c r="DH914" s="30"/>
      <c r="DI914" s="30"/>
      <c r="DJ914" s="30"/>
      <c r="DK914" s="30"/>
      <c r="DL914" s="30"/>
      <c r="DM914" s="30"/>
      <c r="DN914" s="30"/>
      <c r="DO914" s="30"/>
      <c r="DP914" s="30"/>
      <c r="DQ914" s="30"/>
      <c r="DR914" s="30"/>
      <c r="DS914" s="30"/>
      <c r="DT914" s="30"/>
      <c r="DU914" s="30"/>
      <c r="DV914" s="30"/>
      <c r="DW914" s="30"/>
      <c r="DX914" s="30"/>
      <c r="DY914" s="30"/>
      <c r="DZ914" s="30"/>
      <c r="EA914" s="30"/>
      <c r="EB914" s="30"/>
      <c r="EC914" s="30"/>
      <c r="ED914" s="30"/>
      <c r="EE914" s="30"/>
    </row>
    <row r="915" spans="1:135" ht="30" customHeight="1" thickBot="1" x14ac:dyDescent="0.3">
      <c r="A915" s="578" t="s">
        <v>5799</v>
      </c>
      <c r="B915" s="51">
        <v>14161</v>
      </c>
      <c r="C915" s="72" t="s">
        <v>5796</v>
      </c>
      <c r="D915" s="10" t="s">
        <v>24</v>
      </c>
      <c r="E915" s="11" t="s">
        <v>25</v>
      </c>
      <c r="F915" s="20" t="s">
        <v>5797</v>
      </c>
      <c r="G915" s="15" t="s">
        <v>5798</v>
      </c>
      <c r="H915" s="22" t="s">
        <v>4015</v>
      </c>
      <c r="I915" s="18" t="s">
        <v>48</v>
      </c>
      <c r="J915" s="18" t="s">
        <v>49</v>
      </c>
      <c r="K915" s="385" t="s">
        <v>5800</v>
      </c>
      <c r="L915" s="25" t="str">
        <f>"RUTL-"&amp;RIGHT(K915,8)</f>
        <v>RUTL-1AB46N02</v>
      </c>
      <c r="M915" s="34" t="s">
        <v>40</v>
      </c>
      <c r="N915" s="39" t="s">
        <v>54</v>
      </c>
      <c r="O915" s="23"/>
      <c r="P915" s="35" t="s">
        <v>46</v>
      </c>
      <c r="Q915" s="35" t="s">
        <v>5801</v>
      </c>
      <c r="R915" s="15" t="s">
        <v>56</v>
      </c>
      <c r="S915" s="37" t="s">
        <v>57</v>
      </c>
      <c r="T915" s="107" t="s">
        <v>453</v>
      </c>
      <c r="U915" s="39" t="s">
        <v>5802</v>
      </c>
      <c r="V915" s="48">
        <v>46111</v>
      </c>
      <c r="W915" s="23" t="s">
        <v>67</v>
      </c>
      <c r="X915" s="424"/>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c r="CM915" s="13"/>
      <c r="CN915" s="13"/>
      <c r="CO915" s="13"/>
      <c r="CP915" s="13"/>
      <c r="CQ915" s="13"/>
      <c r="CR915" s="13"/>
      <c r="CS915" s="13"/>
      <c r="CT915" s="13"/>
      <c r="CU915" s="13"/>
      <c r="CV915" s="13"/>
      <c r="CW915" s="13"/>
      <c r="CX915" s="13"/>
      <c r="CY915" s="13"/>
      <c r="CZ915" s="13"/>
      <c r="DA915" s="13"/>
      <c r="DB915" s="13"/>
      <c r="DC915" s="13"/>
      <c r="DD915" s="13"/>
      <c r="DE915" s="13"/>
      <c r="DF915" s="13"/>
      <c r="DG915" s="13"/>
      <c r="DH915" s="13"/>
      <c r="DI915" s="13"/>
      <c r="DJ915" s="13"/>
      <c r="DK915" s="13"/>
      <c r="DL915" s="13"/>
      <c r="DM915" s="13"/>
      <c r="DN915" s="13"/>
      <c r="DO915" s="13"/>
      <c r="DP915" s="13"/>
      <c r="DQ915" s="13"/>
      <c r="DR915" s="13"/>
      <c r="DS915" s="13"/>
      <c r="DT915" s="13"/>
      <c r="DU915" s="13"/>
      <c r="DV915" s="13"/>
      <c r="DW915" s="13"/>
      <c r="DX915" s="13"/>
      <c r="DY915" s="13"/>
      <c r="DZ915" s="13"/>
      <c r="EA915" s="13"/>
      <c r="EB915" s="13"/>
      <c r="EC915" s="13"/>
      <c r="ED915" s="13"/>
      <c r="EE915" s="13"/>
    </row>
    <row r="916" spans="1:135" ht="30" customHeight="1" thickBot="1" x14ac:dyDescent="0.3">
      <c r="A916" s="578" t="s">
        <v>6829</v>
      </c>
      <c r="B916" s="51">
        <v>16827</v>
      </c>
      <c r="C916" s="269" t="s">
        <v>6827</v>
      </c>
      <c r="D916" s="10" t="s">
        <v>24</v>
      </c>
      <c r="E916" s="28" t="s">
        <v>25</v>
      </c>
      <c r="F916" s="12" t="s">
        <v>6828</v>
      </c>
      <c r="G916" s="15" t="s">
        <v>6360</v>
      </c>
      <c r="H916" s="31" t="s">
        <v>197</v>
      </c>
      <c r="I916" s="54" t="s">
        <v>48</v>
      </c>
      <c r="J916" s="18" t="s">
        <v>49</v>
      </c>
      <c r="K916" s="385" t="s">
        <v>6830</v>
      </c>
      <c r="L916" s="25" t="str">
        <f>"RUTL-"&amp;RIGHT(K916,8)</f>
        <v>RUTL-1A596N02</v>
      </c>
      <c r="M916" s="34" t="s">
        <v>40</v>
      </c>
      <c r="N916" s="23" t="s">
        <v>54</v>
      </c>
      <c r="O916" s="74"/>
      <c r="P916" s="45" t="s">
        <v>46</v>
      </c>
      <c r="Q916" s="318" t="s">
        <v>6831</v>
      </c>
      <c r="R916" s="15" t="s">
        <v>56</v>
      </c>
      <c r="S916" s="37" t="s">
        <v>57</v>
      </c>
      <c r="T916" s="118" t="s">
        <v>65</v>
      </c>
      <c r="U916" s="23" t="s">
        <v>6832</v>
      </c>
      <c r="V916" s="82">
        <v>46111</v>
      </c>
      <c r="W916" s="23" t="s">
        <v>67</v>
      </c>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c r="BO916" s="30"/>
      <c r="BP916" s="30"/>
      <c r="BQ916" s="30"/>
      <c r="BR916" s="30"/>
      <c r="BS916" s="30"/>
      <c r="BT916" s="30"/>
      <c r="BU916" s="30"/>
      <c r="BV916" s="30"/>
      <c r="BW916" s="30"/>
      <c r="BX916" s="30"/>
      <c r="BY916" s="30"/>
      <c r="BZ916" s="30"/>
      <c r="CA916" s="30"/>
      <c r="CB916" s="30"/>
      <c r="CC916" s="30"/>
      <c r="CD916" s="30"/>
      <c r="CE916" s="30"/>
      <c r="CF916" s="30"/>
      <c r="CG916" s="30"/>
      <c r="CH916" s="30"/>
      <c r="CI916" s="30"/>
      <c r="CJ916" s="30"/>
      <c r="CK916" s="30"/>
      <c r="CL916" s="30"/>
      <c r="CM916" s="30"/>
      <c r="CN916" s="30"/>
      <c r="CO916" s="30"/>
      <c r="CP916" s="30"/>
      <c r="CQ916" s="30"/>
      <c r="CR916" s="30"/>
      <c r="CS916" s="30"/>
      <c r="CT916" s="30"/>
      <c r="CU916" s="30"/>
      <c r="CV916" s="30"/>
      <c r="CW916" s="30"/>
      <c r="CX916" s="30"/>
      <c r="CY916" s="30"/>
      <c r="CZ916" s="30"/>
      <c r="DA916" s="30"/>
      <c r="DB916" s="30"/>
      <c r="DC916" s="30"/>
      <c r="DD916" s="30"/>
      <c r="DE916" s="30"/>
      <c r="DF916" s="30"/>
      <c r="DG916" s="30"/>
      <c r="DH916" s="30"/>
      <c r="DI916" s="30"/>
      <c r="DJ916" s="30"/>
      <c r="DK916" s="30"/>
      <c r="DL916" s="30"/>
      <c r="DM916" s="30"/>
      <c r="DN916" s="30"/>
      <c r="DO916" s="30"/>
      <c r="DP916" s="30"/>
      <c r="DQ916" s="30"/>
      <c r="DR916" s="30"/>
      <c r="DS916" s="30"/>
      <c r="DT916" s="30"/>
      <c r="DU916" s="30"/>
      <c r="DV916" s="30"/>
      <c r="DW916" s="30"/>
      <c r="DX916" s="30"/>
      <c r="DY916" s="30"/>
      <c r="DZ916" s="30"/>
      <c r="EA916" s="30"/>
      <c r="EB916" s="30"/>
      <c r="EC916" s="30"/>
      <c r="ED916" s="30"/>
      <c r="EE916" s="30"/>
    </row>
    <row r="917" spans="1:135" ht="30" customHeight="1" thickBot="1" x14ac:dyDescent="0.3">
      <c r="A917" s="578" t="s">
        <v>6308</v>
      </c>
      <c r="B917" s="8">
        <v>15617</v>
      </c>
      <c r="C917" s="72" t="s">
        <v>6305</v>
      </c>
      <c r="D917" s="10" t="s">
        <v>24</v>
      </c>
      <c r="E917" s="11" t="s">
        <v>25</v>
      </c>
      <c r="F917" s="20" t="s">
        <v>6306</v>
      </c>
      <c r="G917" s="15" t="s">
        <v>6307</v>
      </c>
      <c r="H917" s="22" t="s">
        <v>197</v>
      </c>
      <c r="I917" s="18" t="s">
        <v>48</v>
      </c>
      <c r="J917" s="18" t="s">
        <v>49</v>
      </c>
      <c r="K917" s="23" t="s">
        <v>6309</v>
      </c>
      <c r="L917" s="25" t="str">
        <f>"RUTL-"&amp;RIGHT(K917,8)</f>
        <v>RUTL-1A846N02</v>
      </c>
      <c r="M917" s="34" t="s">
        <v>40</v>
      </c>
      <c r="N917" s="32" t="s">
        <v>54</v>
      </c>
      <c r="O917" s="23"/>
      <c r="P917" s="35" t="s">
        <v>46</v>
      </c>
      <c r="Q917" s="35" t="s">
        <v>6310</v>
      </c>
      <c r="R917" s="15" t="s">
        <v>56</v>
      </c>
      <c r="S917" s="37" t="s">
        <v>57</v>
      </c>
      <c r="T917" s="107" t="s">
        <v>453</v>
      </c>
      <c r="U917" s="23" t="s">
        <v>1162</v>
      </c>
      <c r="V917" s="48">
        <v>46111</v>
      </c>
      <c r="W917" s="23" t="s">
        <v>67</v>
      </c>
      <c r="X917" s="71"/>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c r="DE917" s="5"/>
      <c r="DF917" s="5"/>
      <c r="DG917" s="5"/>
      <c r="DH917" s="5"/>
      <c r="DI917" s="5"/>
      <c r="DJ917" s="5"/>
      <c r="DK917" s="5"/>
      <c r="DL917" s="5"/>
      <c r="DM917" s="5"/>
      <c r="DN917" s="5"/>
      <c r="DO917" s="5"/>
      <c r="DP917" s="5"/>
      <c r="DQ917" s="5"/>
      <c r="DR917" s="5"/>
      <c r="DS917" s="5"/>
      <c r="DT917" s="5"/>
      <c r="DU917" s="5"/>
      <c r="DV917" s="5"/>
      <c r="DW917" s="5"/>
      <c r="DX917" s="5"/>
      <c r="DY917" s="5"/>
      <c r="DZ917" s="5"/>
      <c r="EA917" s="5"/>
      <c r="EB917" s="5"/>
      <c r="EC917" s="5"/>
      <c r="ED917" s="5"/>
      <c r="EE917" s="5"/>
    </row>
    <row r="918" spans="1:135" ht="30" customHeight="1" thickBot="1" x14ac:dyDescent="0.3">
      <c r="A918" s="578" t="s">
        <v>6403</v>
      </c>
      <c r="B918" s="51">
        <v>15843</v>
      </c>
      <c r="C918" s="72" t="s">
        <v>6401</v>
      </c>
      <c r="D918" s="10" t="s">
        <v>24</v>
      </c>
      <c r="E918" s="28" t="s">
        <v>25</v>
      </c>
      <c r="F918" s="20" t="s">
        <v>6402</v>
      </c>
      <c r="G918" s="15" t="s">
        <v>2390</v>
      </c>
      <c r="H918" s="395" t="s">
        <v>3181</v>
      </c>
      <c r="I918" s="54" t="s">
        <v>48</v>
      </c>
      <c r="J918" s="18" t="s">
        <v>49</v>
      </c>
      <c r="K918" s="23" t="s">
        <v>6404</v>
      </c>
      <c r="L918" s="25" t="str">
        <f>"RUTL-"&amp;RIGHT(K918,8)</f>
        <v>RUTL-1A6E6N02</v>
      </c>
      <c r="M918" s="34" t="s">
        <v>40</v>
      </c>
      <c r="N918" s="23" t="s">
        <v>54</v>
      </c>
      <c r="O918" s="23"/>
      <c r="P918" s="45" t="s">
        <v>46</v>
      </c>
      <c r="Q918" s="35" t="s">
        <v>6405</v>
      </c>
      <c r="R918" s="15" t="s">
        <v>56</v>
      </c>
      <c r="S918" s="37" t="s">
        <v>57</v>
      </c>
      <c r="T918" s="118" t="s">
        <v>65</v>
      </c>
      <c r="U918" s="39" t="s">
        <v>6406</v>
      </c>
      <c r="V918" s="48">
        <v>46111</v>
      </c>
      <c r="W918" s="23" t="s">
        <v>67</v>
      </c>
      <c r="X918" s="24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c r="DJ918" s="5"/>
      <c r="DK918" s="5"/>
      <c r="DL918" s="5"/>
      <c r="DM918" s="5"/>
      <c r="DN918" s="5"/>
      <c r="DO918" s="5"/>
      <c r="DP918" s="5"/>
      <c r="DQ918" s="5"/>
      <c r="DR918" s="5"/>
      <c r="DS918" s="5"/>
      <c r="DT918" s="5"/>
      <c r="DU918" s="5"/>
      <c r="DV918" s="5"/>
      <c r="DW918" s="5"/>
      <c r="DX918" s="5"/>
      <c r="DY918" s="5"/>
      <c r="DZ918" s="5"/>
      <c r="EA918" s="5"/>
      <c r="EB918" s="5"/>
      <c r="EC918" s="5"/>
      <c r="ED918" s="5"/>
      <c r="EE918" s="5"/>
    </row>
    <row r="919" spans="1:135" ht="30" customHeight="1" thickBot="1" x14ac:dyDescent="0.3">
      <c r="A919" s="578" t="s">
        <v>3753</v>
      </c>
      <c r="B919" s="8">
        <v>5525</v>
      </c>
      <c r="C919" s="50" t="s">
        <v>3750</v>
      </c>
      <c r="D919" s="10" t="s">
        <v>24</v>
      </c>
      <c r="E919" s="28" t="s">
        <v>25</v>
      </c>
      <c r="F919" s="20" t="s">
        <v>3751</v>
      </c>
      <c r="G919" s="15" t="s">
        <v>1698</v>
      </c>
      <c r="H919" s="22" t="s">
        <v>3752</v>
      </c>
      <c r="I919" s="18" t="s">
        <v>48</v>
      </c>
      <c r="J919" s="18" t="s">
        <v>49</v>
      </c>
      <c r="K919" s="33" t="s">
        <v>3754</v>
      </c>
      <c r="L919" s="25" t="str">
        <f>"RUTL-"&amp;RIGHT(K919,8)</f>
        <v>RUTL-1AAB6N02</v>
      </c>
      <c r="M919" s="129" t="s">
        <v>40</v>
      </c>
      <c r="N919" s="23" t="s">
        <v>54</v>
      </c>
      <c r="O919" s="354"/>
      <c r="P919" s="45" t="s">
        <v>46</v>
      </c>
      <c r="Q919" s="23" t="s">
        <v>3755</v>
      </c>
      <c r="R919" s="15" t="s">
        <v>56</v>
      </c>
      <c r="S919" s="37" t="s">
        <v>57</v>
      </c>
      <c r="T919" s="41" t="s">
        <v>65</v>
      </c>
      <c r="U919" s="39" t="s">
        <v>3756</v>
      </c>
      <c r="V919" s="48">
        <v>46111</v>
      </c>
      <c r="W919" s="23" t="s">
        <v>67</v>
      </c>
      <c r="X919" s="71"/>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c r="DE919" s="5"/>
      <c r="DF919" s="5"/>
      <c r="DG919" s="5"/>
      <c r="DH919" s="5"/>
      <c r="DI919" s="5"/>
      <c r="DJ919" s="5"/>
      <c r="DK919" s="5"/>
      <c r="DL919" s="5"/>
      <c r="DM919" s="5"/>
      <c r="DN919" s="5"/>
      <c r="DO919" s="5"/>
      <c r="DP919" s="5"/>
      <c r="DQ919" s="5"/>
      <c r="DR919" s="5"/>
      <c r="DS919" s="5"/>
      <c r="DT919" s="5"/>
      <c r="DU919" s="5"/>
      <c r="DV919" s="5"/>
      <c r="DW919" s="5"/>
      <c r="DX919" s="5"/>
      <c r="DY919" s="5"/>
      <c r="DZ919" s="5"/>
      <c r="EA919" s="5"/>
      <c r="EB919" s="5"/>
      <c r="EC919" s="5"/>
      <c r="ED919" s="5"/>
      <c r="EE919" s="5"/>
    </row>
    <row r="920" spans="1:135" ht="30" customHeight="1" thickBot="1" x14ac:dyDescent="0.3">
      <c r="A920" s="578" t="s">
        <v>7256</v>
      </c>
      <c r="B920" s="435">
        <v>18126</v>
      </c>
      <c r="C920" s="52" t="s">
        <v>7253</v>
      </c>
      <c r="D920" s="10" t="s">
        <v>24</v>
      </c>
      <c r="E920" s="28" t="s">
        <v>25</v>
      </c>
      <c r="F920" s="20" t="s">
        <v>7254</v>
      </c>
      <c r="G920" s="15" t="s">
        <v>7255</v>
      </c>
      <c r="H920" s="370" t="s">
        <v>3902</v>
      </c>
      <c r="I920" s="54" t="s">
        <v>48</v>
      </c>
      <c r="J920" s="18" t="s">
        <v>49</v>
      </c>
      <c r="K920" s="33" t="s">
        <v>7257</v>
      </c>
      <c r="L920" s="25" t="str">
        <f>"RUTL-"&amp;RIGHT(K920,8)</f>
        <v>RUTL-1A6A6N02</v>
      </c>
      <c r="M920" s="129" t="s">
        <v>40</v>
      </c>
      <c r="N920" s="23" t="s">
        <v>54</v>
      </c>
      <c r="O920" s="23"/>
      <c r="P920" s="45" t="s">
        <v>46</v>
      </c>
      <c r="Q920" s="35" t="s">
        <v>7258</v>
      </c>
      <c r="R920" s="15" t="s">
        <v>56</v>
      </c>
      <c r="S920" s="40" t="s">
        <v>57</v>
      </c>
      <c r="T920" s="107" t="s">
        <v>148</v>
      </c>
      <c r="U920" s="39" t="s">
        <v>6536</v>
      </c>
      <c r="V920" s="48">
        <v>46111</v>
      </c>
      <c r="W920" s="23" t="s">
        <v>67</v>
      </c>
      <c r="X920" s="30"/>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row>
    <row r="921" spans="1:135" ht="30" customHeight="1" thickBot="1" x14ac:dyDescent="0.3">
      <c r="A921" s="578" t="s">
        <v>7183</v>
      </c>
      <c r="B921" s="51">
        <v>17712</v>
      </c>
      <c r="C921" s="52" t="s">
        <v>7181</v>
      </c>
      <c r="D921" s="10" t="s">
        <v>24</v>
      </c>
      <c r="E921" s="28" t="s">
        <v>25</v>
      </c>
      <c r="F921" s="29" t="s">
        <v>7182</v>
      </c>
      <c r="G921" s="15" t="s">
        <v>889</v>
      </c>
      <c r="H921" s="22" t="s">
        <v>6739</v>
      </c>
      <c r="I921" s="18" t="s">
        <v>48</v>
      </c>
      <c r="J921" s="18" t="s">
        <v>49</v>
      </c>
      <c r="K921" s="33" t="s">
        <v>7184</v>
      </c>
      <c r="L921" s="25" t="str">
        <f>"RUTL-"&amp;RIGHT(K921,8)</f>
        <v>RUTL-1D226N02</v>
      </c>
      <c r="M921" s="34" t="s">
        <v>40</v>
      </c>
      <c r="N921" s="23" t="s">
        <v>54</v>
      </c>
      <c r="O921" s="23"/>
      <c r="P921" s="45" t="s">
        <v>46</v>
      </c>
      <c r="Q921" s="36" t="s">
        <v>7185</v>
      </c>
      <c r="R921" s="46" t="s">
        <v>56</v>
      </c>
      <c r="S921" s="37" t="s">
        <v>57</v>
      </c>
      <c r="T921" s="118" t="s">
        <v>65</v>
      </c>
      <c r="U921" s="39" t="s">
        <v>1262</v>
      </c>
      <c r="V921" s="48"/>
      <c r="W921" s="23" t="s">
        <v>99</v>
      </c>
      <c r="X921" s="71"/>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c r="DE921" s="5"/>
      <c r="DF921" s="5"/>
      <c r="DG921" s="5"/>
      <c r="DH921" s="5"/>
      <c r="DI921" s="5"/>
      <c r="DJ921" s="5"/>
      <c r="DK921" s="5"/>
      <c r="DL921" s="5"/>
      <c r="DM921" s="5"/>
      <c r="DN921" s="5"/>
      <c r="DO921" s="5"/>
      <c r="DP921" s="5"/>
      <c r="DQ921" s="5"/>
      <c r="DR921" s="5"/>
      <c r="DS921" s="5"/>
      <c r="DT921" s="5"/>
      <c r="DU921" s="5"/>
      <c r="DV921" s="5"/>
      <c r="DW921" s="5"/>
      <c r="DX921" s="5"/>
      <c r="DY921" s="5"/>
      <c r="DZ921" s="5"/>
      <c r="EA921" s="5"/>
      <c r="EB921" s="5"/>
      <c r="EC921" s="5"/>
      <c r="ED921" s="5"/>
      <c r="EE921" s="5"/>
    </row>
    <row r="922" spans="1:135" ht="30" customHeight="1" thickBot="1" x14ac:dyDescent="0.3">
      <c r="A922" s="578" t="s">
        <v>7215</v>
      </c>
      <c r="B922" s="51">
        <v>17739</v>
      </c>
      <c r="C922" s="52" t="s">
        <v>7213</v>
      </c>
      <c r="D922" s="10" t="s">
        <v>24</v>
      </c>
      <c r="E922" s="28" t="s">
        <v>25</v>
      </c>
      <c r="F922" s="29" t="s">
        <v>7214</v>
      </c>
      <c r="G922" s="15" t="s">
        <v>889</v>
      </c>
      <c r="H922" s="22" t="s">
        <v>6739</v>
      </c>
      <c r="I922" s="18" t="s">
        <v>48</v>
      </c>
      <c r="J922" s="18" t="s">
        <v>49</v>
      </c>
      <c r="K922" s="33" t="s">
        <v>7216</v>
      </c>
      <c r="L922" s="25" t="str">
        <f>"RUTL-"&amp;RIGHT(K922,8)</f>
        <v>RUTL-1D0C6N02</v>
      </c>
      <c r="M922" s="34" t="s">
        <v>40</v>
      </c>
      <c r="N922" s="23" t="s">
        <v>54</v>
      </c>
      <c r="O922" s="23"/>
      <c r="P922" s="45" t="s">
        <v>46</v>
      </c>
      <c r="Q922" s="36" t="s">
        <v>7217</v>
      </c>
      <c r="R922" s="46" t="s">
        <v>56</v>
      </c>
      <c r="S922" s="37" t="s">
        <v>57</v>
      </c>
      <c r="T922" s="118" t="s">
        <v>65</v>
      </c>
      <c r="U922" s="39" t="s">
        <v>1262</v>
      </c>
      <c r="V922" s="48"/>
      <c r="W922" s="23" t="s">
        <v>99</v>
      </c>
      <c r="X922" s="71"/>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c r="DJ922" s="5"/>
      <c r="DK922" s="5"/>
      <c r="DL922" s="5"/>
      <c r="DM922" s="5"/>
      <c r="DN922" s="5"/>
      <c r="DO922" s="5"/>
      <c r="DP922" s="5"/>
      <c r="DQ922" s="5"/>
      <c r="DR922" s="5"/>
      <c r="DS922" s="5"/>
      <c r="DT922" s="5"/>
      <c r="DU922" s="5"/>
      <c r="DV922" s="5"/>
      <c r="DW922" s="5"/>
      <c r="DX922" s="5"/>
      <c r="DY922" s="5"/>
      <c r="DZ922" s="5"/>
      <c r="EA922" s="5"/>
      <c r="EB922" s="5"/>
      <c r="EC922" s="5"/>
      <c r="ED922" s="5"/>
      <c r="EE922" s="5"/>
    </row>
    <row r="923" spans="1:135" ht="30" customHeight="1" thickBot="1" x14ac:dyDescent="0.3">
      <c r="A923" s="578" t="s">
        <v>7009</v>
      </c>
      <c r="B923" s="51">
        <v>17158</v>
      </c>
      <c r="C923" s="52" t="s">
        <v>7007</v>
      </c>
      <c r="D923" s="140" t="s">
        <v>24</v>
      </c>
      <c r="E923" s="11" t="s">
        <v>25</v>
      </c>
      <c r="F923" s="20" t="s">
        <v>7008</v>
      </c>
      <c r="G923" s="15" t="s">
        <v>1566</v>
      </c>
      <c r="H923" s="31" t="s">
        <v>255</v>
      </c>
      <c r="I923" s="24" t="s">
        <v>135</v>
      </c>
      <c r="J923" s="24" t="s">
        <v>32</v>
      </c>
      <c r="K923" s="23" t="s">
        <v>7010</v>
      </c>
      <c r="L923" s="25" t="str">
        <f>"RUTL-"&amp;RIGHT(K923,8)</f>
        <v>RUTL-PW0K0DSA</v>
      </c>
      <c r="M923" s="34" t="s">
        <v>40</v>
      </c>
      <c r="N923" s="23" t="s">
        <v>54</v>
      </c>
      <c r="O923" s="94"/>
      <c r="P923" s="45" t="s">
        <v>46</v>
      </c>
      <c r="Q923" s="35"/>
      <c r="R923" s="15" t="s">
        <v>56</v>
      </c>
      <c r="S923" s="40" t="s">
        <v>57</v>
      </c>
      <c r="T923" s="118" t="s">
        <v>65</v>
      </c>
      <c r="U923" s="39" t="s">
        <v>6941</v>
      </c>
      <c r="V923" s="43">
        <v>46122</v>
      </c>
      <c r="W923" s="32" t="s">
        <v>62</v>
      </c>
      <c r="X923" s="71"/>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c r="DN923" s="5"/>
      <c r="DO923" s="5"/>
      <c r="DP923" s="5"/>
      <c r="DQ923" s="5"/>
      <c r="DR923" s="5"/>
      <c r="DS923" s="5"/>
      <c r="DT923" s="5"/>
      <c r="DU923" s="5"/>
      <c r="DV923" s="5"/>
      <c r="DW923" s="5"/>
      <c r="DX923" s="5"/>
      <c r="DY923" s="5"/>
      <c r="DZ923" s="5"/>
      <c r="EA923" s="5"/>
      <c r="EB923" s="5"/>
      <c r="EC923" s="5"/>
      <c r="ED923" s="5"/>
      <c r="EE923" s="5"/>
    </row>
    <row r="924" spans="1:135" ht="30" customHeight="1" thickBot="1" x14ac:dyDescent="0.3">
      <c r="A924" s="578" t="s">
        <v>7453</v>
      </c>
      <c r="B924" s="51">
        <v>18710</v>
      </c>
      <c r="C924" s="72" t="s">
        <v>7451</v>
      </c>
      <c r="D924" s="140" t="s">
        <v>24</v>
      </c>
      <c r="E924" s="28" t="s">
        <v>25</v>
      </c>
      <c r="F924" s="20" t="s">
        <v>7452</v>
      </c>
      <c r="G924" s="59" t="s">
        <v>448</v>
      </c>
      <c r="H924" s="22" t="s">
        <v>6700</v>
      </c>
      <c r="I924" s="142" t="s">
        <v>4490</v>
      </c>
      <c r="J924" s="24" t="s">
        <v>32</v>
      </c>
      <c r="K924" s="33" t="s">
        <v>7454</v>
      </c>
      <c r="L924" s="25" t="str">
        <f>"RUTL-"&amp;RIGHT(K924,8)</f>
        <v>RUTL-PW0K0DZA</v>
      </c>
      <c r="M924" s="34" t="s">
        <v>40</v>
      </c>
      <c r="N924" s="23" t="s">
        <v>54</v>
      </c>
      <c r="O924" s="98"/>
      <c r="P924" s="521" t="s">
        <v>46</v>
      </c>
      <c r="Q924" s="522" t="s">
        <v>7455</v>
      </c>
      <c r="R924" s="15" t="s">
        <v>56</v>
      </c>
      <c r="S924" s="37" t="s">
        <v>57</v>
      </c>
      <c r="T924" s="35" t="s">
        <v>65</v>
      </c>
      <c r="U924" s="39" t="s">
        <v>6014</v>
      </c>
      <c r="V924" s="270">
        <v>46122</v>
      </c>
      <c r="W924" s="32" t="s">
        <v>62</v>
      </c>
      <c r="X924" s="71"/>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c r="BO924" s="30"/>
      <c r="BP924" s="30"/>
      <c r="BQ924" s="30"/>
      <c r="BR924" s="30"/>
      <c r="BS924" s="30"/>
      <c r="BT924" s="30"/>
      <c r="BU924" s="30"/>
      <c r="BV924" s="30"/>
      <c r="BW924" s="30"/>
      <c r="BX924" s="30"/>
      <c r="BY924" s="30"/>
      <c r="BZ924" s="30"/>
      <c r="CA924" s="30"/>
      <c r="CB924" s="30"/>
      <c r="CC924" s="30"/>
      <c r="CD924" s="30"/>
      <c r="CE924" s="30"/>
      <c r="CF924" s="30"/>
      <c r="CG924" s="30"/>
      <c r="CH924" s="30"/>
      <c r="CI924" s="30"/>
      <c r="CJ924" s="30"/>
      <c r="CK924" s="30"/>
      <c r="CL924" s="30"/>
      <c r="CM924" s="30"/>
      <c r="CN924" s="30"/>
      <c r="CO924" s="30"/>
      <c r="CP924" s="30"/>
      <c r="CQ924" s="30"/>
      <c r="CR924" s="30"/>
      <c r="CS924" s="30"/>
      <c r="CT924" s="30"/>
      <c r="CU924" s="30"/>
      <c r="CV924" s="30"/>
      <c r="CW924" s="30"/>
      <c r="CX924" s="30"/>
      <c r="CY924" s="30"/>
      <c r="CZ924" s="30"/>
      <c r="DA924" s="30"/>
      <c r="DB924" s="30"/>
      <c r="DC924" s="30"/>
      <c r="DD924" s="30"/>
      <c r="DE924" s="30"/>
      <c r="DF924" s="30"/>
      <c r="DG924" s="30"/>
      <c r="DH924" s="30"/>
      <c r="DI924" s="30"/>
      <c r="DJ924" s="30"/>
      <c r="DK924" s="30"/>
      <c r="DL924" s="30"/>
      <c r="DM924" s="30"/>
      <c r="DN924" s="30"/>
      <c r="DO924" s="30"/>
      <c r="DP924" s="30"/>
      <c r="DQ924" s="30"/>
      <c r="DR924" s="30"/>
      <c r="DS924" s="30"/>
      <c r="DT924" s="30"/>
      <c r="DU924" s="30"/>
      <c r="DV924" s="30"/>
      <c r="DW924" s="30"/>
      <c r="DX924" s="30"/>
      <c r="DY924" s="30"/>
      <c r="DZ924" s="30"/>
      <c r="EA924" s="30"/>
      <c r="EB924" s="30"/>
      <c r="EC924" s="30"/>
      <c r="ED924" s="30"/>
      <c r="EE924" s="30"/>
    </row>
    <row r="925" spans="1:135" ht="30" customHeight="1" thickBot="1" x14ac:dyDescent="0.3">
      <c r="A925" s="578" t="s">
        <v>7459</v>
      </c>
      <c r="B925" s="51">
        <v>18742</v>
      </c>
      <c r="C925" s="72" t="s">
        <v>7456</v>
      </c>
      <c r="D925" s="10" t="s">
        <v>24</v>
      </c>
      <c r="E925" s="28" t="s">
        <v>25</v>
      </c>
      <c r="F925" s="20" t="s">
        <v>7457</v>
      </c>
      <c r="G925" s="15" t="s">
        <v>5252</v>
      </c>
      <c r="H925" s="22" t="s">
        <v>7458</v>
      </c>
      <c r="I925" s="24" t="s">
        <v>135</v>
      </c>
      <c r="J925" s="24" t="s">
        <v>32</v>
      </c>
      <c r="K925" s="33" t="s">
        <v>7460</v>
      </c>
      <c r="L925" s="25" t="str">
        <f>"RUTL-"&amp;RIGHT(K925,8)</f>
        <v>RUTL-PW0K0DBA</v>
      </c>
      <c r="M925" s="34" t="s">
        <v>40</v>
      </c>
      <c r="N925" s="23" t="s">
        <v>54</v>
      </c>
      <c r="O925" s="98"/>
      <c r="P925" s="45" t="s">
        <v>46</v>
      </c>
      <c r="Q925" s="35" t="s">
        <v>7461</v>
      </c>
      <c r="R925" s="15" t="s">
        <v>56</v>
      </c>
      <c r="S925" s="37" t="s">
        <v>57</v>
      </c>
      <c r="T925" s="107" t="s">
        <v>453</v>
      </c>
      <c r="U925" s="39" t="s">
        <v>3584</v>
      </c>
      <c r="V925" s="43">
        <v>46122</v>
      </c>
      <c r="W925" s="32" t="s">
        <v>62</v>
      </c>
      <c r="X925" s="264"/>
    </row>
    <row r="926" spans="1:135" ht="30" customHeight="1" thickBot="1" x14ac:dyDescent="0.3">
      <c r="A926" s="578" t="s">
        <v>7648</v>
      </c>
      <c r="B926" s="51" t="s">
        <v>7644</v>
      </c>
      <c r="C926" s="72" t="s">
        <v>7645</v>
      </c>
      <c r="D926" s="10" t="s">
        <v>24</v>
      </c>
      <c r="E926" s="28" t="s">
        <v>25</v>
      </c>
      <c r="F926" s="20" t="s">
        <v>7646</v>
      </c>
      <c r="G926" s="15" t="s">
        <v>7647</v>
      </c>
      <c r="H926" s="31" t="s">
        <v>2041</v>
      </c>
      <c r="I926" s="18" t="s">
        <v>38</v>
      </c>
      <c r="J926" s="24" t="s">
        <v>32</v>
      </c>
      <c r="K926" s="23" t="s">
        <v>7649</v>
      </c>
      <c r="L926" s="25" t="str">
        <f>"RUTL-"&amp;RIGHT(K926,8)</f>
        <v>RUTL-PW0K0D79</v>
      </c>
      <c r="M926" s="34" t="s">
        <v>40</v>
      </c>
      <c r="N926" s="23" t="s">
        <v>54</v>
      </c>
      <c r="O926" s="98"/>
      <c r="P926" s="45" t="s">
        <v>46</v>
      </c>
      <c r="Q926" s="35" t="s">
        <v>7650</v>
      </c>
      <c r="R926" s="15" t="s">
        <v>56</v>
      </c>
      <c r="S926" s="37" t="s">
        <v>57</v>
      </c>
      <c r="T926" s="41" t="s">
        <v>271</v>
      </c>
      <c r="U926" s="47" t="s">
        <v>7651</v>
      </c>
      <c r="V926" s="43">
        <v>46122</v>
      </c>
      <c r="W926" s="32" t="s">
        <v>62</v>
      </c>
      <c r="X926" s="24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c r="DE926" s="5"/>
      <c r="DF926" s="5"/>
      <c r="DG926" s="5"/>
      <c r="DH926" s="5"/>
      <c r="DI926" s="5"/>
      <c r="DJ926" s="5"/>
      <c r="DK926" s="5"/>
      <c r="DL926" s="5"/>
      <c r="DM926" s="5"/>
      <c r="DN926" s="5"/>
      <c r="DO926" s="5"/>
      <c r="DP926" s="5"/>
      <c r="DQ926" s="5"/>
      <c r="DR926" s="5"/>
      <c r="DS926" s="5"/>
      <c r="DT926" s="5"/>
      <c r="DU926" s="5"/>
      <c r="DV926" s="5"/>
      <c r="DW926" s="5"/>
      <c r="DX926" s="5"/>
      <c r="DY926" s="5"/>
      <c r="DZ926" s="5"/>
      <c r="EA926" s="5"/>
      <c r="EB926" s="5"/>
      <c r="EC926" s="5"/>
      <c r="ED926" s="5"/>
      <c r="EE926" s="5"/>
    </row>
    <row r="927" spans="1:135" ht="30" customHeight="1" thickBot="1" x14ac:dyDescent="0.3">
      <c r="A927" s="578" t="s">
        <v>7013</v>
      </c>
      <c r="B927" s="51">
        <v>17189</v>
      </c>
      <c r="C927" s="72" t="s">
        <v>7011</v>
      </c>
      <c r="D927" s="140" t="s">
        <v>24</v>
      </c>
      <c r="E927" s="11" t="s">
        <v>25</v>
      </c>
      <c r="F927" s="20" t="s">
        <v>7012</v>
      </c>
      <c r="G927" s="15" t="s">
        <v>5608</v>
      </c>
      <c r="H927" s="22" t="s">
        <v>6739</v>
      </c>
      <c r="I927" s="24" t="s">
        <v>135</v>
      </c>
      <c r="J927" s="24" t="s">
        <v>32</v>
      </c>
      <c r="K927" s="23" t="s">
        <v>7014</v>
      </c>
      <c r="L927" s="25" t="str">
        <f>"RUTL-"&amp;RIGHT(K927,8)</f>
        <v>RUTL-PW0K0DCC</v>
      </c>
      <c r="M927" s="34" t="s">
        <v>40</v>
      </c>
      <c r="N927" s="23" t="s">
        <v>54</v>
      </c>
      <c r="O927" s="94"/>
      <c r="P927" s="45" t="s">
        <v>46</v>
      </c>
      <c r="Q927" s="35" t="s">
        <v>7015</v>
      </c>
      <c r="R927" s="15" t="s">
        <v>56</v>
      </c>
      <c r="S927" s="40" t="s">
        <v>57</v>
      </c>
      <c r="T927" s="118" t="s">
        <v>65</v>
      </c>
      <c r="U927" s="39" t="s">
        <v>7016</v>
      </c>
      <c r="V927" s="43">
        <v>46122</v>
      </c>
      <c r="W927" s="32" t="s">
        <v>62</v>
      </c>
      <c r="X927" s="71"/>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c r="DE927" s="5"/>
      <c r="DF927" s="5"/>
      <c r="DG927" s="5"/>
      <c r="DH927" s="5"/>
      <c r="DI927" s="5"/>
      <c r="DJ927" s="5"/>
      <c r="DK927" s="5"/>
      <c r="DL927" s="5"/>
      <c r="DM927" s="5"/>
      <c r="DN927" s="5"/>
      <c r="DO927" s="5"/>
      <c r="DP927" s="5"/>
      <c r="DQ927" s="5"/>
      <c r="DR927" s="5"/>
      <c r="DS927" s="5"/>
      <c r="DT927" s="5"/>
      <c r="DU927" s="5"/>
      <c r="DV927" s="5"/>
      <c r="DW927" s="5"/>
      <c r="DX927" s="5"/>
      <c r="DY927" s="5"/>
      <c r="DZ927" s="5"/>
      <c r="EA927" s="5"/>
      <c r="EB927" s="5"/>
      <c r="EC927" s="5"/>
      <c r="ED927" s="5"/>
      <c r="EE927" s="5"/>
    </row>
    <row r="928" spans="1:135" ht="30" customHeight="1" thickBot="1" x14ac:dyDescent="0.3">
      <c r="A928" s="578" t="s">
        <v>2500</v>
      </c>
      <c r="B928" s="51">
        <v>1288</v>
      </c>
      <c r="C928" s="52" t="s">
        <v>2497</v>
      </c>
      <c r="D928" s="15" t="s">
        <v>24</v>
      </c>
      <c r="E928" s="11" t="s">
        <v>25</v>
      </c>
      <c r="F928" s="20" t="s">
        <v>2498</v>
      </c>
      <c r="G928" s="15" t="s">
        <v>469</v>
      </c>
      <c r="H928" s="22" t="s">
        <v>2109</v>
      </c>
      <c r="I928" s="205" t="s">
        <v>135</v>
      </c>
      <c r="J928" s="24" t="s">
        <v>32</v>
      </c>
      <c r="K928" s="23" t="s">
        <v>2501</v>
      </c>
      <c r="L928" s="25" t="str">
        <f>"RUTL-"&amp;RIGHT(K928,8)</f>
        <v>RUTL-PW0K0DZQ</v>
      </c>
      <c r="M928" s="34" t="s">
        <v>40</v>
      </c>
      <c r="N928" s="23" t="s">
        <v>54</v>
      </c>
      <c r="O928" s="94"/>
      <c r="P928" s="45" t="s">
        <v>46</v>
      </c>
      <c r="Q928" s="35" t="s">
        <v>2502</v>
      </c>
      <c r="R928" s="15" t="s">
        <v>56</v>
      </c>
      <c r="S928" s="40" t="s">
        <v>57</v>
      </c>
      <c r="T928" s="107" t="s">
        <v>453</v>
      </c>
      <c r="U928" s="39" t="s">
        <v>948</v>
      </c>
      <c r="V928" s="43">
        <v>46122</v>
      </c>
      <c r="W928" s="32" t="s">
        <v>62</v>
      </c>
      <c r="X928" s="71"/>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c r="DE928" s="5"/>
      <c r="DF928" s="5"/>
      <c r="DG928" s="5"/>
      <c r="DH928" s="5"/>
      <c r="DI928" s="5"/>
      <c r="DJ928" s="5"/>
      <c r="DK928" s="5"/>
      <c r="DL928" s="5"/>
      <c r="DM928" s="5"/>
      <c r="DN928" s="5"/>
      <c r="DO928" s="5"/>
      <c r="DP928" s="5"/>
      <c r="DQ928" s="5"/>
      <c r="DR928" s="5"/>
      <c r="DS928" s="5"/>
      <c r="DT928" s="5"/>
      <c r="DU928" s="5"/>
      <c r="DV928" s="5"/>
      <c r="DW928" s="5"/>
      <c r="DX928" s="5"/>
      <c r="DY928" s="5"/>
      <c r="DZ928" s="5"/>
      <c r="EA928" s="5"/>
      <c r="EB928" s="5"/>
      <c r="EC928" s="5"/>
      <c r="ED928" s="5"/>
      <c r="EE928" s="5"/>
    </row>
    <row r="929" spans="1:135" ht="30" customHeight="1" thickBot="1" x14ac:dyDescent="0.3">
      <c r="A929" s="578" t="s">
        <v>5567</v>
      </c>
      <c r="B929" s="16">
        <v>13289</v>
      </c>
      <c r="C929" s="315" t="s">
        <v>5564</v>
      </c>
      <c r="D929" s="10" t="s">
        <v>24</v>
      </c>
      <c r="E929" s="28" t="s">
        <v>25</v>
      </c>
      <c r="F929" s="20" t="s">
        <v>5565</v>
      </c>
      <c r="G929" s="15" t="s">
        <v>2764</v>
      </c>
      <c r="H929" s="104" t="s">
        <v>5566</v>
      </c>
      <c r="I929" s="205" t="s">
        <v>135</v>
      </c>
      <c r="J929" s="24" t="s">
        <v>32</v>
      </c>
      <c r="K929" s="33" t="s">
        <v>5568</v>
      </c>
      <c r="L929" s="25" t="str">
        <f>"RUTL-"&amp;RIGHT(K929,8)</f>
        <v>RUTL-PW0K0DXJ</v>
      </c>
      <c r="M929" s="34" t="s">
        <v>40</v>
      </c>
      <c r="N929" s="32" t="s">
        <v>43</v>
      </c>
      <c r="O929" s="98"/>
      <c r="P929" s="45" t="s">
        <v>46</v>
      </c>
      <c r="Q929" s="35" t="s">
        <v>5569</v>
      </c>
      <c r="R929" s="15" t="s">
        <v>56</v>
      </c>
      <c r="S929" s="37" t="s">
        <v>57</v>
      </c>
      <c r="T929" s="105" t="s">
        <v>148</v>
      </c>
      <c r="U929" s="23" t="s">
        <v>4760</v>
      </c>
      <c r="V929" s="43">
        <v>46122</v>
      </c>
      <c r="W929" s="32" t="s">
        <v>62</v>
      </c>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row>
    <row r="930" spans="1:135" ht="30" customHeight="1" thickBot="1" x14ac:dyDescent="0.3">
      <c r="A930" s="578" t="s">
        <v>6491</v>
      </c>
      <c r="B930" s="16">
        <v>15987</v>
      </c>
      <c r="C930" s="315" t="s">
        <v>6488</v>
      </c>
      <c r="D930" s="140" t="s">
        <v>24</v>
      </c>
      <c r="E930" s="11" t="s">
        <v>25</v>
      </c>
      <c r="F930" s="29" t="s">
        <v>6489</v>
      </c>
      <c r="G930" s="59" t="s">
        <v>6490</v>
      </c>
      <c r="H930" s="104" t="s">
        <v>408</v>
      </c>
      <c r="I930" s="296" t="s">
        <v>135</v>
      </c>
      <c r="J930" s="24" t="s">
        <v>32</v>
      </c>
      <c r="K930" s="32" t="s">
        <v>6492</v>
      </c>
      <c r="L930" s="25" t="str">
        <f>"RUTL-"&amp;RIGHT(K930,8)</f>
        <v>RUTL-PW0K0DYP</v>
      </c>
      <c r="M930" s="34" t="s">
        <v>40</v>
      </c>
      <c r="N930" s="23" t="s">
        <v>43</v>
      </c>
      <c r="O930" s="98"/>
      <c r="P930" s="45" t="s">
        <v>46</v>
      </c>
      <c r="Q930" s="35" t="s">
        <v>6493</v>
      </c>
      <c r="R930" s="15" t="s">
        <v>56</v>
      </c>
      <c r="S930" s="37" t="s">
        <v>57</v>
      </c>
      <c r="T930" s="105" t="s">
        <v>148</v>
      </c>
      <c r="U930" s="39" t="s">
        <v>6494</v>
      </c>
      <c r="V930" s="270">
        <v>46122</v>
      </c>
      <c r="W930" s="32" t="s">
        <v>62</v>
      </c>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c r="BO930" s="30"/>
      <c r="BP930" s="30"/>
      <c r="BQ930" s="30"/>
      <c r="BR930" s="30"/>
      <c r="BS930" s="30"/>
      <c r="BT930" s="30"/>
      <c r="BU930" s="30"/>
      <c r="BV930" s="30"/>
      <c r="BW930" s="30"/>
      <c r="BX930" s="30"/>
      <c r="BY930" s="30"/>
      <c r="BZ930" s="30"/>
      <c r="CA930" s="30"/>
      <c r="CB930" s="30"/>
      <c r="CC930" s="30"/>
      <c r="CD930" s="30"/>
      <c r="CE930" s="30"/>
      <c r="CF930" s="30"/>
      <c r="CG930" s="30"/>
      <c r="CH930" s="30"/>
      <c r="CI930" s="30"/>
      <c r="CJ930" s="30"/>
      <c r="CK930" s="30"/>
      <c r="CL930" s="30"/>
      <c r="CM930" s="30"/>
      <c r="CN930" s="30"/>
      <c r="CO930" s="30"/>
      <c r="CP930" s="30"/>
      <c r="CQ930" s="30"/>
      <c r="CR930" s="30"/>
      <c r="CS930" s="30"/>
      <c r="CT930" s="30"/>
      <c r="CU930" s="30"/>
      <c r="CV930" s="30"/>
      <c r="CW930" s="30"/>
      <c r="CX930" s="30"/>
      <c r="CY930" s="30"/>
      <c r="CZ930" s="30"/>
      <c r="DA930" s="30"/>
      <c r="DB930" s="30"/>
      <c r="DC930" s="30"/>
      <c r="DD930" s="30"/>
      <c r="DE930" s="30"/>
      <c r="DF930" s="30"/>
      <c r="DG930" s="30"/>
      <c r="DH930" s="30"/>
      <c r="DI930" s="30"/>
      <c r="DJ930" s="30"/>
      <c r="DK930" s="30"/>
      <c r="DL930" s="30"/>
      <c r="DM930" s="30"/>
      <c r="DN930" s="30"/>
      <c r="DO930" s="30"/>
      <c r="DP930" s="30"/>
      <c r="DQ930" s="30"/>
      <c r="DR930" s="30"/>
      <c r="DS930" s="30"/>
      <c r="DT930" s="30"/>
      <c r="DU930" s="30"/>
      <c r="DV930" s="30"/>
      <c r="DW930" s="30"/>
      <c r="DX930" s="30"/>
      <c r="DY930" s="30"/>
      <c r="DZ930" s="30"/>
      <c r="EA930" s="30"/>
      <c r="EB930" s="30"/>
      <c r="EC930" s="30"/>
      <c r="ED930" s="30"/>
      <c r="EE930" s="30"/>
    </row>
    <row r="931" spans="1:135" ht="30" customHeight="1" thickBot="1" x14ac:dyDescent="0.3">
      <c r="A931" s="578" t="s">
        <v>7448</v>
      </c>
      <c r="B931" s="51">
        <v>18701</v>
      </c>
      <c r="C931" s="231" t="s">
        <v>7445</v>
      </c>
      <c r="D931" s="140" t="s">
        <v>24</v>
      </c>
      <c r="E931" s="28" t="s">
        <v>25</v>
      </c>
      <c r="F931" s="20" t="s">
        <v>7446</v>
      </c>
      <c r="G931" s="15" t="s">
        <v>7447</v>
      </c>
      <c r="H931" s="102" t="s">
        <v>287</v>
      </c>
      <c r="I931" s="296" t="s">
        <v>135</v>
      </c>
      <c r="J931" s="24" t="s">
        <v>32</v>
      </c>
      <c r="K931" s="33" t="s">
        <v>7449</v>
      </c>
      <c r="L931" s="25" t="str">
        <f>"RUTL-"&amp;RIGHT(K931,8)</f>
        <v>RUTL-PW0K0DA7</v>
      </c>
      <c r="M931" s="34" t="s">
        <v>40</v>
      </c>
      <c r="N931" s="23" t="s">
        <v>43</v>
      </c>
      <c r="O931" s="98"/>
      <c r="P931" s="45" t="s">
        <v>46</v>
      </c>
      <c r="Q931" s="35" t="s">
        <v>7450</v>
      </c>
      <c r="R931" s="15" t="s">
        <v>56</v>
      </c>
      <c r="S931" s="426" t="s">
        <v>296</v>
      </c>
      <c r="T931" s="105" t="s">
        <v>148</v>
      </c>
      <c r="U931" s="39" t="s">
        <v>6014</v>
      </c>
      <c r="V931" s="270">
        <v>46122</v>
      </c>
      <c r="W931" s="32" t="s">
        <v>62</v>
      </c>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c r="BO931" s="30"/>
      <c r="BP931" s="30"/>
      <c r="BQ931" s="30"/>
      <c r="BR931" s="30"/>
      <c r="BS931" s="30"/>
      <c r="BT931" s="30"/>
      <c r="BU931" s="30"/>
      <c r="BV931" s="30"/>
      <c r="BW931" s="30"/>
      <c r="BX931" s="30"/>
      <c r="BY931" s="30"/>
      <c r="BZ931" s="30"/>
      <c r="CA931" s="30"/>
      <c r="CB931" s="30"/>
      <c r="CC931" s="30"/>
      <c r="CD931" s="30"/>
      <c r="CE931" s="30"/>
      <c r="CF931" s="30"/>
      <c r="CG931" s="30"/>
      <c r="CH931" s="30"/>
      <c r="CI931" s="30"/>
      <c r="CJ931" s="30"/>
      <c r="CK931" s="30"/>
      <c r="CL931" s="30"/>
      <c r="CM931" s="30"/>
      <c r="CN931" s="30"/>
      <c r="CO931" s="30"/>
      <c r="CP931" s="30"/>
      <c r="CQ931" s="30"/>
      <c r="CR931" s="30"/>
      <c r="CS931" s="30"/>
      <c r="CT931" s="30"/>
      <c r="CU931" s="30"/>
      <c r="CV931" s="30"/>
      <c r="CW931" s="30"/>
      <c r="CX931" s="30"/>
      <c r="CY931" s="30"/>
      <c r="CZ931" s="30"/>
      <c r="DA931" s="30"/>
      <c r="DB931" s="30"/>
      <c r="DC931" s="30"/>
      <c r="DD931" s="30"/>
      <c r="DE931" s="30"/>
      <c r="DF931" s="30"/>
      <c r="DG931" s="30"/>
      <c r="DH931" s="30"/>
      <c r="DI931" s="30"/>
      <c r="DJ931" s="30"/>
      <c r="DK931" s="30"/>
      <c r="DL931" s="30"/>
      <c r="DM931" s="30"/>
      <c r="DN931" s="30"/>
      <c r="DO931" s="30"/>
      <c r="DP931" s="30"/>
      <c r="DQ931" s="30"/>
      <c r="DR931" s="30"/>
      <c r="DS931" s="30"/>
      <c r="DT931" s="30"/>
      <c r="DU931" s="30"/>
      <c r="DV931" s="30"/>
      <c r="DW931" s="30"/>
      <c r="DX931" s="30"/>
      <c r="DY931" s="30"/>
      <c r="DZ931" s="30"/>
      <c r="EA931" s="30"/>
      <c r="EB931" s="30"/>
      <c r="EC931" s="30"/>
      <c r="ED931" s="30"/>
      <c r="EE931" s="30"/>
    </row>
    <row r="932" spans="1:135" ht="30" customHeight="1" thickBot="1" x14ac:dyDescent="0.3">
      <c r="A932" s="578" t="s">
        <v>7492</v>
      </c>
      <c r="B932" s="51">
        <v>18802</v>
      </c>
      <c r="C932" s="72" t="s">
        <v>7489</v>
      </c>
      <c r="D932" s="140" t="s">
        <v>24</v>
      </c>
      <c r="E932" s="11" t="s">
        <v>25</v>
      </c>
      <c r="F932" s="20" t="s">
        <v>7490</v>
      </c>
      <c r="G932" s="59" t="s">
        <v>7491</v>
      </c>
      <c r="H932" s="18" t="s">
        <v>4254</v>
      </c>
      <c r="I932" s="296" t="s">
        <v>135</v>
      </c>
      <c r="J932" s="24" t="s">
        <v>32</v>
      </c>
      <c r="K932" s="33" t="s">
        <v>7493</v>
      </c>
      <c r="L932" s="25" t="str">
        <f>"RUTL-"&amp;RIGHT(K932,8)</f>
        <v>RUTL-PW0K0DY9</v>
      </c>
      <c r="M932" s="34" t="s">
        <v>40</v>
      </c>
      <c r="N932" s="23" t="s">
        <v>54</v>
      </c>
      <c r="O932" s="98"/>
      <c r="P932" s="45" t="s">
        <v>46</v>
      </c>
      <c r="Q932" s="35" t="s">
        <v>7494</v>
      </c>
      <c r="R932" s="15" t="s">
        <v>56</v>
      </c>
      <c r="S932" s="37" t="s">
        <v>57</v>
      </c>
      <c r="T932" s="41" t="s">
        <v>65</v>
      </c>
      <c r="U932" s="39" t="s">
        <v>679</v>
      </c>
      <c r="V932" s="270">
        <v>46122</v>
      </c>
      <c r="W932" s="32" t="s">
        <v>62</v>
      </c>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c r="BO932" s="30"/>
      <c r="BP932" s="30"/>
      <c r="BQ932" s="30"/>
      <c r="BR932" s="30"/>
      <c r="BS932" s="30"/>
      <c r="BT932" s="30"/>
      <c r="BU932" s="30"/>
      <c r="BV932" s="30"/>
      <c r="BW932" s="30"/>
      <c r="BX932" s="30"/>
      <c r="BY932" s="30"/>
      <c r="BZ932" s="30"/>
      <c r="CA932" s="30"/>
      <c r="CB932" s="30"/>
      <c r="CC932" s="30"/>
      <c r="CD932" s="30"/>
      <c r="CE932" s="30"/>
      <c r="CF932" s="30"/>
      <c r="CG932" s="30"/>
      <c r="CH932" s="30"/>
      <c r="CI932" s="30"/>
      <c r="CJ932" s="30"/>
      <c r="CK932" s="30"/>
      <c r="CL932" s="30"/>
      <c r="CM932" s="30"/>
      <c r="CN932" s="30"/>
      <c r="CO932" s="30"/>
      <c r="CP932" s="30"/>
      <c r="CQ932" s="30"/>
      <c r="CR932" s="30"/>
      <c r="CS932" s="30"/>
      <c r="CT932" s="30"/>
      <c r="CU932" s="30"/>
      <c r="CV932" s="30"/>
      <c r="CW932" s="30"/>
      <c r="CX932" s="30"/>
      <c r="CY932" s="30"/>
      <c r="CZ932" s="30"/>
      <c r="DA932" s="30"/>
      <c r="DB932" s="30"/>
      <c r="DC932" s="30"/>
      <c r="DD932" s="30"/>
      <c r="DE932" s="30"/>
      <c r="DF932" s="30"/>
      <c r="DG932" s="30"/>
      <c r="DH932" s="30"/>
      <c r="DI932" s="30"/>
      <c r="DJ932" s="30"/>
      <c r="DK932" s="30"/>
      <c r="DL932" s="30"/>
      <c r="DM932" s="30"/>
      <c r="DN932" s="30"/>
      <c r="DO932" s="30"/>
      <c r="DP932" s="30"/>
      <c r="DQ932" s="30"/>
      <c r="DR932" s="30"/>
      <c r="DS932" s="30"/>
      <c r="DT932" s="30"/>
      <c r="DU932" s="30"/>
      <c r="DV932" s="30"/>
      <c r="DW932" s="30"/>
      <c r="DX932" s="30"/>
      <c r="DY932" s="30"/>
      <c r="DZ932" s="30"/>
      <c r="EA932" s="30"/>
      <c r="EB932" s="30"/>
      <c r="EC932" s="30"/>
      <c r="ED932" s="30"/>
      <c r="EE932" s="30"/>
    </row>
    <row r="933" spans="1:135" ht="30" customHeight="1" thickBot="1" x14ac:dyDescent="0.3">
      <c r="A933" s="578" t="s">
        <v>7504</v>
      </c>
      <c r="B933" s="16">
        <v>18846</v>
      </c>
      <c r="C933" s="231" t="s">
        <v>7501</v>
      </c>
      <c r="D933" s="10" t="s">
        <v>24</v>
      </c>
      <c r="E933" s="28" t="s">
        <v>25</v>
      </c>
      <c r="F933" s="20" t="s">
        <v>7502</v>
      </c>
      <c r="G933" s="15" t="s">
        <v>7503</v>
      </c>
      <c r="H933" s="104" t="s">
        <v>349</v>
      </c>
      <c r="I933" s="24" t="s">
        <v>135</v>
      </c>
      <c r="J933" s="24" t="s">
        <v>32</v>
      </c>
      <c r="K933" s="33" t="s">
        <v>7505</v>
      </c>
      <c r="L933" s="25" t="str">
        <f>"RUTL-"&amp;RIGHT(K933,8)</f>
        <v>RUTL-PW0K0DXH</v>
      </c>
      <c r="M933" s="144" t="s">
        <v>40</v>
      </c>
      <c r="N933" s="23" t="s">
        <v>54</v>
      </c>
      <c r="O933" s="98"/>
      <c r="P933" s="45" t="s">
        <v>46</v>
      </c>
      <c r="Q933" s="35"/>
      <c r="R933" s="15" t="s">
        <v>56</v>
      </c>
      <c r="S933" s="37" t="s">
        <v>57</v>
      </c>
      <c r="T933" s="108" t="s">
        <v>273</v>
      </c>
      <c r="U933" s="39" t="s">
        <v>4760</v>
      </c>
      <c r="V933" s="43">
        <v>46122</v>
      </c>
      <c r="W933" s="32" t="s">
        <v>62</v>
      </c>
      <c r="X933" s="71"/>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c r="DE933" s="5"/>
      <c r="DF933" s="5"/>
      <c r="DG933" s="5"/>
      <c r="DH933" s="5"/>
      <c r="DI933" s="5"/>
      <c r="DJ933" s="5"/>
      <c r="DK933" s="5"/>
      <c r="DL933" s="5"/>
      <c r="DM933" s="5"/>
      <c r="DN933" s="5"/>
      <c r="DO933" s="5"/>
      <c r="DP933" s="5"/>
      <c r="DQ933" s="5"/>
      <c r="DR933" s="5"/>
      <c r="DS933" s="5"/>
      <c r="DT933" s="5"/>
      <c r="DU933" s="5"/>
      <c r="DV933" s="5"/>
      <c r="DW933" s="5"/>
      <c r="DX933" s="5"/>
      <c r="DY933" s="5"/>
      <c r="DZ933" s="5"/>
      <c r="EA933" s="5"/>
      <c r="EB933" s="5"/>
      <c r="EC933" s="5"/>
      <c r="ED933" s="5"/>
      <c r="EE933" s="5"/>
    </row>
    <row r="934" spans="1:135" ht="30" customHeight="1" x14ac:dyDescent="0.25">
      <c r="A934" s="578" t="s">
        <v>7509</v>
      </c>
      <c r="B934" s="51">
        <v>18860</v>
      </c>
      <c r="C934" s="72" t="s">
        <v>7506</v>
      </c>
      <c r="D934" s="10" t="s">
        <v>24</v>
      </c>
      <c r="E934" s="28" t="s">
        <v>25</v>
      </c>
      <c r="F934" s="20" t="s">
        <v>7507</v>
      </c>
      <c r="G934" s="15" t="s">
        <v>5371</v>
      </c>
      <c r="H934" s="76" t="s">
        <v>7508</v>
      </c>
      <c r="I934" s="205" t="s">
        <v>135</v>
      </c>
      <c r="J934" s="24" t="s">
        <v>32</v>
      </c>
      <c r="K934" s="33" t="s">
        <v>7510</v>
      </c>
      <c r="L934" s="25" t="str">
        <f>"RUTL-"&amp;RIGHT(K934,8)</f>
        <v>RUTL-PW0K0D6W</v>
      </c>
      <c r="M934" s="34" t="s">
        <v>40</v>
      </c>
      <c r="N934" s="23" t="s">
        <v>43</v>
      </c>
      <c r="O934" s="98"/>
      <c r="P934" s="45" t="s">
        <v>46</v>
      </c>
      <c r="Q934" s="35" t="s">
        <v>7511</v>
      </c>
      <c r="R934" s="15" t="s">
        <v>56</v>
      </c>
      <c r="S934" s="37" t="s">
        <v>57</v>
      </c>
      <c r="T934" s="183" t="s">
        <v>675</v>
      </c>
      <c r="U934" s="39" t="s">
        <v>3933</v>
      </c>
      <c r="V934" s="43">
        <v>46122</v>
      </c>
      <c r="W934" s="32" t="s">
        <v>62</v>
      </c>
      <c r="X934" s="30"/>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row>
    <row r="935" spans="1:135" ht="30" customHeight="1" x14ac:dyDescent="0.25">
      <c r="A935" s="578" t="s">
        <v>7593</v>
      </c>
      <c r="B935" s="428" t="s">
        <v>7590</v>
      </c>
      <c r="C935" s="199" t="s">
        <v>7591</v>
      </c>
      <c r="D935" s="10" t="s">
        <v>24</v>
      </c>
      <c r="E935" s="28" t="s">
        <v>25</v>
      </c>
      <c r="F935" s="20" t="s">
        <v>7592</v>
      </c>
      <c r="G935" s="15" t="s">
        <v>904</v>
      </c>
      <c r="H935" s="119" t="s">
        <v>852</v>
      </c>
      <c r="I935" s="205" t="s">
        <v>135</v>
      </c>
      <c r="J935" s="24" t="s">
        <v>32</v>
      </c>
      <c r="K935" s="33" t="s">
        <v>7594</v>
      </c>
      <c r="L935" s="25" t="str">
        <f>"RUTL-"&amp;RIGHT(K935,8)</f>
        <v>RUTL-PW0K0DT2</v>
      </c>
      <c r="M935" s="34" t="s">
        <v>40</v>
      </c>
      <c r="N935" s="98"/>
      <c r="O935" s="98"/>
      <c r="P935" s="45" t="s">
        <v>46</v>
      </c>
      <c r="Q935" s="35" t="s">
        <v>7595</v>
      </c>
      <c r="R935" s="46" t="s">
        <v>56</v>
      </c>
      <c r="S935" s="37" t="s">
        <v>57</v>
      </c>
      <c r="T935" s="183" t="s">
        <v>675</v>
      </c>
      <c r="U935" s="39" t="s">
        <v>7552</v>
      </c>
      <c r="V935" s="43">
        <v>46122</v>
      </c>
      <c r="W935" s="32" t="s">
        <v>62</v>
      </c>
      <c r="X935" s="30"/>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row>
    <row r="936" spans="1:135" ht="30" customHeight="1" x14ac:dyDescent="0.25">
      <c r="A936" s="578" t="s">
        <v>827</v>
      </c>
      <c r="B936" s="343" t="s">
        <v>821</v>
      </c>
      <c r="C936" s="199" t="s">
        <v>822</v>
      </c>
      <c r="D936" s="10" t="s">
        <v>24</v>
      </c>
      <c r="E936" s="28" t="s">
        <v>25</v>
      </c>
      <c r="F936" s="62"/>
      <c r="G936" s="62"/>
      <c r="H936" s="102" t="s">
        <v>97</v>
      </c>
      <c r="I936" s="205" t="s">
        <v>135</v>
      </c>
      <c r="J936" s="24" t="s">
        <v>32</v>
      </c>
      <c r="K936" s="33" t="s">
        <v>837</v>
      </c>
      <c r="L936" s="25" t="str">
        <f>"RUTL-"&amp;RIGHT(K936,8)</f>
        <v>RUTL-PW0K0DYC</v>
      </c>
      <c r="M936" s="109"/>
      <c r="N936" s="98"/>
      <c r="O936" s="98"/>
      <c r="P936" s="45" t="s">
        <v>46</v>
      </c>
      <c r="Q936" s="35"/>
      <c r="R936" s="46" t="s">
        <v>56</v>
      </c>
      <c r="S936" s="133"/>
      <c r="T936" s="137"/>
      <c r="U936" s="124"/>
      <c r="V936" s="43">
        <v>46122</v>
      </c>
      <c r="W936" s="32" t="s">
        <v>62</v>
      </c>
      <c r="X936" s="30"/>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row>
    <row r="937" spans="1:135" ht="30" customHeight="1" x14ac:dyDescent="0.25">
      <c r="A937" s="578" t="s">
        <v>7514</v>
      </c>
      <c r="B937" s="51">
        <v>18876</v>
      </c>
      <c r="C937" s="72" t="s">
        <v>7512</v>
      </c>
      <c r="D937" s="10" t="s">
        <v>24</v>
      </c>
      <c r="E937" s="28" t="s">
        <v>25</v>
      </c>
      <c r="F937" s="20" t="s">
        <v>7513</v>
      </c>
      <c r="G937" s="15" t="s">
        <v>2390</v>
      </c>
      <c r="H937" s="17" t="s">
        <v>714</v>
      </c>
      <c r="I937" s="24" t="s">
        <v>135</v>
      </c>
      <c r="J937" s="24" t="s">
        <v>32</v>
      </c>
      <c r="K937" s="33" t="s">
        <v>7515</v>
      </c>
      <c r="L937" s="25" t="str">
        <f>"RUTL-"&amp;RIGHT(K937,8)</f>
        <v>RUTL-PW0K0DDL</v>
      </c>
      <c r="M937" s="34" t="s">
        <v>40</v>
      </c>
      <c r="N937" s="23" t="s">
        <v>54</v>
      </c>
      <c r="O937" s="98"/>
      <c r="P937" s="45" t="s">
        <v>46</v>
      </c>
      <c r="Q937" s="35" t="s">
        <v>7516</v>
      </c>
      <c r="R937" s="15" t="s">
        <v>56</v>
      </c>
      <c r="S937" s="37" t="s">
        <v>57</v>
      </c>
      <c r="T937" s="107" t="s">
        <v>453</v>
      </c>
      <c r="U937" s="39" t="s">
        <v>3933</v>
      </c>
      <c r="V937" s="43">
        <v>46122</v>
      </c>
      <c r="W937" s="32" t="s">
        <v>62</v>
      </c>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c r="DE937" s="5"/>
      <c r="DF937" s="5"/>
      <c r="DG937" s="5"/>
      <c r="DH937" s="5"/>
      <c r="DI937" s="5"/>
      <c r="DJ937" s="5"/>
      <c r="DK937" s="5"/>
      <c r="DL937" s="5"/>
      <c r="DM937" s="5"/>
      <c r="DN937" s="5"/>
      <c r="DO937" s="5"/>
      <c r="DP937" s="5"/>
      <c r="DQ937" s="5"/>
      <c r="DR937" s="5"/>
      <c r="DS937" s="5"/>
      <c r="DT937" s="5"/>
      <c r="DU937" s="5"/>
      <c r="DV937" s="5"/>
      <c r="DW937" s="5"/>
      <c r="DX937" s="5"/>
      <c r="DY937" s="5"/>
      <c r="DZ937" s="5"/>
      <c r="EA937" s="5"/>
      <c r="EB937" s="5"/>
      <c r="EC937" s="5"/>
      <c r="ED937" s="5"/>
      <c r="EE937" s="5"/>
    </row>
    <row r="938" spans="1:135" ht="30" customHeight="1" x14ac:dyDescent="0.25">
      <c r="A938" s="578" t="s">
        <v>2772</v>
      </c>
      <c r="B938" s="51" t="s">
        <v>2766</v>
      </c>
      <c r="C938" s="52" t="s">
        <v>2767</v>
      </c>
      <c r="D938" s="10" t="s">
        <v>24</v>
      </c>
      <c r="E938" s="11" t="s">
        <v>25</v>
      </c>
      <c r="F938" s="20" t="s">
        <v>2769</v>
      </c>
      <c r="G938" s="15" t="s">
        <v>958</v>
      </c>
      <c r="H938" s="22" t="s">
        <v>2770</v>
      </c>
      <c r="I938" s="205" t="s">
        <v>135</v>
      </c>
      <c r="J938" s="24" t="s">
        <v>32</v>
      </c>
      <c r="K938" s="33" t="s">
        <v>2774</v>
      </c>
      <c r="L938" s="25" t="str">
        <f>"RUTL-"&amp;RIGHT(K938,8)</f>
        <v>RUTL-PW0K0DKC</v>
      </c>
      <c r="M938" s="34" t="s">
        <v>40</v>
      </c>
      <c r="N938" s="23" t="s">
        <v>54</v>
      </c>
      <c r="O938" s="98"/>
      <c r="P938" s="45" t="s">
        <v>46</v>
      </c>
      <c r="Q938" s="35" t="s">
        <v>2775</v>
      </c>
      <c r="R938" s="46" t="s">
        <v>56</v>
      </c>
      <c r="S938" s="40" t="s">
        <v>57</v>
      </c>
      <c r="T938" s="107" t="s">
        <v>453</v>
      </c>
      <c r="U938" s="39" t="s">
        <v>2777</v>
      </c>
      <c r="V938" s="43">
        <v>46122</v>
      </c>
      <c r="W938" s="32" t="s">
        <v>62</v>
      </c>
      <c r="X938" s="30"/>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row>
    <row r="939" spans="1:135" ht="30" customHeight="1" thickBot="1" x14ac:dyDescent="0.3">
      <c r="A939" s="578" t="s">
        <v>5609</v>
      </c>
      <c r="B939" s="51">
        <v>13370</v>
      </c>
      <c r="C939" s="72" t="s">
        <v>5606</v>
      </c>
      <c r="D939" s="10" t="s">
        <v>24</v>
      </c>
      <c r="E939" s="28" t="s">
        <v>25</v>
      </c>
      <c r="F939" s="20" t="s">
        <v>5607</v>
      </c>
      <c r="G939" s="15" t="s">
        <v>5608</v>
      </c>
      <c r="H939" s="22" t="s">
        <v>1454</v>
      </c>
      <c r="I939" s="24" t="s">
        <v>135</v>
      </c>
      <c r="J939" s="24" t="s">
        <v>32</v>
      </c>
      <c r="K939" s="33" t="s">
        <v>5610</v>
      </c>
      <c r="L939" s="25" t="str">
        <f>"RUTL-"&amp;RIGHT(K939,8)</f>
        <v>RUTL-PW0K0DZN</v>
      </c>
      <c r="M939" s="34" t="s">
        <v>40</v>
      </c>
      <c r="N939" s="23" t="s">
        <v>54</v>
      </c>
      <c r="O939" s="98"/>
      <c r="P939" s="45" t="s">
        <v>46</v>
      </c>
      <c r="Q939" s="35" t="s">
        <v>5611</v>
      </c>
      <c r="R939" s="46" t="s">
        <v>56</v>
      </c>
      <c r="S939" s="37" t="s">
        <v>57</v>
      </c>
      <c r="T939" s="35" t="s">
        <v>65</v>
      </c>
      <c r="U939" s="39" t="s">
        <v>3584</v>
      </c>
      <c r="V939" s="43">
        <v>46122</v>
      </c>
      <c r="W939" s="32" t="s">
        <v>62</v>
      </c>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c r="DJ939" s="5"/>
      <c r="DK939" s="5"/>
      <c r="DL939" s="5"/>
      <c r="DM939" s="5"/>
      <c r="DN939" s="5"/>
      <c r="DO939" s="5"/>
      <c r="DP939" s="5"/>
      <c r="DQ939" s="5"/>
      <c r="DR939" s="5"/>
      <c r="DS939" s="5"/>
      <c r="DT939" s="5"/>
      <c r="DU939" s="5"/>
      <c r="DV939" s="5"/>
      <c r="DW939" s="5"/>
      <c r="DX939" s="5"/>
      <c r="DY939" s="5"/>
      <c r="DZ939" s="5"/>
      <c r="EA939" s="5"/>
      <c r="EB939" s="5"/>
      <c r="EC939" s="5"/>
      <c r="ED939" s="5"/>
      <c r="EE939" s="5"/>
    </row>
    <row r="940" spans="1:135" ht="30" customHeight="1" thickBot="1" x14ac:dyDescent="0.3">
      <c r="A940" s="578" t="s">
        <v>7474</v>
      </c>
      <c r="B940" s="51">
        <v>18766</v>
      </c>
      <c r="C940" s="72" t="s">
        <v>7472</v>
      </c>
      <c r="D940" s="10" t="s">
        <v>24</v>
      </c>
      <c r="E940" s="28" t="s">
        <v>25</v>
      </c>
      <c r="F940" s="20" t="s">
        <v>7473</v>
      </c>
      <c r="G940" s="15" t="s">
        <v>7079</v>
      </c>
      <c r="H940" s="17" t="s">
        <v>1846</v>
      </c>
      <c r="I940" s="24" t="s">
        <v>135</v>
      </c>
      <c r="J940" s="24" t="s">
        <v>32</v>
      </c>
      <c r="K940" s="33" t="s">
        <v>7475</v>
      </c>
      <c r="L940" s="25" t="str">
        <f>"RUTL-"&amp;RIGHT(K940,8)</f>
        <v>RUTL-PW0K0D8D</v>
      </c>
      <c r="M940" s="34" t="s">
        <v>40</v>
      </c>
      <c r="N940" s="23" t="s">
        <v>54</v>
      </c>
      <c r="O940" s="98"/>
      <c r="P940" s="45" t="s">
        <v>46</v>
      </c>
      <c r="Q940" s="35" t="s">
        <v>7476</v>
      </c>
      <c r="R940" s="15" t="s">
        <v>56</v>
      </c>
      <c r="S940" s="37" t="s">
        <v>57</v>
      </c>
      <c r="T940" s="107" t="s">
        <v>453</v>
      </c>
      <c r="U940" s="39" t="s">
        <v>3584</v>
      </c>
      <c r="V940" s="43">
        <v>46122</v>
      </c>
      <c r="W940" s="32" t="s">
        <v>62</v>
      </c>
      <c r="X940" s="71"/>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c r="DJ940" s="5"/>
      <c r="DK940" s="5"/>
      <c r="DL940" s="5"/>
      <c r="DM940" s="5"/>
      <c r="DN940" s="5"/>
      <c r="DO940" s="5"/>
      <c r="DP940" s="5"/>
      <c r="DQ940" s="5"/>
      <c r="DR940" s="5"/>
      <c r="DS940" s="5"/>
      <c r="DT940" s="5"/>
      <c r="DU940" s="5"/>
      <c r="DV940" s="5"/>
      <c r="DW940" s="5"/>
      <c r="DX940" s="5"/>
      <c r="DY940" s="5"/>
      <c r="DZ940" s="5"/>
      <c r="EA940" s="5"/>
      <c r="EB940" s="5"/>
      <c r="EC940" s="5"/>
      <c r="ED940" s="5"/>
      <c r="EE940" s="5"/>
    </row>
    <row r="941" spans="1:135" ht="30" customHeight="1" thickBot="1" x14ac:dyDescent="0.3">
      <c r="A941" s="578" t="s">
        <v>7413</v>
      </c>
      <c r="B941" s="436">
        <v>18618</v>
      </c>
      <c r="C941" s="72" t="s">
        <v>7410</v>
      </c>
      <c r="D941" s="10" t="s">
        <v>24</v>
      </c>
      <c r="E941" s="28" t="s">
        <v>25</v>
      </c>
      <c r="F941" s="12" t="s">
        <v>7411</v>
      </c>
      <c r="G941" s="15" t="s">
        <v>3536</v>
      </c>
      <c r="H941" s="31" t="s">
        <v>7412</v>
      </c>
      <c r="I941" s="205" t="s">
        <v>135</v>
      </c>
      <c r="J941" s="24" t="s">
        <v>32</v>
      </c>
      <c r="K941" s="33" t="s">
        <v>7414</v>
      </c>
      <c r="L941" s="25" t="str">
        <f>"RUTL-"&amp;RIGHT(K941,8)</f>
        <v>RUTL-PW0K0DZL</v>
      </c>
      <c r="M941" s="34" t="s">
        <v>40</v>
      </c>
      <c r="N941" s="23" t="s">
        <v>54</v>
      </c>
      <c r="O941" s="98"/>
      <c r="P941" s="45" t="s">
        <v>46</v>
      </c>
      <c r="Q941" s="35" t="s">
        <v>7415</v>
      </c>
      <c r="R941" s="46" t="s">
        <v>56</v>
      </c>
      <c r="S941" s="37" t="s">
        <v>57</v>
      </c>
      <c r="T941" s="35" t="s">
        <v>65</v>
      </c>
      <c r="U941" s="39" t="s">
        <v>6014</v>
      </c>
      <c r="V941" s="43">
        <v>46122</v>
      </c>
      <c r="W941" s="32" t="s">
        <v>62</v>
      </c>
      <c r="X941" s="356"/>
      <c r="Y941" s="356"/>
      <c r="Z941" s="356"/>
      <c r="AA941" s="356"/>
      <c r="AB941" s="356"/>
      <c r="AC941" s="356"/>
      <c r="AD941" s="356"/>
      <c r="AE941" s="356"/>
      <c r="AF941" s="356"/>
      <c r="AG941" s="356"/>
      <c r="AH941" s="356"/>
      <c r="AI941" s="356"/>
      <c r="AJ941" s="356"/>
      <c r="AK941" s="356"/>
      <c r="AL941" s="356"/>
      <c r="AM941" s="356"/>
      <c r="AN941" s="356"/>
      <c r="AO941" s="356"/>
      <c r="AP941" s="356"/>
      <c r="AQ941" s="356"/>
      <c r="AR941" s="356"/>
      <c r="AS941" s="356"/>
      <c r="AT941" s="356"/>
      <c r="AU941" s="356"/>
      <c r="AV941" s="356"/>
      <c r="AW941" s="356"/>
      <c r="AX941" s="356"/>
      <c r="AY941" s="356"/>
      <c r="AZ941" s="356"/>
      <c r="BA941" s="356"/>
      <c r="BB941" s="356"/>
      <c r="BC941" s="356"/>
      <c r="BD941" s="356"/>
      <c r="BE941" s="356"/>
      <c r="BF941" s="356"/>
      <c r="BG941" s="356"/>
      <c r="BH941" s="356"/>
      <c r="BI941" s="356"/>
      <c r="BJ941" s="356"/>
      <c r="BK941" s="356"/>
      <c r="BL941" s="356"/>
      <c r="BM941" s="356"/>
      <c r="BN941" s="356"/>
      <c r="BO941" s="356"/>
      <c r="BP941" s="356"/>
      <c r="BQ941" s="356"/>
      <c r="BR941" s="356"/>
      <c r="BS941" s="356"/>
      <c r="BT941" s="356"/>
      <c r="BU941" s="356"/>
      <c r="BV941" s="356"/>
      <c r="BW941" s="356"/>
      <c r="BX941" s="356"/>
      <c r="BY941" s="356"/>
      <c r="BZ941" s="356"/>
      <c r="CA941" s="356"/>
      <c r="CB941" s="356"/>
      <c r="CC941" s="356"/>
      <c r="CD941" s="356"/>
      <c r="CE941" s="356"/>
      <c r="CF941" s="356"/>
      <c r="CG941" s="356"/>
      <c r="CH941" s="356"/>
      <c r="CI941" s="356"/>
      <c r="CJ941" s="356"/>
      <c r="CK941" s="356"/>
      <c r="CL941" s="356"/>
      <c r="CM941" s="356"/>
      <c r="CN941" s="356"/>
      <c r="CO941" s="356"/>
      <c r="CP941" s="356"/>
      <c r="CQ941" s="356"/>
      <c r="CR941" s="356"/>
      <c r="CS941" s="356"/>
      <c r="CT941" s="356"/>
      <c r="CU941" s="356"/>
      <c r="CV941" s="356"/>
      <c r="CW941" s="356"/>
      <c r="CX941" s="356"/>
      <c r="CY941" s="356"/>
      <c r="CZ941" s="356"/>
      <c r="DA941" s="356"/>
      <c r="DB941" s="356"/>
      <c r="DC941" s="356"/>
      <c r="DD941" s="356"/>
      <c r="DE941" s="356"/>
      <c r="DF941" s="356"/>
      <c r="DG941" s="356"/>
      <c r="DH941" s="425"/>
      <c r="DI941" s="425"/>
      <c r="DJ941" s="425"/>
      <c r="DK941" s="425"/>
      <c r="DL941" s="425"/>
      <c r="DM941" s="425"/>
      <c r="DN941" s="425"/>
      <c r="DO941" s="425"/>
      <c r="DP941" s="425"/>
      <c r="DQ941" s="425"/>
      <c r="DR941" s="425"/>
      <c r="DS941" s="425"/>
      <c r="DT941" s="425"/>
      <c r="DU941" s="425"/>
      <c r="DV941" s="425"/>
      <c r="DW941" s="425"/>
      <c r="DX941" s="425"/>
      <c r="DY941" s="425"/>
      <c r="DZ941" s="425"/>
      <c r="EA941" s="425"/>
      <c r="EB941" s="425"/>
      <c r="EC941" s="425"/>
      <c r="ED941" s="425"/>
      <c r="EE941" s="425"/>
    </row>
    <row r="942" spans="1:135" ht="30" customHeight="1" thickBot="1" x14ac:dyDescent="0.3">
      <c r="A942" s="578" t="s">
        <v>5443</v>
      </c>
      <c r="B942" s="436">
        <v>12821</v>
      </c>
      <c r="C942" s="52" t="s">
        <v>5441</v>
      </c>
      <c r="D942" s="10" t="s">
        <v>24</v>
      </c>
      <c r="E942" s="28" t="s">
        <v>25</v>
      </c>
      <c r="F942" s="20" t="s">
        <v>5442</v>
      </c>
      <c r="G942" s="15" t="s">
        <v>2390</v>
      </c>
      <c r="H942" s="22" t="s">
        <v>4568</v>
      </c>
      <c r="I942" s="18" t="s">
        <v>48</v>
      </c>
      <c r="J942" s="18" t="s">
        <v>49</v>
      </c>
      <c r="K942" s="61" t="s">
        <v>5444</v>
      </c>
      <c r="L942" s="25" t="str">
        <f>"RUTL-"&amp;RIGHT(K942,8)</f>
        <v>RUTL-1CF56N02</v>
      </c>
      <c r="M942" s="34" t="s">
        <v>40</v>
      </c>
      <c r="N942" s="23" t="s">
        <v>54</v>
      </c>
      <c r="O942" s="74"/>
      <c r="P942" s="45" t="s">
        <v>46</v>
      </c>
      <c r="Q942" s="318" t="s">
        <v>5445</v>
      </c>
      <c r="R942" s="46" t="s">
        <v>56</v>
      </c>
      <c r="S942" s="37" t="s">
        <v>57</v>
      </c>
      <c r="T942" s="41" t="s">
        <v>65</v>
      </c>
      <c r="U942" s="39" t="s">
        <v>5446</v>
      </c>
      <c r="V942" s="82"/>
      <c r="W942" s="23" t="s">
        <v>99</v>
      </c>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c r="BO942" s="30"/>
      <c r="BP942" s="30"/>
      <c r="BQ942" s="30"/>
      <c r="BR942" s="30"/>
      <c r="BS942" s="30"/>
      <c r="BT942" s="30"/>
      <c r="BU942" s="30"/>
      <c r="BV942" s="30"/>
      <c r="BW942" s="30"/>
      <c r="BX942" s="30"/>
      <c r="BY942" s="30"/>
      <c r="BZ942" s="30"/>
      <c r="CA942" s="30"/>
      <c r="CB942" s="30"/>
      <c r="CC942" s="30"/>
      <c r="CD942" s="30"/>
      <c r="CE942" s="30"/>
      <c r="CF942" s="30"/>
      <c r="CG942" s="30"/>
      <c r="CH942" s="30"/>
      <c r="CI942" s="30"/>
      <c r="CJ942" s="30"/>
      <c r="CK942" s="30"/>
      <c r="CL942" s="30"/>
      <c r="CM942" s="30"/>
      <c r="CN942" s="30"/>
      <c r="CO942" s="30"/>
      <c r="CP942" s="30"/>
      <c r="CQ942" s="30"/>
      <c r="CR942" s="30"/>
      <c r="CS942" s="30"/>
      <c r="CT942" s="30"/>
      <c r="CU942" s="30"/>
      <c r="CV942" s="30"/>
      <c r="CW942" s="30"/>
      <c r="CX942" s="30"/>
      <c r="CY942" s="30"/>
      <c r="CZ942" s="30"/>
      <c r="DA942" s="30"/>
      <c r="DB942" s="30"/>
      <c r="DC942" s="30"/>
      <c r="DD942" s="30"/>
      <c r="DE942" s="30"/>
      <c r="DF942" s="30"/>
      <c r="DG942" s="30"/>
      <c r="DH942" s="30"/>
      <c r="DI942" s="30"/>
      <c r="DJ942" s="30"/>
      <c r="DK942" s="30"/>
      <c r="DL942" s="30"/>
      <c r="DM942" s="30"/>
      <c r="DN942" s="30"/>
      <c r="DO942" s="30"/>
      <c r="DP942" s="30"/>
      <c r="DQ942" s="30"/>
      <c r="DR942" s="30"/>
      <c r="DS942" s="30"/>
      <c r="DT942" s="30"/>
      <c r="DU942" s="30"/>
      <c r="DV942" s="30"/>
      <c r="DW942" s="30"/>
      <c r="DX942" s="30"/>
      <c r="DY942" s="30"/>
      <c r="DZ942" s="30"/>
      <c r="EA942" s="30"/>
      <c r="EB942" s="30"/>
      <c r="EC942" s="30"/>
      <c r="ED942" s="30"/>
      <c r="EE942" s="30"/>
    </row>
    <row r="943" spans="1:135" ht="30" customHeight="1" thickBot="1" x14ac:dyDescent="0.3">
      <c r="A943" s="578" t="s">
        <v>7109</v>
      </c>
      <c r="B943" s="51">
        <v>17495</v>
      </c>
      <c r="C943" s="52" t="s">
        <v>7107</v>
      </c>
      <c r="D943" s="10" t="s">
        <v>24</v>
      </c>
      <c r="E943" s="28" t="s">
        <v>25</v>
      </c>
      <c r="F943" s="20" t="s">
        <v>7108</v>
      </c>
      <c r="G943" s="15" t="s">
        <v>1622</v>
      </c>
      <c r="H943" s="22" t="s">
        <v>1647</v>
      </c>
      <c r="I943" s="54" t="s">
        <v>48</v>
      </c>
      <c r="J943" s="18" t="s">
        <v>49</v>
      </c>
      <c r="K943" s="33" t="s">
        <v>7110</v>
      </c>
      <c r="L943" s="25" t="str">
        <f>"RUTL-"&amp;RIGHT(K943,8)</f>
        <v>RUTL-1A946N02</v>
      </c>
      <c r="M943" s="34" t="s">
        <v>40</v>
      </c>
      <c r="N943" s="23" t="s">
        <v>43</v>
      </c>
      <c r="O943" s="23"/>
      <c r="P943" s="45" t="s">
        <v>46</v>
      </c>
      <c r="Q943" s="39" t="s">
        <v>7111</v>
      </c>
      <c r="R943" s="46" t="s">
        <v>56</v>
      </c>
      <c r="S943" s="37" t="s">
        <v>57</v>
      </c>
      <c r="T943" s="369" t="s">
        <v>273</v>
      </c>
      <c r="U943" s="39" t="s">
        <v>1299</v>
      </c>
      <c r="V943" s="48">
        <v>46111</v>
      </c>
      <c r="W943" s="23" t="s">
        <v>67</v>
      </c>
      <c r="X943" s="30"/>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row>
    <row r="944" spans="1:135" ht="30" customHeight="1" thickBot="1" x14ac:dyDescent="0.3">
      <c r="A944" s="578" t="s">
        <v>7177</v>
      </c>
      <c r="B944" s="51">
        <v>17708</v>
      </c>
      <c r="C944" s="52" t="s">
        <v>7175</v>
      </c>
      <c r="D944" s="140" t="s">
        <v>24</v>
      </c>
      <c r="E944" s="11" t="s">
        <v>25</v>
      </c>
      <c r="F944" s="20" t="s">
        <v>7176</v>
      </c>
      <c r="G944" s="59" t="s">
        <v>889</v>
      </c>
      <c r="H944" s="22" t="s">
        <v>6068</v>
      </c>
      <c r="I944" s="296" t="s">
        <v>135</v>
      </c>
      <c r="J944" s="24" t="s">
        <v>32</v>
      </c>
      <c r="K944" s="250" t="s">
        <v>7178</v>
      </c>
      <c r="L944" s="25" t="str">
        <f>"RUTL-"&amp;RIGHT(K944,8)</f>
        <v>RUTL-PW0K0DW1</v>
      </c>
      <c r="M944" s="34" t="s">
        <v>40</v>
      </c>
      <c r="N944" s="98"/>
      <c r="O944" s="98"/>
      <c r="P944" s="45" t="s">
        <v>46</v>
      </c>
      <c r="Q944" s="35" t="s">
        <v>7179</v>
      </c>
      <c r="R944" s="46" t="s">
        <v>56</v>
      </c>
      <c r="S944" s="40" t="s">
        <v>57</v>
      </c>
      <c r="T944" s="398" t="s">
        <v>273</v>
      </c>
      <c r="U944" s="39" t="s">
        <v>7180</v>
      </c>
      <c r="V944" s="270">
        <v>46122</v>
      </c>
      <c r="W944" s="32" t="s">
        <v>62</v>
      </c>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c r="BO944" s="30"/>
      <c r="BP944" s="30"/>
      <c r="BQ944" s="30"/>
      <c r="BR944" s="30"/>
      <c r="BS944" s="30"/>
      <c r="BT944" s="30"/>
      <c r="BU944" s="30"/>
      <c r="BV944" s="30"/>
      <c r="BW944" s="30"/>
      <c r="BX944" s="30"/>
      <c r="BY944" s="30"/>
      <c r="BZ944" s="30"/>
      <c r="CA944" s="30"/>
      <c r="CB944" s="30"/>
      <c r="CC944" s="30"/>
      <c r="CD944" s="30"/>
      <c r="CE944" s="30"/>
      <c r="CF944" s="30"/>
      <c r="CG944" s="30"/>
      <c r="CH944" s="30"/>
      <c r="CI944" s="30"/>
      <c r="CJ944" s="30"/>
      <c r="CK944" s="30"/>
      <c r="CL944" s="30"/>
      <c r="CM944" s="30"/>
      <c r="CN944" s="30"/>
      <c r="CO944" s="30"/>
      <c r="CP944" s="30"/>
      <c r="CQ944" s="30"/>
      <c r="CR944" s="30"/>
      <c r="CS944" s="30"/>
      <c r="CT944" s="30"/>
      <c r="CU944" s="30"/>
      <c r="CV944" s="30"/>
      <c r="CW944" s="30"/>
      <c r="CX944" s="30"/>
      <c r="CY944" s="30"/>
      <c r="CZ944" s="30"/>
      <c r="DA944" s="30"/>
      <c r="DB944" s="30"/>
      <c r="DC944" s="30"/>
      <c r="DD944" s="30"/>
      <c r="DE944" s="30"/>
      <c r="DF944" s="30"/>
      <c r="DG944" s="30"/>
      <c r="DH944" s="30"/>
      <c r="DI944" s="30"/>
      <c r="DJ944" s="30"/>
      <c r="DK944" s="30"/>
      <c r="DL944" s="30"/>
      <c r="DM944" s="30"/>
      <c r="DN944" s="30"/>
      <c r="DO944" s="30"/>
      <c r="DP944" s="30"/>
      <c r="DQ944" s="30"/>
      <c r="DR944" s="30"/>
      <c r="DS944" s="30"/>
      <c r="DT944" s="30"/>
      <c r="DU944" s="30"/>
      <c r="DV944" s="30"/>
      <c r="DW944" s="30"/>
      <c r="DX944" s="30"/>
      <c r="DY944" s="30"/>
      <c r="DZ944" s="30"/>
      <c r="EA944" s="30"/>
      <c r="EB944" s="30"/>
      <c r="EC944" s="30"/>
      <c r="ED944" s="30"/>
      <c r="EE944" s="30"/>
    </row>
    <row r="945" spans="1:135" ht="30" customHeight="1" thickBot="1" x14ac:dyDescent="0.3">
      <c r="A945" s="578" t="s">
        <v>7055</v>
      </c>
      <c r="B945" s="51">
        <v>17278</v>
      </c>
      <c r="C945" s="52" t="s">
        <v>7053</v>
      </c>
      <c r="D945" s="10" t="s">
        <v>24</v>
      </c>
      <c r="E945" s="28" t="s">
        <v>25</v>
      </c>
      <c r="F945" s="20" t="s">
        <v>7054</v>
      </c>
      <c r="G945" s="15" t="s">
        <v>1961</v>
      </c>
      <c r="H945" s="22" t="s">
        <v>3752</v>
      </c>
      <c r="I945" s="54" t="s">
        <v>48</v>
      </c>
      <c r="J945" s="18" t="s">
        <v>49</v>
      </c>
      <c r="K945" s="23" t="s">
        <v>7056</v>
      </c>
      <c r="L945" s="25" t="str">
        <f>"RUTL-"&amp;RIGHT(K945,8)</f>
        <v>RUTL-1D466N02</v>
      </c>
      <c r="M945" s="34" t="s">
        <v>40</v>
      </c>
      <c r="N945" s="23" t="s">
        <v>54</v>
      </c>
      <c r="O945" s="23"/>
      <c r="P945" s="45" t="s">
        <v>46</v>
      </c>
      <c r="Q945" s="285" t="s">
        <v>7057</v>
      </c>
      <c r="R945" s="15" t="s">
        <v>56</v>
      </c>
      <c r="S945" s="40" t="s">
        <v>57</v>
      </c>
      <c r="T945" s="118" t="s">
        <v>65</v>
      </c>
      <c r="U945" s="23" t="s">
        <v>7052</v>
      </c>
      <c r="V945" s="48"/>
      <c r="W945" s="23" t="s">
        <v>99</v>
      </c>
      <c r="X945" s="30"/>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c r="DE945" s="5"/>
      <c r="DF945" s="5"/>
      <c r="DG945" s="5"/>
      <c r="DH945" s="5"/>
      <c r="DI945" s="5"/>
      <c r="DJ945" s="5"/>
      <c r="DK945" s="5"/>
      <c r="DL945" s="5"/>
      <c r="DM945" s="5"/>
      <c r="DN945" s="5"/>
      <c r="DO945" s="5"/>
      <c r="DP945" s="5"/>
      <c r="DQ945" s="5"/>
      <c r="DR945" s="5"/>
      <c r="DS945" s="5"/>
      <c r="DT945" s="5"/>
      <c r="DU945" s="5"/>
      <c r="DV945" s="5"/>
      <c r="DW945" s="5"/>
      <c r="DX945" s="5"/>
      <c r="DY945" s="5"/>
      <c r="DZ945" s="5"/>
      <c r="EA945" s="5"/>
      <c r="EB945" s="5"/>
      <c r="EC945" s="5"/>
      <c r="ED945" s="5"/>
      <c r="EE945" s="5"/>
    </row>
    <row r="946" spans="1:135" ht="30" customHeight="1" thickBot="1" x14ac:dyDescent="0.3">
      <c r="A946" s="578" t="s">
        <v>7065</v>
      </c>
      <c r="B946" s="16">
        <v>17379</v>
      </c>
      <c r="C946" s="72" t="s">
        <v>7062</v>
      </c>
      <c r="D946" s="10" t="s">
        <v>24</v>
      </c>
      <c r="E946" s="28" t="s">
        <v>25</v>
      </c>
      <c r="F946" s="20" t="s">
        <v>7063</v>
      </c>
      <c r="G946" s="15" t="s">
        <v>2512</v>
      </c>
      <c r="H946" s="22" t="s">
        <v>7064</v>
      </c>
      <c r="I946" s="18" t="s">
        <v>48</v>
      </c>
      <c r="J946" s="18" t="s">
        <v>49</v>
      </c>
      <c r="K946" s="33" t="s">
        <v>7066</v>
      </c>
      <c r="L946" s="25" t="str">
        <f>"RUTL-"&amp;RIGHT(K946,8)</f>
        <v>RUTL-1AB06N02</v>
      </c>
      <c r="M946" s="34" t="s">
        <v>40</v>
      </c>
      <c r="N946" s="32" t="s">
        <v>43</v>
      </c>
      <c r="O946" s="23"/>
      <c r="P946" s="35" t="s">
        <v>46</v>
      </c>
      <c r="Q946" s="36" t="s">
        <v>7067</v>
      </c>
      <c r="R946" s="15" t="s">
        <v>56</v>
      </c>
      <c r="S946" s="37" t="s">
        <v>57</v>
      </c>
      <c r="T946" s="68" t="s">
        <v>148</v>
      </c>
      <c r="U946" s="39" t="s">
        <v>4783</v>
      </c>
      <c r="V946" s="48">
        <v>46111</v>
      </c>
      <c r="W946" s="23" t="s">
        <v>67</v>
      </c>
      <c r="X946" s="71"/>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c r="DE946" s="5"/>
      <c r="DF946" s="5"/>
      <c r="DG946" s="5"/>
      <c r="DH946" s="5"/>
      <c r="DI946" s="5"/>
      <c r="DJ946" s="5"/>
      <c r="DK946" s="5"/>
      <c r="DL946" s="5"/>
      <c r="DM946" s="5"/>
      <c r="DN946" s="5"/>
      <c r="DO946" s="5"/>
      <c r="DP946" s="5"/>
      <c r="DQ946" s="5"/>
      <c r="DR946" s="5"/>
      <c r="DS946" s="5"/>
      <c r="DT946" s="5"/>
      <c r="DU946" s="5"/>
      <c r="DV946" s="5"/>
      <c r="DW946" s="5"/>
      <c r="DX946" s="5"/>
      <c r="DY946" s="5"/>
      <c r="DZ946" s="5"/>
      <c r="EA946" s="5"/>
      <c r="EB946" s="5"/>
      <c r="EC946" s="5"/>
      <c r="ED946" s="5"/>
      <c r="EE946" s="5"/>
    </row>
    <row r="947" spans="1:135" ht="30" customHeight="1" thickBot="1" x14ac:dyDescent="0.3">
      <c r="A947" s="578" t="s">
        <v>7080</v>
      </c>
      <c r="B947" s="16">
        <v>17404</v>
      </c>
      <c r="C947" s="72" t="s">
        <v>7077</v>
      </c>
      <c r="D947" s="140" t="s">
        <v>24</v>
      </c>
      <c r="E947" s="28" t="s">
        <v>25</v>
      </c>
      <c r="F947" s="20" t="s">
        <v>7078</v>
      </c>
      <c r="G947" s="59" t="s">
        <v>7079</v>
      </c>
      <c r="H947" s="22" t="s">
        <v>7064</v>
      </c>
      <c r="I947" s="142" t="s">
        <v>48</v>
      </c>
      <c r="J947" s="18" t="s">
        <v>49</v>
      </c>
      <c r="K947" s="340" t="s">
        <v>7081</v>
      </c>
      <c r="L947" s="25" t="str">
        <f>"RUTL-"&amp;RIGHT(K947,8)</f>
        <v>RUTL-1A726N02</v>
      </c>
      <c r="M947" s="34" t="s">
        <v>40</v>
      </c>
      <c r="N947" s="32" t="s">
        <v>43</v>
      </c>
      <c r="O947" s="23"/>
      <c r="P947" s="45" t="s">
        <v>46</v>
      </c>
      <c r="Q947" s="35" t="s">
        <v>7082</v>
      </c>
      <c r="R947" s="15" t="s">
        <v>56</v>
      </c>
      <c r="S947" s="37" t="s">
        <v>57</v>
      </c>
      <c r="T947" s="68" t="s">
        <v>148</v>
      </c>
      <c r="U947" s="39" t="s">
        <v>4783</v>
      </c>
      <c r="V947" s="82">
        <v>46111</v>
      </c>
      <c r="W947" s="23" t="s">
        <v>67</v>
      </c>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c r="BO947" s="30"/>
      <c r="BP947" s="30"/>
      <c r="BQ947" s="30"/>
      <c r="BR947" s="30"/>
      <c r="BS947" s="30"/>
      <c r="BT947" s="30"/>
      <c r="BU947" s="30"/>
      <c r="BV947" s="30"/>
      <c r="BW947" s="30"/>
      <c r="BX947" s="30"/>
      <c r="BY947" s="30"/>
      <c r="BZ947" s="30"/>
      <c r="CA947" s="30"/>
      <c r="CB947" s="30"/>
      <c r="CC947" s="30"/>
      <c r="CD947" s="30"/>
      <c r="CE947" s="30"/>
      <c r="CF947" s="30"/>
      <c r="CG947" s="30"/>
      <c r="CH947" s="30"/>
      <c r="CI947" s="30"/>
      <c r="CJ947" s="30"/>
      <c r="CK947" s="30"/>
      <c r="CL947" s="30"/>
      <c r="CM947" s="30"/>
      <c r="CN947" s="30"/>
      <c r="CO947" s="30"/>
      <c r="CP947" s="30"/>
      <c r="CQ947" s="30"/>
      <c r="CR947" s="30"/>
      <c r="CS947" s="30"/>
      <c r="CT947" s="30"/>
      <c r="CU947" s="30"/>
      <c r="CV947" s="30"/>
      <c r="CW947" s="30"/>
      <c r="CX947" s="30"/>
      <c r="CY947" s="30"/>
      <c r="CZ947" s="30"/>
      <c r="DA947" s="30"/>
      <c r="DB947" s="30"/>
      <c r="DC947" s="30"/>
      <c r="DD947" s="30"/>
      <c r="DE947" s="30"/>
      <c r="DF947" s="30"/>
      <c r="DG947" s="30"/>
      <c r="DH947" s="30"/>
      <c r="DI947" s="30"/>
      <c r="DJ947" s="30"/>
      <c r="DK947" s="30"/>
      <c r="DL947" s="30"/>
      <c r="DM947" s="30"/>
      <c r="DN947" s="30"/>
      <c r="DO947" s="30"/>
      <c r="DP947" s="30"/>
      <c r="DQ947" s="30"/>
      <c r="DR947" s="30"/>
      <c r="DS947" s="30"/>
      <c r="DT947" s="30"/>
      <c r="DU947" s="30"/>
      <c r="DV947" s="30"/>
      <c r="DW947" s="30"/>
      <c r="DX947" s="30"/>
      <c r="DY947" s="30"/>
      <c r="DZ947" s="30"/>
      <c r="EA947" s="30"/>
      <c r="EB947" s="30"/>
      <c r="EC947" s="30"/>
      <c r="ED947" s="30"/>
      <c r="EE947" s="30"/>
    </row>
    <row r="948" spans="1:135" ht="30" customHeight="1" thickBot="1" x14ac:dyDescent="0.3">
      <c r="A948" s="578" t="s">
        <v>7093</v>
      </c>
      <c r="B948" s="8">
        <v>17419</v>
      </c>
      <c r="C948" s="72" t="s">
        <v>7091</v>
      </c>
      <c r="D948" s="10" t="s">
        <v>24</v>
      </c>
      <c r="E948" s="28" t="s">
        <v>25</v>
      </c>
      <c r="F948" s="20" t="s">
        <v>7092</v>
      </c>
      <c r="G948" s="15" t="s">
        <v>7079</v>
      </c>
      <c r="H948" s="22" t="s">
        <v>7064</v>
      </c>
      <c r="I948" s="18" t="s">
        <v>48</v>
      </c>
      <c r="J948" s="18" t="s">
        <v>49</v>
      </c>
      <c r="K948" s="23" t="s">
        <v>7094</v>
      </c>
      <c r="L948" s="25" t="str">
        <f>"RUTL-"&amp;RIGHT(K948,8)</f>
        <v>RUTL-1A836N02</v>
      </c>
      <c r="M948" s="34" t="s">
        <v>40</v>
      </c>
      <c r="N948" s="32" t="s">
        <v>43</v>
      </c>
      <c r="O948" s="23"/>
      <c r="P948" s="45" t="s">
        <v>46</v>
      </c>
      <c r="Q948" s="35" t="s">
        <v>7095</v>
      </c>
      <c r="R948" s="15" t="s">
        <v>56</v>
      </c>
      <c r="S948" s="37" t="s">
        <v>57</v>
      </c>
      <c r="T948" s="68" t="s">
        <v>148</v>
      </c>
      <c r="U948" s="39" t="s">
        <v>4783</v>
      </c>
      <c r="V948" s="48">
        <v>46111</v>
      </c>
      <c r="W948" s="23" t="s">
        <v>67</v>
      </c>
      <c r="X948" s="24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c r="DG948" s="5"/>
      <c r="DH948" s="5"/>
      <c r="DI948" s="5"/>
      <c r="DJ948" s="5"/>
      <c r="DK948" s="5"/>
      <c r="DL948" s="5"/>
      <c r="DM948" s="5"/>
      <c r="DN948" s="5"/>
      <c r="DO948" s="5"/>
      <c r="DP948" s="5"/>
      <c r="DQ948" s="5"/>
      <c r="DR948" s="5"/>
      <c r="DS948" s="5"/>
      <c r="DT948" s="5"/>
      <c r="DU948" s="5"/>
      <c r="DV948" s="5"/>
      <c r="DW948" s="5"/>
      <c r="DX948" s="5"/>
      <c r="DY948" s="5"/>
      <c r="DZ948" s="5"/>
      <c r="EA948" s="5"/>
      <c r="EB948" s="5"/>
      <c r="EC948" s="5"/>
      <c r="ED948" s="5"/>
      <c r="EE948" s="5"/>
    </row>
    <row r="949" spans="1:135" ht="30" customHeight="1" x14ac:dyDescent="0.25">
      <c r="A949" s="578" t="s">
        <v>7098</v>
      </c>
      <c r="B949" s="51">
        <v>17427</v>
      </c>
      <c r="C949" s="69" t="s">
        <v>7096</v>
      </c>
      <c r="D949" s="10" t="s">
        <v>24</v>
      </c>
      <c r="E949" s="28" t="s">
        <v>25</v>
      </c>
      <c r="F949" s="12" t="s">
        <v>7097</v>
      </c>
      <c r="G949" s="15" t="s">
        <v>2917</v>
      </c>
      <c r="H949" s="22" t="s">
        <v>4015</v>
      </c>
      <c r="I949" s="54" t="s">
        <v>48</v>
      </c>
      <c r="J949" s="18" t="s">
        <v>49</v>
      </c>
      <c r="K949" s="33" t="s">
        <v>7099</v>
      </c>
      <c r="L949" s="25" t="str">
        <f>"RUTL-"&amp;RIGHT(K949,8)</f>
        <v>RUTL-1A986N02</v>
      </c>
      <c r="M949" s="34" t="s">
        <v>40</v>
      </c>
      <c r="N949" s="32" t="s">
        <v>43</v>
      </c>
      <c r="O949" s="23"/>
      <c r="P949" s="45" t="s">
        <v>46</v>
      </c>
      <c r="Q949" s="35" t="s">
        <v>7100</v>
      </c>
      <c r="R949" s="46" t="s">
        <v>56</v>
      </c>
      <c r="S949" s="37" t="s">
        <v>57</v>
      </c>
      <c r="T949" s="87" t="s">
        <v>273</v>
      </c>
      <c r="U949" s="39" t="s">
        <v>802</v>
      </c>
      <c r="V949" s="48">
        <v>46111</v>
      </c>
      <c r="W949" s="23" t="s">
        <v>67</v>
      </c>
      <c r="X949" s="30"/>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c r="DE949" s="5"/>
      <c r="DF949" s="5"/>
      <c r="DG949" s="5"/>
      <c r="DH949" s="5"/>
      <c r="DI949" s="5"/>
      <c r="DJ949" s="5"/>
      <c r="DK949" s="5"/>
      <c r="DL949" s="5"/>
      <c r="DM949" s="5"/>
      <c r="DN949" s="5"/>
      <c r="DO949" s="5"/>
      <c r="DP949" s="5"/>
      <c r="DQ949" s="5"/>
      <c r="DR949" s="5"/>
      <c r="DS949" s="5"/>
      <c r="DT949" s="5"/>
      <c r="DU949" s="5"/>
      <c r="DV949" s="5"/>
      <c r="DW949" s="5"/>
      <c r="DX949" s="5"/>
      <c r="DY949" s="5"/>
      <c r="DZ949" s="5"/>
      <c r="EA949" s="5"/>
      <c r="EB949" s="5"/>
      <c r="EC949" s="5"/>
      <c r="ED949" s="5"/>
      <c r="EE949" s="5"/>
    </row>
    <row r="950" spans="1:135" ht="30" customHeight="1" thickBot="1" x14ac:dyDescent="0.3">
      <c r="A950" s="578" t="s">
        <v>6955</v>
      </c>
      <c r="B950" s="51">
        <v>17087</v>
      </c>
      <c r="C950" s="72" t="s">
        <v>6952</v>
      </c>
      <c r="D950" s="10" t="s">
        <v>24</v>
      </c>
      <c r="E950" s="28" t="s">
        <v>25</v>
      </c>
      <c r="F950" s="20" t="s">
        <v>6953</v>
      </c>
      <c r="G950" s="15" t="s">
        <v>2512</v>
      </c>
      <c r="H950" s="22" t="s">
        <v>6954</v>
      </c>
      <c r="I950" s="54" t="s">
        <v>48</v>
      </c>
      <c r="J950" s="18" t="s">
        <v>49</v>
      </c>
      <c r="K950" s="23" t="s">
        <v>6956</v>
      </c>
      <c r="L950" s="25" t="str">
        <f>"RUTL-"&amp;RIGHT(K950,8)</f>
        <v>RUTL-1AA46N02</v>
      </c>
      <c r="M950" s="34" t="s">
        <v>40</v>
      </c>
      <c r="N950" s="23"/>
      <c r="O950" s="23"/>
      <c r="P950" s="45" t="s">
        <v>46</v>
      </c>
      <c r="Q950" s="45" t="s">
        <v>6957</v>
      </c>
      <c r="R950" s="15" t="s">
        <v>56</v>
      </c>
      <c r="S950" s="40" t="s">
        <v>57</v>
      </c>
      <c r="T950" s="107" t="s">
        <v>148</v>
      </c>
      <c r="U950" s="39" t="s">
        <v>6958</v>
      </c>
      <c r="V950" s="48">
        <v>46111</v>
      </c>
      <c r="W950" s="23" t="s">
        <v>67</v>
      </c>
      <c r="X950" s="30"/>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row>
    <row r="951" spans="1:135" ht="30" customHeight="1" thickBot="1" x14ac:dyDescent="0.3">
      <c r="A951" s="578" t="s">
        <v>6011</v>
      </c>
      <c r="B951" s="435">
        <v>14881</v>
      </c>
      <c r="C951" s="72" t="s">
        <v>6009</v>
      </c>
      <c r="D951" s="10" t="s">
        <v>24</v>
      </c>
      <c r="E951" s="28" t="s">
        <v>25</v>
      </c>
      <c r="F951" s="20" t="s">
        <v>6010</v>
      </c>
      <c r="G951" s="15" t="s">
        <v>4657</v>
      </c>
      <c r="H951" s="104" t="s">
        <v>3896</v>
      </c>
      <c r="I951" s="54" t="s">
        <v>48</v>
      </c>
      <c r="J951" s="18" t="s">
        <v>49</v>
      </c>
      <c r="K951" s="250" t="s">
        <v>6012</v>
      </c>
      <c r="L951" s="25" t="str">
        <f>"RUTL-"&amp;RIGHT(K951,8)</f>
        <v>RUTL-1A4F6N02</v>
      </c>
      <c r="M951" s="34" t="s">
        <v>40</v>
      </c>
      <c r="N951" s="23" t="s">
        <v>54</v>
      </c>
      <c r="O951" s="23"/>
      <c r="P951" s="45" t="s">
        <v>46</v>
      </c>
      <c r="Q951" s="35" t="s">
        <v>6013</v>
      </c>
      <c r="R951" s="15" t="s">
        <v>56</v>
      </c>
      <c r="S951" s="37" t="s">
        <v>57</v>
      </c>
      <c r="T951" s="35" t="s">
        <v>65</v>
      </c>
      <c r="U951" s="39" t="s">
        <v>6014</v>
      </c>
      <c r="V951" s="48">
        <v>46111</v>
      </c>
      <c r="W951" s="23" t="s">
        <v>67</v>
      </c>
      <c r="X951" s="30"/>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row>
    <row r="952" spans="1:135" ht="30" customHeight="1" thickBot="1" x14ac:dyDescent="0.3">
      <c r="A952" s="578" t="s">
        <v>7167</v>
      </c>
      <c r="B952" s="51">
        <v>17706</v>
      </c>
      <c r="C952" s="52" t="s">
        <v>7164</v>
      </c>
      <c r="D952" s="140" t="s">
        <v>24</v>
      </c>
      <c r="E952" s="28" t="s">
        <v>25</v>
      </c>
      <c r="F952" s="20" t="s">
        <v>7165</v>
      </c>
      <c r="G952" s="59" t="s">
        <v>7166</v>
      </c>
      <c r="H952" s="22" t="s">
        <v>197</v>
      </c>
      <c r="I952" s="142" t="s">
        <v>48</v>
      </c>
      <c r="J952" s="18" t="s">
        <v>49</v>
      </c>
      <c r="K952" s="250" t="s">
        <v>7168</v>
      </c>
      <c r="L952" s="25" t="str">
        <f>"RUTL-"&amp;RIGHT(K952,8)</f>
        <v>RUTL-1A9B6N02</v>
      </c>
      <c r="M952" s="34" t="s">
        <v>40</v>
      </c>
      <c r="N952" s="23" t="s">
        <v>43</v>
      </c>
      <c r="O952" s="23"/>
      <c r="P952" s="45" t="s">
        <v>46</v>
      </c>
      <c r="Q952" s="35" t="s">
        <v>7169</v>
      </c>
      <c r="R952" s="15" t="s">
        <v>56</v>
      </c>
      <c r="S952" s="37" t="s">
        <v>57</v>
      </c>
      <c r="T952" s="68" t="s">
        <v>148</v>
      </c>
      <c r="U952" s="39" t="s">
        <v>2122</v>
      </c>
      <c r="V952" s="82">
        <v>46111</v>
      </c>
      <c r="W952" s="23" t="s">
        <v>67</v>
      </c>
      <c r="X952" s="71"/>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c r="BO952" s="30"/>
      <c r="BP952" s="30"/>
      <c r="BQ952" s="30"/>
      <c r="BR952" s="30"/>
      <c r="BS952" s="30"/>
      <c r="BT952" s="30"/>
      <c r="BU952" s="30"/>
      <c r="BV952" s="30"/>
      <c r="BW952" s="30"/>
      <c r="BX952" s="30"/>
      <c r="BY952" s="30"/>
      <c r="BZ952" s="30"/>
      <c r="CA952" s="30"/>
      <c r="CB952" s="30"/>
      <c r="CC952" s="30"/>
      <c r="CD952" s="30"/>
      <c r="CE952" s="30"/>
      <c r="CF952" s="30"/>
      <c r="CG952" s="30"/>
      <c r="CH952" s="30"/>
      <c r="CI952" s="30"/>
      <c r="CJ952" s="30"/>
      <c r="CK952" s="30"/>
      <c r="CL952" s="30"/>
      <c r="CM952" s="30"/>
      <c r="CN952" s="30"/>
      <c r="CO952" s="30"/>
      <c r="CP952" s="30"/>
      <c r="CQ952" s="30"/>
      <c r="CR952" s="30"/>
      <c r="CS952" s="30"/>
      <c r="CT952" s="30"/>
      <c r="CU952" s="30"/>
      <c r="CV952" s="30"/>
      <c r="CW952" s="30"/>
      <c r="CX952" s="30"/>
      <c r="CY952" s="30"/>
      <c r="CZ952" s="30"/>
      <c r="DA952" s="30"/>
      <c r="DB952" s="30"/>
      <c r="DC952" s="30"/>
      <c r="DD952" s="30"/>
      <c r="DE952" s="30"/>
      <c r="DF952" s="30"/>
      <c r="DG952" s="30"/>
      <c r="DH952" s="30"/>
      <c r="DI952" s="30"/>
      <c r="DJ952" s="30"/>
      <c r="DK952" s="30"/>
      <c r="DL952" s="30"/>
      <c r="DM952" s="30"/>
      <c r="DN952" s="30"/>
      <c r="DO952" s="30"/>
      <c r="DP952" s="30"/>
      <c r="DQ952" s="30"/>
      <c r="DR952" s="30"/>
      <c r="DS952" s="30"/>
      <c r="DT952" s="30"/>
      <c r="DU952" s="30"/>
      <c r="DV952" s="30"/>
      <c r="DW952" s="30"/>
      <c r="DX952" s="30"/>
      <c r="DY952" s="30"/>
      <c r="DZ952" s="30"/>
      <c r="EA952" s="30"/>
      <c r="EB952" s="30"/>
      <c r="EC952" s="30"/>
      <c r="ED952" s="30"/>
      <c r="EE952" s="30"/>
    </row>
    <row r="953" spans="1:135" ht="30" customHeight="1" thickBot="1" x14ac:dyDescent="0.3">
      <c r="A953" s="578" t="s">
        <v>6391</v>
      </c>
      <c r="B953" s="8">
        <v>15828</v>
      </c>
      <c r="C953" s="72" t="s">
        <v>6389</v>
      </c>
      <c r="D953" s="10" t="s">
        <v>24</v>
      </c>
      <c r="E953" s="28" t="s">
        <v>25</v>
      </c>
      <c r="F953" s="20" t="s">
        <v>6390</v>
      </c>
      <c r="G953" s="15" t="s">
        <v>443</v>
      </c>
      <c r="H953" s="22" t="s">
        <v>92</v>
      </c>
      <c r="I953" s="54" t="s">
        <v>48</v>
      </c>
      <c r="J953" s="18" t="s">
        <v>49</v>
      </c>
      <c r="K953" s="250" t="s">
        <v>6392</v>
      </c>
      <c r="L953" s="25" t="str">
        <f>"RUTL-"&amp;RIGHT(K953,8)</f>
        <v>RUTL-1A8D6N02</v>
      </c>
      <c r="M953" s="34" t="s">
        <v>40</v>
      </c>
      <c r="N953" s="23" t="s">
        <v>54</v>
      </c>
      <c r="O953" s="23"/>
      <c r="P953" s="45" t="s">
        <v>46</v>
      </c>
      <c r="Q953" s="45" t="s">
        <v>6393</v>
      </c>
      <c r="R953" s="46" t="s">
        <v>56</v>
      </c>
      <c r="S953" s="37" t="s">
        <v>57</v>
      </c>
      <c r="T953" s="41" t="s">
        <v>65</v>
      </c>
      <c r="U953" s="39" t="s">
        <v>6394</v>
      </c>
      <c r="V953" s="82">
        <v>46111</v>
      </c>
      <c r="W953" s="23" t="s">
        <v>67</v>
      </c>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c r="DE953" s="5"/>
      <c r="DF953" s="5"/>
      <c r="DG953" s="5"/>
      <c r="DH953" s="5"/>
      <c r="DI953" s="5"/>
      <c r="DJ953" s="5"/>
      <c r="DK953" s="5"/>
      <c r="DL953" s="5"/>
      <c r="DM953" s="5"/>
      <c r="DN953" s="5"/>
      <c r="DO953" s="5"/>
      <c r="DP953" s="5"/>
      <c r="DQ953" s="5"/>
      <c r="DR953" s="5"/>
      <c r="DS953" s="5"/>
      <c r="DT953" s="5"/>
      <c r="DU953" s="5"/>
      <c r="DV953" s="5"/>
      <c r="DW953" s="5"/>
      <c r="DX953" s="5"/>
      <c r="DY953" s="5"/>
      <c r="DZ953" s="5"/>
      <c r="EA953" s="5"/>
      <c r="EB953" s="5"/>
      <c r="EC953" s="5"/>
      <c r="ED953" s="5"/>
      <c r="EE953" s="5"/>
    </row>
    <row r="954" spans="1:135" ht="30" customHeight="1" thickBot="1" x14ac:dyDescent="0.3">
      <c r="A954" s="578" t="s">
        <v>155</v>
      </c>
      <c r="B954" s="51" t="s">
        <v>150</v>
      </c>
      <c r="C954" s="72" t="s">
        <v>151</v>
      </c>
      <c r="D954" s="10" t="s">
        <v>24</v>
      </c>
      <c r="E954" s="28" t="s">
        <v>25</v>
      </c>
      <c r="F954" s="12" t="s">
        <v>153</v>
      </c>
      <c r="G954" s="15" t="s">
        <v>154</v>
      </c>
      <c r="H954" s="31" t="s">
        <v>134</v>
      </c>
      <c r="I954" s="24" t="s">
        <v>135</v>
      </c>
      <c r="J954" s="24" t="s">
        <v>32</v>
      </c>
      <c r="K954" s="340" t="s">
        <v>157</v>
      </c>
      <c r="L954" s="21" t="str">
        <f>"RUTL-"&amp;RIGHT(K954,8)</f>
        <v>RUTL-PW0K0DQB</v>
      </c>
      <c r="M954" s="34" t="s">
        <v>40</v>
      </c>
      <c r="N954" s="32" t="s">
        <v>43</v>
      </c>
      <c r="O954" s="94"/>
      <c r="P954" s="45" t="s">
        <v>46</v>
      </c>
      <c r="Q954" s="35" t="s">
        <v>158</v>
      </c>
      <c r="R954" s="15" t="s">
        <v>56</v>
      </c>
      <c r="S954" s="37" t="s">
        <v>57</v>
      </c>
      <c r="T954" s="96" t="s">
        <v>159</v>
      </c>
      <c r="U954" s="39" t="s">
        <v>160</v>
      </c>
      <c r="V954" s="43">
        <v>46122</v>
      </c>
      <c r="W954" s="32" t="s">
        <v>62</v>
      </c>
      <c r="X954" s="71"/>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c r="DE954" s="5"/>
      <c r="DF954" s="5"/>
      <c r="DG954" s="5"/>
      <c r="DH954" s="5"/>
      <c r="DI954" s="5"/>
      <c r="DJ954" s="5"/>
      <c r="DK954" s="5"/>
      <c r="DL954" s="5"/>
      <c r="DM954" s="5"/>
      <c r="DN954" s="5"/>
      <c r="DO954" s="5"/>
      <c r="DP954" s="5"/>
      <c r="DQ954" s="5"/>
      <c r="DR954" s="5"/>
      <c r="DS954" s="5"/>
      <c r="DT954" s="5"/>
      <c r="DU954" s="5"/>
      <c r="DV954" s="5"/>
      <c r="DW954" s="5"/>
      <c r="DX954" s="5"/>
      <c r="DY954" s="5"/>
      <c r="DZ954" s="5"/>
      <c r="EA954" s="5"/>
      <c r="EB954" s="5"/>
      <c r="EC954" s="5"/>
      <c r="ED954" s="5"/>
      <c r="EE954" s="5"/>
    </row>
    <row r="955" spans="1:135" ht="30" customHeight="1" thickBot="1" x14ac:dyDescent="0.3">
      <c r="A955" s="578" t="s">
        <v>172</v>
      </c>
      <c r="B955" s="16" t="s">
        <v>167</v>
      </c>
      <c r="C955" s="72" t="s">
        <v>168</v>
      </c>
      <c r="D955" s="140" t="s">
        <v>24</v>
      </c>
      <c r="E955" s="11" t="s">
        <v>25</v>
      </c>
      <c r="F955" s="20" t="s">
        <v>169</v>
      </c>
      <c r="G955" s="59" t="s">
        <v>133</v>
      </c>
      <c r="H955" s="22" t="s">
        <v>134</v>
      </c>
      <c r="I955" s="142" t="s">
        <v>117</v>
      </c>
      <c r="J955" s="24" t="s">
        <v>32</v>
      </c>
      <c r="K955" s="340" t="s">
        <v>173</v>
      </c>
      <c r="L955" s="21" t="str">
        <f>"RUTL-"&amp;RIGHT(K955,8)</f>
        <v>RUTL-PW0K0DDW</v>
      </c>
      <c r="M955" s="34" t="s">
        <v>40</v>
      </c>
      <c r="N955" s="32" t="s">
        <v>43</v>
      </c>
      <c r="O955" s="98"/>
      <c r="P955" s="45" t="s">
        <v>46</v>
      </c>
      <c r="Q955" s="36" t="s">
        <v>175</v>
      </c>
      <c r="R955" s="15" t="s">
        <v>56</v>
      </c>
      <c r="S955" s="37" t="s">
        <v>57</v>
      </c>
      <c r="T955" s="90" t="s">
        <v>101</v>
      </c>
      <c r="U955" s="39" t="s">
        <v>183</v>
      </c>
      <c r="V955" s="270">
        <v>46122</v>
      </c>
      <c r="W955" s="32" t="s">
        <v>62</v>
      </c>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c r="BO955" s="30"/>
      <c r="BP955" s="30"/>
      <c r="BQ955" s="30"/>
      <c r="BR955" s="30"/>
      <c r="BS955" s="30"/>
      <c r="BT955" s="30"/>
      <c r="BU955" s="30"/>
      <c r="BV955" s="30"/>
      <c r="BW955" s="30"/>
      <c r="BX955" s="30"/>
      <c r="BY955" s="30"/>
      <c r="BZ955" s="30"/>
      <c r="CA955" s="30"/>
      <c r="CB955" s="30"/>
      <c r="CC955" s="30"/>
      <c r="CD955" s="30"/>
      <c r="CE955" s="30"/>
      <c r="CF955" s="30"/>
      <c r="CG955" s="30"/>
      <c r="CH955" s="30"/>
      <c r="CI955" s="30"/>
      <c r="CJ955" s="30"/>
      <c r="CK955" s="30"/>
      <c r="CL955" s="30"/>
      <c r="CM955" s="30"/>
      <c r="CN955" s="30"/>
      <c r="CO955" s="30"/>
      <c r="CP955" s="30"/>
      <c r="CQ955" s="30"/>
      <c r="CR955" s="30"/>
      <c r="CS955" s="30"/>
      <c r="CT955" s="30"/>
      <c r="CU955" s="30"/>
      <c r="CV955" s="30"/>
      <c r="CW955" s="30"/>
      <c r="CX955" s="30"/>
      <c r="CY955" s="30"/>
      <c r="CZ955" s="30"/>
      <c r="DA955" s="30"/>
      <c r="DB955" s="30"/>
      <c r="DC955" s="30"/>
      <c r="DD955" s="30"/>
      <c r="DE955" s="30"/>
      <c r="DF955" s="30"/>
      <c r="DG955" s="30"/>
      <c r="DH955" s="30"/>
      <c r="DI955" s="30"/>
      <c r="DJ955" s="30"/>
      <c r="DK955" s="30"/>
      <c r="DL955" s="30"/>
      <c r="DM955" s="30"/>
      <c r="DN955" s="30"/>
      <c r="DO955" s="30"/>
      <c r="DP955" s="30"/>
      <c r="DQ955" s="30"/>
      <c r="DR955" s="30"/>
      <c r="DS955" s="30"/>
      <c r="DT955" s="30"/>
      <c r="DU955" s="30"/>
      <c r="DV955" s="30"/>
      <c r="DW955" s="30"/>
      <c r="DX955" s="30"/>
      <c r="DY955" s="30"/>
      <c r="DZ955" s="30"/>
      <c r="EA955" s="30"/>
      <c r="EB955" s="30"/>
      <c r="EC955" s="30"/>
      <c r="ED955" s="30"/>
      <c r="EE955" s="30"/>
    </row>
    <row r="956" spans="1:135" ht="30" customHeight="1" thickBot="1" x14ac:dyDescent="0.3">
      <c r="A956" s="578" t="s">
        <v>6533</v>
      </c>
      <c r="B956" s="51">
        <v>16037</v>
      </c>
      <c r="C956" s="69" t="s">
        <v>6530</v>
      </c>
      <c r="D956" s="10" t="s">
        <v>24</v>
      </c>
      <c r="E956" s="28" t="s">
        <v>25</v>
      </c>
      <c r="F956" s="20" t="s">
        <v>6531</v>
      </c>
      <c r="G956" s="15" t="s">
        <v>6532</v>
      </c>
      <c r="H956" s="22" t="s">
        <v>92</v>
      </c>
      <c r="I956" s="142" t="s">
        <v>48</v>
      </c>
      <c r="J956" s="18" t="s">
        <v>49</v>
      </c>
      <c r="K956" s="250" t="s">
        <v>6534</v>
      </c>
      <c r="L956" s="25" t="str">
        <f>"RUTL-"&amp;RIGHT(K956,8)</f>
        <v>RUTL-1CE66N02</v>
      </c>
      <c r="M956" s="34" t="s">
        <v>40</v>
      </c>
      <c r="N956" s="23" t="s">
        <v>54</v>
      </c>
      <c r="O956" s="23"/>
      <c r="P956" s="45" t="s">
        <v>46</v>
      </c>
      <c r="Q956" s="35" t="s">
        <v>6535</v>
      </c>
      <c r="R956" s="46" t="s">
        <v>56</v>
      </c>
      <c r="S956" s="40" t="s">
        <v>57</v>
      </c>
      <c r="T956" s="41" t="s">
        <v>65</v>
      </c>
      <c r="U956" s="39" t="s">
        <v>6536</v>
      </c>
      <c r="V956" s="82"/>
      <c r="W956" s="23" t="s">
        <v>99</v>
      </c>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c r="BO956" s="30"/>
      <c r="BP956" s="30"/>
      <c r="BQ956" s="30"/>
      <c r="BR956" s="30"/>
      <c r="BS956" s="30"/>
      <c r="BT956" s="30"/>
      <c r="BU956" s="30"/>
      <c r="BV956" s="30"/>
      <c r="BW956" s="30"/>
      <c r="BX956" s="30"/>
      <c r="BY956" s="30"/>
      <c r="BZ956" s="30"/>
      <c r="CA956" s="30"/>
      <c r="CB956" s="30"/>
      <c r="CC956" s="30"/>
      <c r="CD956" s="30"/>
      <c r="CE956" s="30"/>
      <c r="CF956" s="30"/>
      <c r="CG956" s="30"/>
      <c r="CH956" s="30"/>
      <c r="CI956" s="30"/>
      <c r="CJ956" s="30"/>
      <c r="CK956" s="30"/>
      <c r="CL956" s="30"/>
      <c r="CM956" s="30"/>
      <c r="CN956" s="30"/>
      <c r="CO956" s="30"/>
      <c r="CP956" s="30"/>
      <c r="CQ956" s="30"/>
      <c r="CR956" s="30"/>
      <c r="CS956" s="30"/>
      <c r="CT956" s="30"/>
      <c r="CU956" s="30"/>
      <c r="CV956" s="30"/>
      <c r="CW956" s="30"/>
      <c r="CX956" s="30"/>
      <c r="CY956" s="30"/>
      <c r="CZ956" s="30"/>
      <c r="DA956" s="30"/>
      <c r="DB956" s="30"/>
      <c r="DC956" s="30"/>
      <c r="DD956" s="30"/>
      <c r="DE956" s="30"/>
      <c r="DF956" s="30"/>
      <c r="DG956" s="30"/>
      <c r="DH956" s="30"/>
      <c r="DI956" s="30"/>
      <c r="DJ956" s="30"/>
      <c r="DK956" s="30"/>
      <c r="DL956" s="30"/>
      <c r="DM956" s="30"/>
      <c r="DN956" s="30"/>
      <c r="DO956" s="30"/>
      <c r="DP956" s="30"/>
      <c r="DQ956" s="30"/>
      <c r="DR956" s="30"/>
      <c r="DS956" s="30"/>
      <c r="DT956" s="30"/>
      <c r="DU956" s="30"/>
      <c r="DV956" s="30"/>
      <c r="DW956" s="30"/>
      <c r="DX956" s="30"/>
      <c r="DY956" s="30"/>
      <c r="DZ956" s="30"/>
      <c r="EA956" s="30"/>
      <c r="EB956" s="30"/>
      <c r="EC956" s="30"/>
      <c r="ED956" s="30"/>
      <c r="EE956" s="30"/>
    </row>
    <row r="957" spans="1:135" ht="30" customHeight="1" thickBot="1" x14ac:dyDescent="0.3">
      <c r="A957" s="578" t="s">
        <v>7225</v>
      </c>
      <c r="B957" s="435">
        <v>17925</v>
      </c>
      <c r="C957" s="52" t="s">
        <v>7223</v>
      </c>
      <c r="D957" s="140" t="s">
        <v>24</v>
      </c>
      <c r="E957" s="28" t="s">
        <v>25</v>
      </c>
      <c r="F957" s="20" t="s">
        <v>7224</v>
      </c>
      <c r="G957" s="59" t="s">
        <v>2512</v>
      </c>
      <c r="H957" s="22" t="s">
        <v>3752</v>
      </c>
      <c r="I957" s="142" t="s">
        <v>48</v>
      </c>
      <c r="J957" s="18" t="s">
        <v>49</v>
      </c>
      <c r="K957" s="250" t="s">
        <v>7226</v>
      </c>
      <c r="L957" s="25" t="str">
        <f>"RUTL-"&amp;RIGHT(K957,8)</f>
        <v>RUTL-1A4D6N02</v>
      </c>
      <c r="M957" s="34" t="s">
        <v>40</v>
      </c>
      <c r="N957" s="32" t="s">
        <v>54</v>
      </c>
      <c r="O957" s="23"/>
      <c r="P957" s="35" t="s">
        <v>46</v>
      </c>
      <c r="Q957" s="35" t="s">
        <v>7227</v>
      </c>
      <c r="R957" s="15" t="s">
        <v>7228</v>
      </c>
      <c r="S957" s="37" t="s">
        <v>57</v>
      </c>
      <c r="T957" s="107" t="s">
        <v>453</v>
      </c>
      <c r="U957" s="39" t="s">
        <v>6536</v>
      </c>
      <c r="V957" s="82">
        <v>46111</v>
      </c>
      <c r="W957" s="23" t="s">
        <v>67</v>
      </c>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c r="BO957" s="30"/>
      <c r="BP957" s="30"/>
      <c r="BQ957" s="30"/>
      <c r="BR957" s="30"/>
      <c r="BS957" s="30"/>
      <c r="BT957" s="30"/>
      <c r="BU957" s="30"/>
      <c r="BV957" s="30"/>
      <c r="BW957" s="30"/>
      <c r="BX957" s="30"/>
      <c r="BY957" s="30"/>
      <c r="BZ957" s="30"/>
      <c r="CA957" s="30"/>
      <c r="CB957" s="30"/>
      <c r="CC957" s="30"/>
      <c r="CD957" s="30"/>
      <c r="CE957" s="30"/>
      <c r="CF957" s="30"/>
      <c r="CG957" s="30"/>
      <c r="CH957" s="30"/>
      <c r="CI957" s="30"/>
      <c r="CJ957" s="30"/>
      <c r="CK957" s="30"/>
      <c r="CL957" s="30"/>
      <c r="CM957" s="30"/>
      <c r="CN957" s="30"/>
      <c r="CO957" s="30"/>
      <c r="CP957" s="30"/>
      <c r="CQ957" s="30"/>
      <c r="CR957" s="30"/>
      <c r="CS957" s="30"/>
      <c r="CT957" s="30"/>
      <c r="CU957" s="30"/>
      <c r="CV957" s="30"/>
      <c r="CW957" s="30"/>
      <c r="CX957" s="30"/>
      <c r="CY957" s="30"/>
      <c r="CZ957" s="30"/>
      <c r="DA957" s="30"/>
      <c r="DB957" s="30"/>
      <c r="DC957" s="30"/>
      <c r="DD957" s="30"/>
      <c r="DE957" s="30"/>
      <c r="DF957" s="30"/>
      <c r="DG957" s="30"/>
      <c r="DH957" s="30"/>
      <c r="DI957" s="30"/>
      <c r="DJ957" s="30"/>
      <c r="DK957" s="30"/>
      <c r="DL957" s="30"/>
      <c r="DM957" s="30"/>
      <c r="DN957" s="30"/>
      <c r="DO957" s="30"/>
      <c r="DP957" s="30"/>
      <c r="DQ957" s="30"/>
      <c r="DR957" s="30"/>
      <c r="DS957" s="30"/>
      <c r="DT957" s="30"/>
      <c r="DU957" s="30"/>
      <c r="DV957" s="30"/>
      <c r="DW957" s="30"/>
      <c r="DX957" s="30"/>
      <c r="DY957" s="30"/>
      <c r="DZ957" s="30"/>
      <c r="EA957" s="30"/>
      <c r="EB957" s="30"/>
      <c r="EC957" s="30"/>
      <c r="ED957" s="30"/>
      <c r="EE957" s="30"/>
    </row>
    <row r="958" spans="1:135" ht="30" customHeight="1" thickBot="1" x14ac:dyDescent="0.3">
      <c r="A958" s="578" t="s">
        <v>4745</v>
      </c>
      <c r="B958" s="51">
        <v>9845</v>
      </c>
      <c r="C958" s="52" t="s">
        <v>4743</v>
      </c>
      <c r="D958" s="10" t="s">
        <v>24</v>
      </c>
      <c r="E958" s="28" t="s">
        <v>25</v>
      </c>
      <c r="F958" s="29" t="s">
        <v>4744</v>
      </c>
      <c r="G958" s="15" t="s">
        <v>1525</v>
      </c>
      <c r="H958" s="31" t="s">
        <v>3181</v>
      </c>
      <c r="I958" s="18" t="s">
        <v>48</v>
      </c>
      <c r="J958" s="18" t="s">
        <v>49</v>
      </c>
      <c r="K958" s="33" t="s">
        <v>4746</v>
      </c>
      <c r="L958" s="25" t="str">
        <f>"RUTL-"&amp;RIGHT(K958,8)</f>
        <v>RUTL-1CE46N02</v>
      </c>
      <c r="M958" s="34" t="s">
        <v>40</v>
      </c>
      <c r="N958" s="23" t="s">
        <v>54</v>
      </c>
      <c r="O958" s="23"/>
      <c r="P958" s="45" t="s">
        <v>46</v>
      </c>
      <c r="Q958" s="35" t="s">
        <v>4747</v>
      </c>
      <c r="R958" s="46" t="s">
        <v>56</v>
      </c>
      <c r="S958" s="40" t="s">
        <v>57</v>
      </c>
      <c r="T958" s="118" t="s">
        <v>65</v>
      </c>
      <c r="U958" s="39" t="s">
        <v>4748</v>
      </c>
      <c r="V958" s="48"/>
      <c r="W958" s="23" t="s">
        <v>99</v>
      </c>
      <c r="X958" s="71"/>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row>
    <row r="959" spans="1:135" ht="30" customHeight="1" thickBot="1" x14ac:dyDescent="0.3">
      <c r="A959" s="578" t="s">
        <v>1496</v>
      </c>
      <c r="B959" s="51" t="s">
        <v>1485</v>
      </c>
      <c r="C959" s="9" t="s">
        <v>1487</v>
      </c>
      <c r="D959" s="15" t="s">
        <v>24</v>
      </c>
      <c r="E959" s="11" t="s">
        <v>25</v>
      </c>
      <c r="F959" s="29" t="s">
        <v>1490</v>
      </c>
      <c r="G959" s="59" t="s">
        <v>1492</v>
      </c>
      <c r="H959" s="17" t="s">
        <v>891</v>
      </c>
      <c r="I959" s="142" t="s">
        <v>38</v>
      </c>
      <c r="J959" s="24" t="s">
        <v>32</v>
      </c>
      <c r="K959" s="23" t="s">
        <v>1502</v>
      </c>
      <c r="L959" s="25" t="str">
        <f>"RUTL-"&amp;RIGHT(K959,8)</f>
        <v>RUTL-PW0K0DZJ</v>
      </c>
      <c r="M959" s="34" t="s">
        <v>40</v>
      </c>
      <c r="N959" s="23" t="s">
        <v>54</v>
      </c>
      <c r="O959" s="98"/>
      <c r="P959" s="45" t="s">
        <v>46</v>
      </c>
      <c r="Q959" s="35" t="s">
        <v>1512</v>
      </c>
      <c r="R959" s="15" t="s">
        <v>56</v>
      </c>
      <c r="S959" s="37" t="s">
        <v>57</v>
      </c>
      <c r="T959" s="112" t="s">
        <v>58</v>
      </c>
      <c r="U959" s="47" t="s">
        <v>1513</v>
      </c>
      <c r="V959" s="270">
        <v>46122</v>
      </c>
      <c r="W959" s="32" t="s">
        <v>62</v>
      </c>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c r="BO959" s="30"/>
      <c r="BP959" s="30"/>
      <c r="BQ959" s="30"/>
      <c r="BR959" s="30"/>
      <c r="BS959" s="30"/>
      <c r="BT959" s="30"/>
      <c r="BU959" s="30"/>
      <c r="BV959" s="30"/>
      <c r="BW959" s="30"/>
      <c r="BX959" s="30"/>
      <c r="BY959" s="30"/>
      <c r="BZ959" s="30"/>
      <c r="CA959" s="30"/>
      <c r="CB959" s="30"/>
      <c r="CC959" s="30"/>
      <c r="CD959" s="30"/>
      <c r="CE959" s="30"/>
      <c r="CF959" s="30"/>
      <c r="CG959" s="30"/>
      <c r="CH959" s="30"/>
      <c r="CI959" s="30"/>
      <c r="CJ959" s="30"/>
      <c r="CK959" s="30"/>
      <c r="CL959" s="30"/>
      <c r="CM959" s="30"/>
      <c r="CN959" s="30"/>
      <c r="CO959" s="30"/>
      <c r="CP959" s="30"/>
      <c r="CQ959" s="30"/>
      <c r="CR959" s="30"/>
      <c r="CS959" s="30"/>
      <c r="CT959" s="30"/>
      <c r="CU959" s="30"/>
      <c r="CV959" s="30"/>
      <c r="CW959" s="30"/>
      <c r="CX959" s="30"/>
      <c r="CY959" s="30"/>
      <c r="CZ959" s="30"/>
      <c r="DA959" s="30"/>
      <c r="DB959" s="30"/>
      <c r="DC959" s="30"/>
      <c r="DD959" s="30"/>
      <c r="DE959" s="30"/>
      <c r="DF959" s="30"/>
      <c r="DG959" s="30"/>
      <c r="DH959" s="30"/>
      <c r="DI959" s="30"/>
      <c r="DJ959" s="30"/>
      <c r="DK959" s="30"/>
      <c r="DL959" s="30"/>
      <c r="DM959" s="30"/>
      <c r="DN959" s="30"/>
      <c r="DO959" s="30"/>
      <c r="DP959" s="30"/>
      <c r="DQ959" s="30"/>
      <c r="DR959" s="30"/>
      <c r="DS959" s="30"/>
      <c r="DT959" s="30"/>
      <c r="DU959" s="30"/>
      <c r="DV959" s="30"/>
      <c r="DW959" s="30"/>
      <c r="DX959" s="30"/>
      <c r="DY959" s="30"/>
      <c r="DZ959" s="30"/>
      <c r="EA959" s="30"/>
      <c r="EB959" s="30"/>
      <c r="EC959" s="30"/>
      <c r="ED959" s="30"/>
      <c r="EE959" s="30"/>
    </row>
    <row r="960" spans="1:135" ht="30" customHeight="1" thickBot="1" x14ac:dyDescent="0.3">
      <c r="A960" s="578" t="s">
        <v>7262</v>
      </c>
      <c r="B960" s="435">
        <v>18223</v>
      </c>
      <c r="C960" s="52" t="s">
        <v>7259</v>
      </c>
      <c r="D960" s="10" t="s">
        <v>24</v>
      </c>
      <c r="E960" s="11" t="s">
        <v>25</v>
      </c>
      <c r="F960" s="20" t="s">
        <v>7260</v>
      </c>
      <c r="G960" s="15" t="s">
        <v>7261</v>
      </c>
      <c r="H960" s="76" t="s">
        <v>3543</v>
      </c>
      <c r="I960" s="205" t="s">
        <v>135</v>
      </c>
      <c r="J960" s="24" t="s">
        <v>32</v>
      </c>
      <c r="K960" s="33" t="s">
        <v>7263</v>
      </c>
      <c r="L960" s="25" t="str">
        <f>"RUTL-"&amp;RIGHT(K960,8)</f>
        <v>RUTL-PW0K0D4Y</v>
      </c>
      <c r="M960" s="34" t="s">
        <v>40</v>
      </c>
      <c r="N960" s="32" t="s">
        <v>54</v>
      </c>
      <c r="O960" s="98"/>
      <c r="P960" s="45" t="s">
        <v>46</v>
      </c>
      <c r="Q960" s="35" t="s">
        <v>7264</v>
      </c>
      <c r="R960" s="46" t="s">
        <v>56</v>
      </c>
      <c r="S960" s="37" t="s">
        <v>57</v>
      </c>
      <c r="T960" s="107" t="s">
        <v>453</v>
      </c>
      <c r="U960" s="39" t="s">
        <v>6536</v>
      </c>
      <c r="V960" s="43">
        <v>46122</v>
      </c>
      <c r="W960" s="32" t="s">
        <v>62</v>
      </c>
      <c r="X960" s="30"/>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c r="DJ960" s="5"/>
      <c r="DK960" s="5"/>
      <c r="DL960" s="5"/>
      <c r="DM960" s="5"/>
      <c r="DN960" s="5"/>
      <c r="DO960" s="5"/>
      <c r="DP960" s="5"/>
      <c r="DQ960" s="5"/>
      <c r="DR960" s="5"/>
      <c r="DS960" s="5"/>
      <c r="DT960" s="5"/>
      <c r="DU960" s="5"/>
      <c r="DV960" s="5"/>
      <c r="DW960" s="5"/>
      <c r="DX960" s="5"/>
      <c r="DY960" s="5"/>
      <c r="DZ960" s="5"/>
      <c r="EA960" s="5"/>
      <c r="EB960" s="5"/>
      <c r="EC960" s="5"/>
      <c r="ED960" s="5"/>
      <c r="EE960" s="5"/>
    </row>
    <row r="961" spans="1:135" ht="93.75" customHeight="1" thickBot="1" x14ac:dyDescent="0.3">
      <c r="A961" s="578" t="s">
        <v>6874</v>
      </c>
      <c r="B961" s="51">
        <v>16877</v>
      </c>
      <c r="C961" s="52" t="s">
        <v>6871</v>
      </c>
      <c r="D961" s="10" t="s">
        <v>24</v>
      </c>
      <c r="E961" s="11" t="s">
        <v>25</v>
      </c>
      <c r="F961" s="12" t="s">
        <v>6872</v>
      </c>
      <c r="G961" s="15" t="s">
        <v>6873</v>
      </c>
      <c r="H961" s="104" t="s">
        <v>486</v>
      </c>
      <c r="I961" s="24" t="s">
        <v>135</v>
      </c>
      <c r="J961" s="24" t="s">
        <v>32</v>
      </c>
      <c r="K961" s="23" t="s">
        <v>6875</v>
      </c>
      <c r="L961" s="25" t="str">
        <f>"RUTL-"&amp;RIGHT(K961,8)</f>
        <v>RUTL-PW0K0DZR</v>
      </c>
      <c r="M961" s="34" t="s">
        <v>40</v>
      </c>
      <c r="N961" s="23" t="s">
        <v>54</v>
      </c>
      <c r="O961" s="94"/>
      <c r="P961" s="45" t="s">
        <v>46</v>
      </c>
      <c r="Q961" s="35" t="s">
        <v>6876</v>
      </c>
      <c r="R961" s="15" t="s">
        <v>56</v>
      </c>
      <c r="S961" s="37" t="s">
        <v>57</v>
      </c>
      <c r="T961" s="64" t="s">
        <v>96</v>
      </c>
      <c r="U961" s="39" t="s">
        <v>6877</v>
      </c>
      <c r="V961" s="43">
        <v>46122</v>
      </c>
      <c r="W961" s="32" t="s">
        <v>62</v>
      </c>
      <c r="X961" s="71"/>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c r="DG961" s="5"/>
      <c r="DH961" s="5"/>
      <c r="DI961" s="5"/>
      <c r="DJ961" s="5"/>
      <c r="DK961" s="5"/>
      <c r="DL961" s="5"/>
      <c r="DM961" s="5"/>
      <c r="DN961" s="5"/>
      <c r="DO961" s="5"/>
      <c r="DP961" s="5"/>
      <c r="DQ961" s="5"/>
      <c r="DR961" s="5"/>
      <c r="DS961" s="5"/>
      <c r="DT961" s="5"/>
      <c r="DU961" s="5"/>
      <c r="DV961" s="5"/>
      <c r="DW961" s="5"/>
      <c r="DX961" s="5"/>
      <c r="DY961" s="5"/>
      <c r="DZ961" s="5"/>
      <c r="EA961" s="5"/>
      <c r="EB961" s="5"/>
      <c r="EC961" s="5"/>
      <c r="ED961" s="5"/>
      <c r="EE961" s="5"/>
    </row>
    <row r="962" spans="1:135" ht="15.75" customHeight="1" thickBot="1" x14ac:dyDescent="0.3">
      <c r="A962" s="578" t="s">
        <v>6938</v>
      </c>
      <c r="B962" s="51">
        <v>17070</v>
      </c>
      <c r="C962" s="52" t="s">
        <v>6935</v>
      </c>
      <c r="D962" s="10" t="s">
        <v>24</v>
      </c>
      <c r="E962" s="11" t="s">
        <v>25</v>
      </c>
      <c r="F962" s="20" t="s">
        <v>6936</v>
      </c>
      <c r="G962" s="15" t="s">
        <v>6937</v>
      </c>
      <c r="H962" s="37" t="s">
        <v>533</v>
      </c>
      <c r="I962" s="24" t="s">
        <v>135</v>
      </c>
      <c r="J962" s="24" t="s">
        <v>32</v>
      </c>
      <c r="K962" s="23" t="s">
        <v>6939</v>
      </c>
      <c r="L962" s="25" t="str">
        <f>"RUTL-"&amp;RIGHT(K962,8)</f>
        <v>RUTL-PW0K0DQM</v>
      </c>
      <c r="M962" s="34" t="s">
        <v>40</v>
      </c>
      <c r="N962" s="32" t="s">
        <v>54</v>
      </c>
      <c r="O962" s="94"/>
      <c r="P962" s="45" t="s">
        <v>46</v>
      </c>
      <c r="Q962" s="35" t="s">
        <v>6940</v>
      </c>
      <c r="R962" s="15" t="s">
        <v>56</v>
      </c>
      <c r="S962" s="40" t="s">
        <v>57</v>
      </c>
      <c r="T962" s="118" t="s">
        <v>65</v>
      </c>
      <c r="U962" s="39" t="s">
        <v>6941</v>
      </c>
      <c r="V962" s="43">
        <v>46122</v>
      </c>
      <c r="W962" s="32" t="s">
        <v>62</v>
      </c>
      <c r="X962" s="71"/>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c r="DJ962" s="5"/>
      <c r="DK962" s="5"/>
      <c r="DL962" s="5"/>
      <c r="DM962" s="5"/>
      <c r="DN962" s="5"/>
      <c r="DO962" s="5"/>
      <c r="DP962" s="5"/>
      <c r="DQ962" s="5"/>
      <c r="DR962" s="5"/>
      <c r="DS962" s="5"/>
      <c r="DT962" s="5"/>
      <c r="DU962" s="5"/>
      <c r="DV962" s="5"/>
      <c r="DW962" s="5"/>
      <c r="DX962" s="5"/>
      <c r="DY962" s="5"/>
      <c r="DZ962" s="5"/>
      <c r="EA962" s="5"/>
      <c r="EB962" s="5"/>
      <c r="EC962" s="5"/>
      <c r="ED962" s="5"/>
      <c r="EE962" s="5"/>
    </row>
    <row r="963" spans="1:135" ht="63" customHeight="1" thickBot="1" x14ac:dyDescent="0.3">
      <c r="A963" s="578" t="s">
        <v>4979</v>
      </c>
      <c r="B963" s="51">
        <v>11220</v>
      </c>
      <c r="C963" s="72" t="s">
        <v>4977</v>
      </c>
      <c r="D963" s="10" t="s">
        <v>24</v>
      </c>
      <c r="E963" s="10" t="s">
        <v>25</v>
      </c>
      <c r="F963" s="20" t="s">
        <v>4978</v>
      </c>
      <c r="G963" s="15" t="s">
        <v>3948</v>
      </c>
      <c r="H963" s="147" t="s">
        <v>1477</v>
      </c>
      <c r="I963" s="54" t="s">
        <v>135</v>
      </c>
      <c r="J963" s="24" t="s">
        <v>32</v>
      </c>
      <c r="K963" s="33" t="s">
        <v>4980</v>
      </c>
      <c r="L963" s="25" t="str">
        <f>"RUTL-"&amp;RIGHT(K963,8)</f>
        <v>RUTL-PW0K0DYW</v>
      </c>
      <c r="M963" s="34" t="s">
        <v>40</v>
      </c>
      <c r="N963" s="23" t="s">
        <v>43</v>
      </c>
      <c r="O963" s="23"/>
      <c r="P963" s="35" t="s">
        <v>46</v>
      </c>
      <c r="Q963" s="36" t="s">
        <v>4981</v>
      </c>
      <c r="R963" s="15" t="s">
        <v>56</v>
      </c>
      <c r="S963" s="37" t="s">
        <v>57</v>
      </c>
      <c r="T963" s="107" t="s">
        <v>148</v>
      </c>
      <c r="U963" s="39" t="s">
        <v>4982</v>
      </c>
      <c r="V963" s="43">
        <v>46122</v>
      </c>
      <c r="W963" s="32" t="s">
        <v>62</v>
      </c>
      <c r="X963" s="30"/>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c r="DE963" s="5"/>
      <c r="DF963" s="5"/>
      <c r="DG963" s="5"/>
      <c r="DH963" s="5"/>
      <c r="DI963" s="5"/>
      <c r="DJ963" s="5"/>
      <c r="DK963" s="5"/>
      <c r="DL963" s="5"/>
      <c r="DM963" s="5"/>
      <c r="DN963" s="5"/>
      <c r="DO963" s="5"/>
      <c r="DP963" s="5"/>
      <c r="DQ963" s="5"/>
      <c r="DR963" s="5"/>
      <c r="DS963" s="5"/>
      <c r="DT963" s="5"/>
      <c r="DU963" s="5"/>
      <c r="DV963" s="5"/>
      <c r="DW963" s="5"/>
      <c r="DX963" s="5"/>
      <c r="DY963" s="5"/>
      <c r="DZ963" s="5"/>
      <c r="EA963" s="5"/>
      <c r="EB963" s="5"/>
      <c r="EC963" s="5"/>
      <c r="ED963" s="5"/>
      <c r="EE963" s="5"/>
    </row>
    <row r="964" spans="1:135" ht="48" thickBot="1" x14ac:dyDescent="0.3">
      <c r="A964" s="578" t="s">
        <v>7293</v>
      </c>
      <c r="B964" s="51">
        <v>18232</v>
      </c>
      <c r="C964" s="69" t="s">
        <v>7290</v>
      </c>
      <c r="D964" s="10" t="s">
        <v>24</v>
      </c>
      <c r="E964" s="11" t="s">
        <v>25</v>
      </c>
      <c r="F964" s="12" t="s">
        <v>7291</v>
      </c>
      <c r="G964" s="15" t="s">
        <v>7292</v>
      </c>
      <c r="H964" s="22" t="s">
        <v>564</v>
      </c>
      <c r="I964" s="24" t="s">
        <v>135</v>
      </c>
      <c r="J964" s="24" t="s">
        <v>32</v>
      </c>
      <c r="K964" s="354" t="s">
        <v>7294</v>
      </c>
      <c r="L964" s="25" t="str">
        <f>"RUTL-"&amp;RIGHT(K964,8)</f>
        <v>RUTL-PW0K0DZH</v>
      </c>
      <c r="M964" s="34" t="s">
        <v>40</v>
      </c>
      <c r="N964" s="23" t="s">
        <v>54</v>
      </c>
      <c r="O964" s="98"/>
      <c r="P964" s="45" t="s">
        <v>46</v>
      </c>
      <c r="Q964" s="35" t="s">
        <v>7295</v>
      </c>
      <c r="R964" s="15" t="s">
        <v>56</v>
      </c>
      <c r="S964" s="37" t="s">
        <v>57</v>
      </c>
      <c r="T964" s="107" t="s">
        <v>453</v>
      </c>
      <c r="U964" s="39" t="s">
        <v>7190</v>
      </c>
      <c r="V964" s="43">
        <v>46122</v>
      </c>
      <c r="W964" s="32" t="s">
        <v>62</v>
      </c>
      <c r="X964" s="71"/>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row>
    <row r="965" spans="1:135" ht="15.75" customHeight="1" thickBot="1" x14ac:dyDescent="0.3">
      <c r="A965" s="578" t="s">
        <v>7124</v>
      </c>
      <c r="B965" s="51">
        <v>17625</v>
      </c>
      <c r="C965" s="69" t="s">
        <v>7122</v>
      </c>
      <c r="D965" s="10" t="s">
        <v>24</v>
      </c>
      <c r="E965" s="28" t="s">
        <v>25</v>
      </c>
      <c r="F965" s="20" t="s">
        <v>7123</v>
      </c>
      <c r="G965" s="15" t="s">
        <v>6221</v>
      </c>
      <c r="H965" s="76" t="s">
        <v>3543</v>
      </c>
      <c r="I965" s="24" t="s">
        <v>135</v>
      </c>
      <c r="J965" s="24" t="s">
        <v>32</v>
      </c>
      <c r="K965" s="33" t="s">
        <v>7125</v>
      </c>
      <c r="L965" s="25" t="str">
        <f>"RUTL-"&amp;RIGHT(K965,8)</f>
        <v>RUTL-PW0K0D53</v>
      </c>
      <c r="M965" s="34" t="s">
        <v>40</v>
      </c>
      <c r="N965" s="23" t="s">
        <v>54</v>
      </c>
      <c r="O965" s="98"/>
      <c r="P965" s="45" t="s">
        <v>46</v>
      </c>
      <c r="Q965" s="113"/>
      <c r="R965" s="46" t="s">
        <v>56</v>
      </c>
      <c r="S965" s="40" t="s">
        <v>57</v>
      </c>
      <c r="T965" s="68" t="s">
        <v>453</v>
      </c>
      <c r="U965" s="90" t="s">
        <v>2463</v>
      </c>
      <c r="V965" s="44">
        <v>46108</v>
      </c>
      <c r="W965" s="32" t="s">
        <v>62</v>
      </c>
      <c r="X965" s="264"/>
    </row>
    <row r="966" spans="1:135" ht="38.25" thickBot="1" x14ac:dyDescent="0.3">
      <c r="A966" s="578" t="s">
        <v>2734</v>
      </c>
      <c r="B966" s="8">
        <v>1682</v>
      </c>
      <c r="C966" s="69" t="s">
        <v>2726</v>
      </c>
      <c r="D966" s="10" t="s">
        <v>24</v>
      </c>
      <c r="E966" s="28" t="s">
        <v>25</v>
      </c>
      <c r="F966" s="20" t="s">
        <v>2730</v>
      </c>
      <c r="G966" s="15" t="s">
        <v>285</v>
      </c>
      <c r="H966" s="291" t="s">
        <v>2731</v>
      </c>
      <c r="I966" s="18" t="s">
        <v>2733</v>
      </c>
      <c r="J966" s="18" t="s">
        <v>49</v>
      </c>
      <c r="K966" s="33" t="s">
        <v>2735</v>
      </c>
      <c r="L966" s="25" t="str">
        <f>"RUTL-"&amp;RIGHT(K966,8)</f>
        <v>RUTL-1D136N02</v>
      </c>
      <c r="M966" s="34" t="s">
        <v>40</v>
      </c>
      <c r="N966" s="39" t="s">
        <v>414</v>
      </c>
      <c r="O966" s="23"/>
      <c r="P966" s="45" t="s">
        <v>46</v>
      </c>
      <c r="Q966" s="35" t="s">
        <v>2736</v>
      </c>
      <c r="R966" s="46" t="s">
        <v>56</v>
      </c>
      <c r="S966" s="37" t="s">
        <v>57</v>
      </c>
      <c r="T966" s="41" t="s">
        <v>65</v>
      </c>
      <c r="U966" s="23" t="s">
        <v>2738</v>
      </c>
      <c r="V966" s="48">
        <v>46111</v>
      </c>
      <c r="W966" s="23" t="s">
        <v>99</v>
      </c>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c r="CM966" s="13"/>
      <c r="CN966" s="13"/>
      <c r="CO966" s="13"/>
      <c r="CP966" s="13"/>
      <c r="CQ966" s="13"/>
      <c r="CR966" s="13"/>
      <c r="CS966" s="13"/>
      <c r="CT966" s="13"/>
      <c r="CU966" s="13"/>
      <c r="CV966" s="13"/>
      <c r="CW966" s="13"/>
      <c r="CX966" s="13"/>
      <c r="CY966" s="13"/>
      <c r="CZ966" s="13"/>
      <c r="DA966" s="13"/>
      <c r="DB966" s="13"/>
      <c r="DC966" s="13"/>
      <c r="DD966" s="13"/>
      <c r="DE966" s="13"/>
      <c r="DF966" s="13"/>
      <c r="DG966" s="13"/>
      <c r="DH966" s="13"/>
      <c r="DI966" s="13"/>
      <c r="DJ966" s="13"/>
      <c r="DK966" s="13"/>
      <c r="DL966" s="13"/>
      <c r="DM966" s="13"/>
      <c r="DN966" s="13"/>
      <c r="DO966" s="13"/>
      <c r="DP966" s="13"/>
      <c r="DQ966" s="13"/>
      <c r="DR966" s="13"/>
      <c r="DS966" s="13"/>
      <c r="DT966" s="13"/>
      <c r="DU966" s="13"/>
      <c r="DV966" s="13"/>
      <c r="DW966" s="13"/>
      <c r="DX966" s="13"/>
      <c r="DY966" s="13"/>
      <c r="DZ966" s="13"/>
      <c r="EA966" s="13"/>
      <c r="EB966" s="13"/>
      <c r="EC966" s="13"/>
      <c r="ED966" s="13"/>
      <c r="EE966" s="13"/>
    </row>
    <row r="967" spans="1:135" ht="15.75" customHeight="1" thickBot="1" x14ac:dyDescent="0.3">
      <c r="A967" s="578" t="s">
        <v>7402</v>
      </c>
      <c r="B967" s="51">
        <v>18615</v>
      </c>
      <c r="C967" s="52" t="s">
        <v>7399</v>
      </c>
      <c r="D967" s="10" t="s">
        <v>24</v>
      </c>
      <c r="E967" s="28" t="s">
        <v>25</v>
      </c>
      <c r="F967" s="20" t="s">
        <v>7400</v>
      </c>
      <c r="G967" s="15" t="s">
        <v>7401</v>
      </c>
      <c r="H967" s="156" t="s">
        <v>1573</v>
      </c>
      <c r="I967" s="18" t="s">
        <v>48</v>
      </c>
      <c r="J967" s="18" t="s">
        <v>49</v>
      </c>
      <c r="K967" s="33" t="s">
        <v>7403</v>
      </c>
      <c r="L967" s="25" t="str">
        <f>"RUTL-"&amp;RIGHT(K967,8)</f>
        <v>RUTL-0ED06N02</v>
      </c>
      <c r="M967" s="34" t="s">
        <v>40</v>
      </c>
      <c r="N967" s="23" t="s">
        <v>54</v>
      </c>
      <c r="O967" s="23"/>
      <c r="P967" s="39" t="s">
        <v>90</v>
      </c>
      <c r="Q967" s="39" t="s">
        <v>7404</v>
      </c>
      <c r="R967" s="15" t="s">
        <v>56</v>
      </c>
      <c r="S967" s="40" t="s">
        <v>57</v>
      </c>
      <c r="T967" s="35" t="s">
        <v>65</v>
      </c>
      <c r="U967" s="39" t="s">
        <v>2777</v>
      </c>
      <c r="V967" s="48">
        <v>46111</v>
      </c>
      <c r="W967" s="23" t="s">
        <v>67</v>
      </c>
      <c r="X967" s="71"/>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c r="DE967" s="5"/>
      <c r="DF967" s="5"/>
      <c r="DG967" s="5"/>
      <c r="DH967" s="5"/>
      <c r="DI967" s="5"/>
      <c r="DJ967" s="5"/>
      <c r="DK967" s="5"/>
      <c r="DL967" s="5"/>
      <c r="DM967" s="5"/>
      <c r="DN967" s="5"/>
      <c r="DO967" s="5"/>
      <c r="DP967" s="5"/>
      <c r="DQ967" s="5"/>
      <c r="DR967" s="5"/>
      <c r="DS967" s="5"/>
      <c r="DT967" s="5"/>
      <c r="DU967" s="5"/>
      <c r="DV967" s="5"/>
      <c r="DW967" s="5"/>
      <c r="DX967" s="5"/>
      <c r="DY967" s="5"/>
      <c r="DZ967" s="5"/>
      <c r="EA967" s="5"/>
      <c r="EB967" s="5"/>
      <c r="EC967" s="5"/>
      <c r="ED967" s="5"/>
      <c r="EE967" s="5"/>
    </row>
    <row r="968" spans="1:135" ht="15.75" customHeight="1" thickBot="1" x14ac:dyDescent="0.3">
      <c r="A968" s="578" t="s">
        <v>6983</v>
      </c>
      <c r="B968" s="51">
        <v>17150</v>
      </c>
      <c r="C968" s="52" t="s">
        <v>6981</v>
      </c>
      <c r="D968" s="10" t="s">
        <v>24</v>
      </c>
      <c r="E968" s="11" t="s">
        <v>25</v>
      </c>
      <c r="F968" s="20" t="s">
        <v>6982</v>
      </c>
      <c r="G968" s="15" t="s">
        <v>4404</v>
      </c>
      <c r="H968" s="156" t="s">
        <v>1573</v>
      </c>
      <c r="I968" s="24" t="s">
        <v>48</v>
      </c>
      <c r="J968" s="24" t="s">
        <v>49</v>
      </c>
      <c r="K968" s="23" t="s">
        <v>6984</v>
      </c>
      <c r="L968" s="25" t="str">
        <f>"RUTL-"&amp;RIGHT(K968,8)</f>
        <v>RUTL-1CEC6N02</v>
      </c>
      <c r="M968" s="34" t="s">
        <v>40</v>
      </c>
      <c r="N968" s="23" t="s">
        <v>54</v>
      </c>
      <c r="O968" s="32"/>
      <c r="P968" s="35" t="s">
        <v>46</v>
      </c>
      <c r="Q968" s="36" t="s">
        <v>6985</v>
      </c>
      <c r="R968" s="15" t="s">
        <v>56</v>
      </c>
      <c r="S968" s="40" t="s">
        <v>57</v>
      </c>
      <c r="T968" s="101" t="s">
        <v>96</v>
      </c>
      <c r="U968" s="39" t="s">
        <v>6941</v>
      </c>
      <c r="V968" s="43"/>
      <c r="W968" s="32" t="s">
        <v>99</v>
      </c>
      <c r="X968" s="71"/>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c r="DG968" s="5"/>
      <c r="DH968" s="5"/>
      <c r="DI968" s="5"/>
      <c r="DJ968" s="5"/>
      <c r="DK968" s="5"/>
      <c r="DL968" s="5"/>
      <c r="DM968" s="5"/>
      <c r="DN968" s="5"/>
      <c r="DO968" s="5"/>
      <c r="DP968" s="5"/>
      <c r="DQ968" s="5"/>
      <c r="DR968" s="5"/>
      <c r="DS968" s="5"/>
      <c r="DT968" s="5"/>
      <c r="DU968" s="5"/>
      <c r="DV968" s="5"/>
      <c r="DW968" s="5"/>
      <c r="DX968" s="5"/>
      <c r="DY968" s="5"/>
      <c r="DZ968" s="5"/>
      <c r="EA968" s="5"/>
      <c r="EB968" s="5"/>
      <c r="EC968" s="5"/>
      <c r="ED968" s="5"/>
      <c r="EE968" s="5"/>
    </row>
    <row r="969" spans="1:135" ht="27.75" customHeight="1" thickBot="1" x14ac:dyDescent="0.3">
      <c r="A969" s="578" t="s">
        <v>6999</v>
      </c>
      <c r="B969" s="51">
        <v>17154</v>
      </c>
      <c r="C969" s="50" t="s">
        <v>6996</v>
      </c>
      <c r="D969" s="10" t="s">
        <v>24</v>
      </c>
      <c r="E969" s="28" t="s">
        <v>25</v>
      </c>
      <c r="F969" s="12" t="s">
        <v>6997</v>
      </c>
      <c r="G969" s="15" t="s">
        <v>6998</v>
      </c>
      <c r="H969" s="156" t="s">
        <v>1573</v>
      </c>
      <c r="I969" s="54" t="s">
        <v>48</v>
      </c>
      <c r="J969" s="18" t="s">
        <v>49</v>
      </c>
      <c r="K969" s="23" t="s">
        <v>7000</v>
      </c>
      <c r="L969" s="25" t="str">
        <f>"RUTL-"&amp;RIGHT(K969,8)</f>
        <v>RUTL-1A5E6N02</v>
      </c>
      <c r="M969" s="34" t="s">
        <v>40</v>
      </c>
      <c r="N969" s="23" t="s">
        <v>54</v>
      </c>
      <c r="O969" s="23"/>
      <c r="P969" s="45" t="s">
        <v>46</v>
      </c>
      <c r="Q969" s="35" t="s">
        <v>7001</v>
      </c>
      <c r="R969" s="15" t="s">
        <v>56</v>
      </c>
      <c r="S969" s="37" t="s">
        <v>57</v>
      </c>
      <c r="T969" s="101" t="s">
        <v>96</v>
      </c>
      <c r="U969" s="39" t="s">
        <v>6877</v>
      </c>
      <c r="V969" s="48">
        <v>46111</v>
      </c>
      <c r="W969" s="23" t="s">
        <v>67</v>
      </c>
      <c r="X969" s="30"/>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row>
    <row r="970" spans="1:135" ht="15.75" customHeight="1" thickBot="1" x14ac:dyDescent="0.3">
      <c r="A970" s="578" t="s">
        <v>4005</v>
      </c>
      <c r="B970" s="51">
        <v>6801</v>
      </c>
      <c r="C970" s="52" t="s">
        <v>4002</v>
      </c>
      <c r="D970" s="15" t="s">
        <v>24</v>
      </c>
      <c r="E970" s="11" t="s">
        <v>25</v>
      </c>
      <c r="F970" s="12" t="s">
        <v>4003</v>
      </c>
      <c r="G970" s="15" t="s">
        <v>4004</v>
      </c>
      <c r="H970" s="17" t="s">
        <v>682</v>
      </c>
      <c r="I970" s="18" t="s">
        <v>48</v>
      </c>
      <c r="J970" s="18" t="s">
        <v>49</v>
      </c>
      <c r="K970" s="33" t="s">
        <v>4006</v>
      </c>
      <c r="L970" s="25" t="str">
        <f>"RUTL-"&amp;RIGHT(K970,8)</f>
        <v>RUTL-1A706N02</v>
      </c>
      <c r="M970" s="34" t="s">
        <v>40</v>
      </c>
      <c r="N970" s="23" t="s">
        <v>54</v>
      </c>
      <c r="O970" s="23"/>
      <c r="P970" s="45" t="s">
        <v>46</v>
      </c>
      <c r="Q970" s="36" t="s">
        <v>4007</v>
      </c>
      <c r="R970" s="15" t="s">
        <v>56</v>
      </c>
      <c r="S970" s="40" t="s">
        <v>57</v>
      </c>
      <c r="T970" s="107" t="s">
        <v>453</v>
      </c>
      <c r="U970" s="39" t="s">
        <v>948</v>
      </c>
      <c r="V970" s="48">
        <v>46111</v>
      </c>
      <c r="W970" s="23" t="s">
        <v>67</v>
      </c>
      <c r="X970" s="71"/>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c r="DG970" s="5"/>
      <c r="DH970" s="5"/>
      <c r="DI970" s="5"/>
      <c r="DJ970" s="5"/>
      <c r="DK970" s="5"/>
      <c r="DL970" s="5"/>
      <c r="DM970" s="5"/>
      <c r="DN970" s="5"/>
      <c r="DO970" s="5"/>
      <c r="DP970" s="5"/>
      <c r="DQ970" s="5"/>
      <c r="DR970" s="5"/>
      <c r="DS970" s="5"/>
      <c r="DT970" s="5"/>
      <c r="DU970" s="5"/>
      <c r="DV970" s="5"/>
      <c r="DW970" s="5"/>
      <c r="DX970" s="5"/>
      <c r="DY970" s="5"/>
      <c r="DZ970" s="5"/>
      <c r="EA970" s="5"/>
      <c r="EB970" s="5"/>
      <c r="EC970" s="5"/>
      <c r="ED970" s="5"/>
      <c r="EE970" s="5"/>
    </row>
    <row r="971" spans="1:135" ht="27.75" customHeight="1" thickBot="1" x14ac:dyDescent="0.3">
      <c r="A971" s="578" t="s">
        <v>1284</v>
      </c>
      <c r="B971" s="16" t="s">
        <v>661</v>
      </c>
      <c r="C971" s="231" t="s">
        <v>1272</v>
      </c>
      <c r="D971" s="10" t="s">
        <v>24</v>
      </c>
      <c r="E971" s="28" t="s">
        <v>25</v>
      </c>
      <c r="F971" s="20" t="s">
        <v>1278</v>
      </c>
      <c r="G971" s="15" t="s">
        <v>1280</v>
      </c>
      <c r="H971" s="102" t="s">
        <v>97</v>
      </c>
      <c r="I971" s="54" t="s">
        <v>48</v>
      </c>
      <c r="J971" s="18" t="s">
        <v>49</v>
      </c>
      <c r="K971" s="33" t="s">
        <v>1286</v>
      </c>
      <c r="L971" s="21" t="str">
        <f>"RUTL-"&amp;RIGHT(K971,8)</f>
        <v>RUTL-1A756N02</v>
      </c>
      <c r="M971" s="34" t="s">
        <v>40</v>
      </c>
      <c r="N971" s="39" t="s">
        <v>414</v>
      </c>
      <c r="O971" s="39" t="s">
        <v>1293</v>
      </c>
      <c r="P971" s="45" t="s">
        <v>46</v>
      </c>
      <c r="Q971" s="45" t="s">
        <v>1296</v>
      </c>
      <c r="R971" s="15" t="s">
        <v>56</v>
      </c>
      <c r="S971" s="37" t="s">
        <v>57</v>
      </c>
      <c r="T971" s="68" t="s">
        <v>148</v>
      </c>
      <c r="U971" s="39" t="s">
        <v>1299</v>
      </c>
      <c r="V971" s="48">
        <v>46111</v>
      </c>
      <c r="W971" s="23" t="s">
        <v>67</v>
      </c>
      <c r="X971" s="30"/>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row>
    <row r="972" spans="1:135" ht="73.5" customHeight="1" thickBot="1" x14ac:dyDescent="0.3">
      <c r="A972" s="578" t="s">
        <v>6800</v>
      </c>
      <c r="B972" s="51">
        <v>16796</v>
      </c>
      <c r="C972" s="72" t="s">
        <v>6797</v>
      </c>
      <c r="D972" s="10" t="s">
        <v>24</v>
      </c>
      <c r="E972" s="28" t="s">
        <v>25</v>
      </c>
      <c r="F972" s="12" t="s">
        <v>6798</v>
      </c>
      <c r="G972" s="15" t="s">
        <v>218</v>
      </c>
      <c r="H972" s="22" t="s">
        <v>197</v>
      </c>
      <c r="I972" s="18" t="s">
        <v>6799</v>
      </c>
      <c r="J972" s="18" t="s">
        <v>102</v>
      </c>
      <c r="K972" s="23" t="s">
        <v>6801</v>
      </c>
      <c r="L972" s="21" t="str">
        <f>"RUTL-"&amp;RIGHT(K972,8)</f>
        <v>RUTL-K0127432</v>
      </c>
      <c r="M972" s="34" t="s">
        <v>40</v>
      </c>
      <c r="N972" s="23" t="s">
        <v>54</v>
      </c>
      <c r="O972" s="23"/>
      <c r="P972" s="45" t="s">
        <v>46</v>
      </c>
      <c r="Q972" s="35" t="s">
        <v>6802</v>
      </c>
      <c r="R972" s="15" t="s">
        <v>56</v>
      </c>
      <c r="S972" s="37" t="s">
        <v>57</v>
      </c>
      <c r="T972" s="118" t="s">
        <v>65</v>
      </c>
      <c r="U972" s="23" t="s">
        <v>2545</v>
      </c>
      <c r="V972" s="48">
        <v>46010</v>
      </c>
      <c r="W972" s="23"/>
      <c r="X972" s="154"/>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row>
    <row r="973" spans="1:135" ht="32.25" thickBot="1" x14ac:dyDescent="0.3">
      <c r="A973" s="578" t="s">
        <v>2199</v>
      </c>
      <c r="B973" s="8">
        <v>912</v>
      </c>
      <c r="C973" s="72" t="s">
        <v>2195</v>
      </c>
      <c r="D973" s="15" t="s">
        <v>24</v>
      </c>
      <c r="E973" s="11" t="s">
        <v>25</v>
      </c>
      <c r="F973" s="20" t="s">
        <v>2197</v>
      </c>
      <c r="G973" s="15" t="s">
        <v>2198</v>
      </c>
      <c r="H973" s="17" t="s">
        <v>1846</v>
      </c>
      <c r="I973" s="18" t="s">
        <v>100</v>
      </c>
      <c r="J973" s="18" t="s">
        <v>102</v>
      </c>
      <c r="K973" s="33" t="s">
        <v>2201</v>
      </c>
      <c r="L973" s="25" t="str">
        <f>"RUTL-"&amp;RIGHT(K973,8)</f>
        <v>RUTL-K0127440</v>
      </c>
      <c r="M973" s="34" t="s">
        <v>40</v>
      </c>
      <c r="N973" s="23" t="s">
        <v>54</v>
      </c>
      <c r="O973" s="23"/>
      <c r="P973" s="35" t="s">
        <v>46</v>
      </c>
      <c r="Q973" s="36" t="s">
        <v>2202</v>
      </c>
      <c r="R973" s="15" t="s">
        <v>56</v>
      </c>
      <c r="S973" s="37" t="s">
        <v>57</v>
      </c>
      <c r="T973" s="309" t="s">
        <v>273</v>
      </c>
      <c r="U973" s="39" t="s">
        <v>59</v>
      </c>
      <c r="V973" s="48">
        <v>46010</v>
      </c>
      <c r="W973" s="32"/>
      <c r="X973" s="71"/>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c r="DS973" s="5"/>
      <c r="DT973" s="5"/>
      <c r="DU973" s="5"/>
      <c r="DV973" s="5"/>
      <c r="DW973" s="5"/>
      <c r="DX973" s="5"/>
      <c r="DY973" s="5"/>
      <c r="DZ973" s="5"/>
      <c r="EA973" s="5"/>
      <c r="EB973" s="5"/>
      <c r="EC973" s="5"/>
      <c r="ED973" s="5"/>
      <c r="EE973" s="5"/>
    </row>
    <row r="974" spans="1:135" ht="38.25" thickBot="1" x14ac:dyDescent="0.3">
      <c r="A974" s="578" t="s">
        <v>7204</v>
      </c>
      <c r="B974" s="75">
        <v>17728</v>
      </c>
      <c r="C974" s="72" t="s">
        <v>7201</v>
      </c>
      <c r="D974" s="10" t="s">
        <v>24</v>
      </c>
      <c r="E974" s="28" t="s">
        <v>25</v>
      </c>
      <c r="F974" s="20" t="s">
        <v>7202</v>
      </c>
      <c r="G974" s="15" t="s">
        <v>1436</v>
      </c>
      <c r="H974" s="22" t="s">
        <v>7203</v>
      </c>
      <c r="I974" s="18" t="s">
        <v>48</v>
      </c>
      <c r="J974" s="18" t="s">
        <v>49</v>
      </c>
      <c r="K974" s="61" t="s">
        <v>7205</v>
      </c>
      <c r="L974" s="25" t="str">
        <f>"RUTL-"&amp;RIGHT(K974,8)</f>
        <v>RUTL-1D4E6N02</v>
      </c>
      <c r="M974" s="34" t="s">
        <v>40</v>
      </c>
      <c r="N974" s="23" t="s">
        <v>54</v>
      </c>
      <c r="O974" s="23"/>
      <c r="P974" s="45" t="s">
        <v>46</v>
      </c>
      <c r="Q974" s="45" t="s">
        <v>7206</v>
      </c>
      <c r="R974" s="15" t="s">
        <v>56</v>
      </c>
      <c r="S974" s="37" t="s">
        <v>57</v>
      </c>
      <c r="T974" s="107" t="s">
        <v>453</v>
      </c>
      <c r="U974" s="39" t="s">
        <v>6027</v>
      </c>
      <c r="V974" s="48"/>
      <c r="W974" s="23" t="s">
        <v>99</v>
      </c>
      <c r="X974" s="71"/>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row>
    <row r="975" spans="1:135" ht="15.75" customHeight="1" x14ac:dyDescent="0.25">
      <c r="A975" s="578" t="s">
        <v>7326</v>
      </c>
      <c r="B975" s="51">
        <v>18412</v>
      </c>
      <c r="C975" s="52" t="s">
        <v>7323</v>
      </c>
      <c r="D975" s="10" t="s">
        <v>24</v>
      </c>
      <c r="E975" s="28" t="s">
        <v>25</v>
      </c>
      <c r="F975" s="20" t="s">
        <v>7324</v>
      </c>
      <c r="G975" s="15" t="s">
        <v>7325</v>
      </c>
      <c r="H975" s="22" t="s">
        <v>2315</v>
      </c>
      <c r="I975" s="18" t="s">
        <v>48</v>
      </c>
      <c r="J975" s="18" t="s">
        <v>49</v>
      </c>
      <c r="K975" s="61" t="s">
        <v>7327</v>
      </c>
      <c r="L975" s="25" t="str">
        <f>"RUTL-"&amp;RIGHT(K975,8)</f>
        <v>RUTL-1D1B6N02</v>
      </c>
      <c r="M975" s="129" t="s">
        <v>40</v>
      </c>
      <c r="N975" s="14" t="s">
        <v>43</v>
      </c>
      <c r="O975" s="23"/>
      <c r="P975" s="45" t="s">
        <v>46</v>
      </c>
      <c r="Q975" s="39" t="s">
        <v>7328</v>
      </c>
      <c r="R975" s="15" t="s">
        <v>56</v>
      </c>
      <c r="S975" s="37" t="s">
        <v>57</v>
      </c>
      <c r="T975" s="107" t="s">
        <v>453</v>
      </c>
      <c r="U975" s="39" t="s">
        <v>5684</v>
      </c>
      <c r="V975" s="48"/>
      <c r="W975" s="23" t="s">
        <v>99</v>
      </c>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row>
    <row r="976" spans="1:135" ht="27.75" customHeight="1" thickBot="1" x14ac:dyDescent="0.3">
      <c r="A976" s="578" t="s">
        <v>7277</v>
      </c>
      <c r="B976" s="51">
        <v>18227</v>
      </c>
      <c r="C976" s="52" t="s">
        <v>7275</v>
      </c>
      <c r="D976" s="10" t="s">
        <v>24</v>
      </c>
      <c r="E976" s="28" t="s">
        <v>25</v>
      </c>
      <c r="F976" s="12" t="s">
        <v>7276</v>
      </c>
      <c r="G976" s="15" t="s">
        <v>7079</v>
      </c>
      <c r="H976" s="22" t="s">
        <v>255</v>
      </c>
      <c r="I976" s="18" t="s">
        <v>48</v>
      </c>
      <c r="J976" s="18" t="s">
        <v>49</v>
      </c>
      <c r="K976" s="106" t="s">
        <v>7278</v>
      </c>
      <c r="L976" s="25" t="str">
        <f>"RUTL-"&amp;RIGHT(K976,8)</f>
        <v>RUTL-1CE06N02</v>
      </c>
      <c r="M976" s="34" t="s">
        <v>40</v>
      </c>
      <c r="N976" s="23" t="s">
        <v>54</v>
      </c>
      <c r="O976" s="23"/>
      <c r="P976" s="45" t="s">
        <v>46</v>
      </c>
      <c r="Q976" s="39" t="s">
        <v>7279</v>
      </c>
      <c r="R976" s="15" t="s">
        <v>56</v>
      </c>
      <c r="S976" s="37" t="s">
        <v>57</v>
      </c>
      <c r="T976" s="107" t="s">
        <v>453</v>
      </c>
      <c r="U976" s="39" t="s">
        <v>7190</v>
      </c>
      <c r="V976" s="48"/>
      <c r="W976" s="23" t="s">
        <v>99</v>
      </c>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row>
    <row r="977" spans="1:135" ht="48.75" customHeight="1" thickBot="1" x14ac:dyDescent="0.3">
      <c r="A977" s="578" t="s">
        <v>7387</v>
      </c>
      <c r="B977" s="51">
        <v>18547</v>
      </c>
      <c r="C977" s="72" t="s">
        <v>7385</v>
      </c>
      <c r="D977" s="10" t="s">
        <v>24</v>
      </c>
      <c r="E977" s="28" t="s">
        <v>25</v>
      </c>
      <c r="F977" s="20" t="s">
        <v>7386</v>
      </c>
      <c r="G977" s="15" t="s">
        <v>1961</v>
      </c>
      <c r="H977" s="31" t="s">
        <v>2658</v>
      </c>
      <c r="I977" s="54" t="s">
        <v>48</v>
      </c>
      <c r="J977" s="18" t="s">
        <v>49</v>
      </c>
      <c r="K977" s="33" t="s">
        <v>7388</v>
      </c>
      <c r="L977" s="25" t="str">
        <f>"RUTL-"&amp;RIGHT(K977,8)</f>
        <v>RUTL-1A606N02</v>
      </c>
      <c r="M977" s="34" t="s">
        <v>40</v>
      </c>
      <c r="N977" s="23" t="s">
        <v>54</v>
      </c>
      <c r="O977" s="23"/>
      <c r="P977" s="45" t="s">
        <v>46</v>
      </c>
      <c r="Q977" s="35" t="s">
        <v>7389</v>
      </c>
      <c r="R977" s="15" t="s">
        <v>56</v>
      </c>
      <c r="S977" s="40" t="s">
        <v>57</v>
      </c>
      <c r="T977" s="41" t="s">
        <v>65</v>
      </c>
      <c r="U977" s="39" t="s">
        <v>7041</v>
      </c>
      <c r="V977" s="48">
        <v>46111</v>
      </c>
      <c r="W977" s="23" t="s">
        <v>67</v>
      </c>
      <c r="X977" s="209"/>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row>
    <row r="978" spans="1:135" ht="15.75" customHeight="1" thickBot="1" x14ac:dyDescent="0.3">
      <c r="A978" s="578" t="s">
        <v>7309</v>
      </c>
      <c r="B978" s="51">
        <v>18302</v>
      </c>
      <c r="C978" s="52" t="s">
        <v>7307</v>
      </c>
      <c r="D978" s="10" t="s">
        <v>24</v>
      </c>
      <c r="E978" s="28" t="s">
        <v>25</v>
      </c>
      <c r="F978" s="12" t="s">
        <v>7308</v>
      </c>
      <c r="G978" s="15" t="s">
        <v>7255</v>
      </c>
      <c r="H978" s="31" t="s">
        <v>3902</v>
      </c>
      <c r="I978" s="18" t="s">
        <v>48</v>
      </c>
      <c r="J978" s="18" t="s">
        <v>49</v>
      </c>
      <c r="K978" s="33" t="s">
        <v>7310</v>
      </c>
      <c r="L978" s="25" t="str">
        <f>"RUTL-"&amp;RIGHT(K978,8)</f>
        <v>RUTL-1CEB6N02</v>
      </c>
      <c r="M978" s="34" t="s">
        <v>40</v>
      </c>
      <c r="N978" s="39" t="s">
        <v>54</v>
      </c>
      <c r="O978" s="23"/>
      <c r="P978" s="45" t="s">
        <v>46</v>
      </c>
      <c r="Q978" s="39"/>
      <c r="R978" s="15" t="s">
        <v>56</v>
      </c>
      <c r="S978" s="37" t="s">
        <v>57</v>
      </c>
      <c r="T978" s="107" t="s">
        <v>453</v>
      </c>
      <c r="U978" s="39" t="s">
        <v>4995</v>
      </c>
      <c r="V978" s="48"/>
      <c r="W978" s="23" t="s">
        <v>99</v>
      </c>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row>
    <row r="979" spans="1:135" ht="38.25" thickBot="1" x14ac:dyDescent="0.3">
      <c r="A979" s="578" t="s">
        <v>7287</v>
      </c>
      <c r="B979" s="51">
        <v>18230</v>
      </c>
      <c r="C979" s="50" t="s">
        <v>7285</v>
      </c>
      <c r="D979" s="10" t="s">
        <v>24</v>
      </c>
      <c r="E979" s="28" t="s">
        <v>25</v>
      </c>
      <c r="F979" s="12" t="s">
        <v>7286</v>
      </c>
      <c r="G979" s="15" t="s">
        <v>3517</v>
      </c>
      <c r="H979" s="31" t="s">
        <v>6700</v>
      </c>
      <c r="I979" s="54" t="s">
        <v>48</v>
      </c>
      <c r="J979" s="18" t="s">
        <v>49</v>
      </c>
      <c r="K979" s="61" t="s">
        <v>7288</v>
      </c>
      <c r="L979" s="25" t="str">
        <f>"RUTL-"&amp;RIGHT(K979,8)</f>
        <v>RUTL-1D0D6N02</v>
      </c>
      <c r="M979" s="34" t="s">
        <v>40</v>
      </c>
      <c r="N979" s="39" t="s">
        <v>54</v>
      </c>
      <c r="O979" s="23"/>
      <c r="P979" s="45" t="s">
        <v>46</v>
      </c>
      <c r="Q979" s="35" t="s">
        <v>7289</v>
      </c>
      <c r="R979" s="46" t="s">
        <v>56</v>
      </c>
      <c r="S979" s="40" t="s">
        <v>57</v>
      </c>
      <c r="T979" s="41" t="s">
        <v>65</v>
      </c>
      <c r="U979" s="23"/>
      <c r="V979" s="48"/>
      <c r="W979" s="23" t="s">
        <v>99</v>
      </c>
      <c r="X979" s="71"/>
    </row>
    <row r="980" spans="1:135" ht="15.75" customHeight="1" x14ac:dyDescent="0.25">
      <c r="A980" s="578" t="s">
        <v>7299</v>
      </c>
      <c r="B980" s="51">
        <v>18297</v>
      </c>
      <c r="C980" s="72" t="s">
        <v>7296</v>
      </c>
      <c r="D980" s="10" t="s">
        <v>24</v>
      </c>
      <c r="E980" s="28" t="s">
        <v>25</v>
      </c>
      <c r="F980" s="20" t="s">
        <v>7297</v>
      </c>
      <c r="G980" s="15" t="s">
        <v>7298</v>
      </c>
      <c r="H980" s="31" t="s">
        <v>6739</v>
      </c>
      <c r="I980" s="18" t="s">
        <v>48</v>
      </c>
      <c r="J980" s="18" t="s">
        <v>49</v>
      </c>
      <c r="K980" s="61" t="s">
        <v>7300</v>
      </c>
      <c r="L980" s="25" t="str">
        <f>"RUTL-"&amp;RIGHT(K980,8)</f>
        <v>RUTL-1CEE6N02</v>
      </c>
      <c r="M980" s="34" t="s">
        <v>40</v>
      </c>
      <c r="N980" s="23" t="s">
        <v>54</v>
      </c>
      <c r="O980" s="23"/>
      <c r="P980" s="45" t="s">
        <v>46</v>
      </c>
      <c r="Q980" s="35" t="s">
        <v>7301</v>
      </c>
      <c r="R980" s="46" t="s">
        <v>56</v>
      </c>
      <c r="S980" s="40" t="s">
        <v>180</v>
      </c>
      <c r="T980" s="118" t="s">
        <v>65</v>
      </c>
      <c r="U980" s="23" t="s">
        <v>5684</v>
      </c>
      <c r="V980" s="48"/>
      <c r="W980" s="23" t="s">
        <v>99</v>
      </c>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row>
    <row r="981" spans="1:135" ht="37.5" x14ac:dyDescent="0.25">
      <c r="A981" s="578" t="s">
        <v>7172</v>
      </c>
      <c r="B981" s="51">
        <v>17707</v>
      </c>
      <c r="C981" s="52" t="s">
        <v>7170</v>
      </c>
      <c r="D981" s="10" t="s">
        <v>24</v>
      </c>
      <c r="E981" s="28" t="s">
        <v>25</v>
      </c>
      <c r="F981" s="20" t="s">
        <v>7171</v>
      </c>
      <c r="G981" s="15" t="s">
        <v>3556</v>
      </c>
      <c r="H981" s="22" t="s">
        <v>6739</v>
      </c>
      <c r="I981" s="18" t="s">
        <v>48</v>
      </c>
      <c r="J981" s="18" t="s">
        <v>49</v>
      </c>
      <c r="K981" s="33" t="s">
        <v>7173</v>
      </c>
      <c r="L981" s="25" t="str">
        <f>"RUTL-"&amp;RIGHT(K981,8)</f>
        <v>RUTL-1A4A6N02</v>
      </c>
      <c r="M981" s="34" t="s">
        <v>40</v>
      </c>
      <c r="N981" s="32" t="s">
        <v>54</v>
      </c>
      <c r="O981" s="23"/>
      <c r="P981" s="35" t="s">
        <v>46</v>
      </c>
      <c r="Q981" s="36" t="s">
        <v>7174</v>
      </c>
      <c r="R981" s="15" t="s">
        <v>56</v>
      </c>
      <c r="S981" s="37" t="s">
        <v>57</v>
      </c>
      <c r="T981" s="107" t="s">
        <v>453</v>
      </c>
      <c r="U981" s="39" t="s">
        <v>4995</v>
      </c>
      <c r="V981" s="48">
        <v>46111</v>
      </c>
      <c r="W981" s="23" t="s">
        <v>67</v>
      </c>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row>
    <row r="982" spans="1:135" ht="15.75" customHeight="1" x14ac:dyDescent="0.25">
      <c r="A982" s="578" t="s">
        <v>7220</v>
      </c>
      <c r="B982" s="51">
        <v>17768</v>
      </c>
      <c r="C982" s="52" t="s">
        <v>7218</v>
      </c>
      <c r="D982" s="10" t="s">
        <v>24</v>
      </c>
      <c r="E982" s="28" t="s">
        <v>25</v>
      </c>
      <c r="F982" s="12" t="s">
        <v>7219</v>
      </c>
      <c r="G982" s="15" t="s">
        <v>889</v>
      </c>
      <c r="H982" s="22" t="s">
        <v>4349</v>
      </c>
      <c r="I982" s="18" t="s">
        <v>48</v>
      </c>
      <c r="J982" s="18" t="s">
        <v>49</v>
      </c>
      <c r="K982" s="61" t="s">
        <v>7221</v>
      </c>
      <c r="L982" s="25" t="str">
        <f>"RUTL-"&amp;RIGHT(K982,8)</f>
        <v>RUTL-1D0F6N02</v>
      </c>
      <c r="M982" s="34" t="s">
        <v>40</v>
      </c>
      <c r="N982" s="39" t="s">
        <v>54</v>
      </c>
      <c r="O982" s="23"/>
      <c r="P982" s="45" t="s">
        <v>46</v>
      </c>
      <c r="Q982" s="45" t="s">
        <v>7222</v>
      </c>
      <c r="R982" s="15" t="s">
        <v>56</v>
      </c>
      <c r="S982" s="37" t="s">
        <v>57</v>
      </c>
      <c r="T982" s="107" t="s">
        <v>453</v>
      </c>
      <c r="U982" s="39" t="s">
        <v>4995</v>
      </c>
      <c r="V982" s="48"/>
      <c r="W982" s="23" t="s">
        <v>99</v>
      </c>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row>
    <row r="983" spans="1:135" ht="15.75" customHeight="1" x14ac:dyDescent="0.25">
      <c r="A983" s="578" t="s">
        <v>7331</v>
      </c>
      <c r="B983" s="51">
        <v>18413</v>
      </c>
      <c r="C983" s="72" t="s">
        <v>7329</v>
      </c>
      <c r="D983" s="10" t="s">
        <v>24</v>
      </c>
      <c r="E983" s="28" t="s">
        <v>25</v>
      </c>
      <c r="F983" s="12" t="s">
        <v>7330</v>
      </c>
      <c r="G983" s="15" t="s">
        <v>2917</v>
      </c>
      <c r="H983" s="22" t="s">
        <v>92</v>
      </c>
      <c r="I983" s="18" t="s">
        <v>48</v>
      </c>
      <c r="J983" s="18" t="s">
        <v>49</v>
      </c>
      <c r="K983" s="61" t="s">
        <v>7332</v>
      </c>
      <c r="L983" s="25" t="str">
        <f>"RUTL-"&amp;RIGHT(K983,8)</f>
        <v>RUTL-1D406N02</v>
      </c>
      <c r="M983" s="34" t="s">
        <v>40</v>
      </c>
      <c r="N983" s="23" t="s">
        <v>54</v>
      </c>
      <c r="O983" s="23"/>
      <c r="P983" s="45" t="s">
        <v>46</v>
      </c>
      <c r="Q983" s="39" t="s">
        <v>7333</v>
      </c>
      <c r="R983" s="15" t="s">
        <v>56</v>
      </c>
      <c r="S983" s="37" t="s">
        <v>57</v>
      </c>
      <c r="T983" s="107" t="s">
        <v>453</v>
      </c>
      <c r="U983" s="39" t="s">
        <v>5684</v>
      </c>
      <c r="V983" s="239"/>
      <c r="W983" s="23" t="s">
        <v>99</v>
      </c>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row>
    <row r="984" spans="1:135" ht="15.75" customHeight="1" x14ac:dyDescent="0.25">
      <c r="A984" s="578" t="s">
        <v>7464</v>
      </c>
      <c r="B984" s="51">
        <v>18746</v>
      </c>
      <c r="C984" s="9" t="s">
        <v>7462</v>
      </c>
      <c r="D984" s="10" t="s">
        <v>24</v>
      </c>
      <c r="E984" s="28" t="s">
        <v>25</v>
      </c>
      <c r="F984" s="20" t="s">
        <v>7463</v>
      </c>
      <c r="G984" s="15" t="s">
        <v>7255</v>
      </c>
      <c r="H984" s="22" t="s">
        <v>4015</v>
      </c>
      <c r="I984" s="18" t="s">
        <v>48</v>
      </c>
      <c r="J984" s="18" t="s">
        <v>49</v>
      </c>
      <c r="K984" s="61" t="s">
        <v>7465</v>
      </c>
      <c r="L984" s="25" t="str">
        <f>"RUTL-"&amp;RIGHT(K984,8)</f>
        <v>RUTL-1CF06N02</v>
      </c>
      <c r="M984" s="34" t="s">
        <v>40</v>
      </c>
      <c r="N984" s="23" t="s">
        <v>54</v>
      </c>
      <c r="O984" s="23"/>
      <c r="P984" s="45" t="s">
        <v>46</v>
      </c>
      <c r="Q984" s="35" t="s">
        <v>7466</v>
      </c>
      <c r="R984" s="15" t="s">
        <v>56</v>
      </c>
      <c r="S984" s="37" t="s">
        <v>57</v>
      </c>
      <c r="T984" s="107" t="s">
        <v>453</v>
      </c>
      <c r="U984" s="39" t="s">
        <v>7373</v>
      </c>
      <c r="V984" s="48"/>
      <c r="W984" s="23" t="s">
        <v>99</v>
      </c>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row>
    <row r="985" spans="1:135" ht="37.5" x14ac:dyDescent="0.25">
      <c r="A985" s="578" t="s">
        <v>7470</v>
      </c>
      <c r="B985" s="16">
        <v>18763</v>
      </c>
      <c r="C985" s="69" t="s">
        <v>7467</v>
      </c>
      <c r="D985" s="10" t="s">
        <v>24</v>
      </c>
      <c r="E985" s="28" t="s">
        <v>25</v>
      </c>
      <c r="F985" s="20" t="s">
        <v>7468</v>
      </c>
      <c r="G985" s="15" t="s">
        <v>2512</v>
      </c>
      <c r="H985" s="31" t="s">
        <v>7469</v>
      </c>
      <c r="I985" s="18" t="s">
        <v>48</v>
      </c>
      <c r="J985" s="18" t="s">
        <v>49</v>
      </c>
      <c r="K985" s="61" t="s">
        <v>7471</v>
      </c>
      <c r="L985" s="25" t="str">
        <f>"RUTL-"&amp;RIGHT(K985,8)</f>
        <v>RUTL-1D3B6N02</v>
      </c>
      <c r="M985" s="34" t="s">
        <v>40</v>
      </c>
      <c r="N985" s="23" t="s">
        <v>54</v>
      </c>
      <c r="O985" s="23"/>
      <c r="P985" s="45" t="s">
        <v>46</v>
      </c>
      <c r="Q985" s="39"/>
      <c r="R985" s="46" t="s">
        <v>56</v>
      </c>
      <c r="S985" s="37" t="s">
        <v>57</v>
      </c>
      <c r="T985" s="107" t="s">
        <v>453</v>
      </c>
      <c r="U985" s="39" t="s">
        <v>5865</v>
      </c>
      <c r="V985" s="48"/>
      <c r="W985" s="23" t="s">
        <v>99</v>
      </c>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row>
    <row r="986" spans="1:135" ht="15.75" customHeight="1" x14ac:dyDescent="0.25">
      <c r="A986" s="578" t="s">
        <v>4992</v>
      </c>
      <c r="B986" s="51">
        <v>11248</v>
      </c>
      <c r="C986" s="69" t="s">
        <v>4989</v>
      </c>
      <c r="D986" s="10" t="s">
        <v>24</v>
      </c>
      <c r="E986" s="10" t="s">
        <v>25</v>
      </c>
      <c r="F986" s="20" t="s">
        <v>4990</v>
      </c>
      <c r="G986" s="15" t="s">
        <v>4991</v>
      </c>
      <c r="H986" s="156" t="s">
        <v>1573</v>
      </c>
      <c r="I986" s="18" t="s">
        <v>48</v>
      </c>
      <c r="J986" s="18" t="s">
        <v>49</v>
      </c>
      <c r="K986" s="33" t="s">
        <v>4993</v>
      </c>
      <c r="L986" s="25" t="str">
        <f>"RUTL-"&amp;RIGHT(K986,8)</f>
        <v>RUTL-1A656N02</v>
      </c>
      <c r="M986" s="34" t="s">
        <v>40</v>
      </c>
      <c r="N986" s="32" t="s">
        <v>54</v>
      </c>
      <c r="O986" s="23"/>
      <c r="P986" s="35" t="s">
        <v>46</v>
      </c>
      <c r="Q986" s="36" t="s">
        <v>4994</v>
      </c>
      <c r="R986" s="15" t="s">
        <v>56</v>
      </c>
      <c r="S986" s="37" t="s">
        <v>57</v>
      </c>
      <c r="T986" s="107" t="s">
        <v>148</v>
      </c>
      <c r="U986" s="39" t="s">
        <v>4995</v>
      </c>
      <c r="V986" s="48">
        <v>46111</v>
      </c>
      <c r="W986" s="23" t="s">
        <v>67</v>
      </c>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row>
    <row r="987" spans="1:135" ht="15.75" customHeight="1" x14ac:dyDescent="0.25">
      <c r="A987" s="578" t="s">
        <v>7268</v>
      </c>
      <c r="B987" s="51">
        <v>18224</v>
      </c>
      <c r="C987" s="52" t="s">
        <v>7265</v>
      </c>
      <c r="D987" s="10" t="s">
        <v>24</v>
      </c>
      <c r="E987" s="11" t="s">
        <v>25</v>
      </c>
      <c r="F987" s="12" t="s">
        <v>7266</v>
      </c>
      <c r="G987" s="15" t="s">
        <v>7267</v>
      </c>
      <c r="H987" s="156" t="s">
        <v>1573</v>
      </c>
      <c r="I987" s="18" t="s">
        <v>48</v>
      </c>
      <c r="J987" s="18" t="s">
        <v>49</v>
      </c>
      <c r="K987" s="33" t="s">
        <v>7269</v>
      </c>
      <c r="L987" s="25" t="str">
        <f>"RUTL-"&amp;RIGHT(K987,8)</f>
        <v>RUTL-1A616N02</v>
      </c>
      <c r="M987" s="129" t="s">
        <v>40</v>
      </c>
      <c r="N987" s="14" t="s">
        <v>43</v>
      </c>
      <c r="O987" s="23"/>
      <c r="P987" s="45" t="s">
        <v>46</v>
      </c>
      <c r="Q987" s="35" t="s">
        <v>7270</v>
      </c>
      <c r="R987" s="15" t="s">
        <v>56</v>
      </c>
      <c r="S987" s="40" t="s">
        <v>57</v>
      </c>
      <c r="T987" s="107" t="s">
        <v>148</v>
      </c>
      <c r="U987" s="39" t="s">
        <v>4995</v>
      </c>
      <c r="V987" s="48">
        <v>46111</v>
      </c>
      <c r="W987" s="23" t="s">
        <v>67</v>
      </c>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row>
    <row r="988" spans="1:135" ht="15.75" customHeight="1" x14ac:dyDescent="0.25">
      <c r="A988" s="578" t="s">
        <v>7019</v>
      </c>
      <c r="B988" s="51">
        <v>17191</v>
      </c>
      <c r="C988" s="52" t="s">
        <v>7017</v>
      </c>
      <c r="D988" s="10" t="s">
        <v>24</v>
      </c>
      <c r="E988" s="28" t="s">
        <v>25</v>
      </c>
      <c r="F988" s="20" t="s">
        <v>7018</v>
      </c>
      <c r="G988" s="15" t="s">
        <v>889</v>
      </c>
      <c r="H988" s="31" t="s">
        <v>6739</v>
      </c>
      <c r="I988" s="18" t="s">
        <v>48</v>
      </c>
      <c r="J988" s="18" t="s">
        <v>49</v>
      </c>
      <c r="K988" s="23" t="s">
        <v>7020</v>
      </c>
      <c r="L988" s="25" t="str">
        <f>"RUTL-"&amp;RIGHT(K988,8)</f>
        <v>RUTL-1AA56N02</v>
      </c>
      <c r="M988" s="34" t="s">
        <v>40</v>
      </c>
      <c r="N988" s="23" t="s">
        <v>54</v>
      </c>
      <c r="O988" s="23"/>
      <c r="P988" s="35" t="s">
        <v>46</v>
      </c>
      <c r="Q988" s="36" t="s">
        <v>7021</v>
      </c>
      <c r="R988" s="15" t="s">
        <v>56</v>
      </c>
      <c r="S988" s="37" t="s">
        <v>57</v>
      </c>
      <c r="T988" s="96" t="s">
        <v>148</v>
      </c>
      <c r="U988" s="39" t="s">
        <v>2153</v>
      </c>
      <c r="V988" s="48">
        <v>46111</v>
      </c>
      <c r="W988" s="23" t="s">
        <v>67</v>
      </c>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row>
    <row r="989" spans="1:135" ht="15.75" customHeight="1" x14ac:dyDescent="0.25">
      <c r="A989" s="578" t="s">
        <v>3798</v>
      </c>
      <c r="B989" s="8">
        <v>5735</v>
      </c>
      <c r="C989" s="72" t="s">
        <v>3795</v>
      </c>
      <c r="D989" s="10" t="s">
        <v>72</v>
      </c>
      <c r="E989" s="11" t="s">
        <v>25</v>
      </c>
      <c r="F989" s="20" t="s">
        <v>3796</v>
      </c>
      <c r="G989" s="15" t="s">
        <v>3797</v>
      </c>
      <c r="H989" s="291" t="s">
        <v>3015</v>
      </c>
      <c r="I989" s="18" t="s">
        <v>48</v>
      </c>
      <c r="J989" s="18" t="s">
        <v>49</v>
      </c>
      <c r="K989" s="33" t="s">
        <v>3799</v>
      </c>
      <c r="L989" s="25" t="str">
        <f>"RUTL-"&amp;RIGHT(K989,8)</f>
        <v>RUTL-1A466N02</v>
      </c>
      <c r="M989" s="150" t="s">
        <v>40</v>
      </c>
      <c r="N989" s="39" t="s">
        <v>473</v>
      </c>
      <c r="O989" s="23"/>
      <c r="P989" s="45" t="s">
        <v>46</v>
      </c>
      <c r="Q989" s="39" t="s">
        <v>3800</v>
      </c>
      <c r="R989" s="15" t="s">
        <v>56</v>
      </c>
      <c r="S989" s="37" t="s">
        <v>57</v>
      </c>
      <c r="T989" s="101" t="s">
        <v>96</v>
      </c>
      <c r="U989" s="23" t="s">
        <v>3801</v>
      </c>
      <c r="V989" s="48">
        <v>46111</v>
      </c>
      <c r="W989" s="23" t="s">
        <v>67</v>
      </c>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row>
    <row r="990" spans="1:135" ht="15.75" customHeight="1" x14ac:dyDescent="0.25">
      <c r="A990" s="578" t="s">
        <v>7251</v>
      </c>
      <c r="B990" s="435">
        <v>18121</v>
      </c>
      <c r="C990" s="52" t="s">
        <v>7248</v>
      </c>
      <c r="D990" s="10" t="s">
        <v>24</v>
      </c>
      <c r="E990" s="28" t="s">
        <v>25</v>
      </c>
      <c r="F990" s="12" t="s">
        <v>7249</v>
      </c>
      <c r="G990" s="15" t="s">
        <v>7250</v>
      </c>
      <c r="H990" s="291" t="s">
        <v>2294</v>
      </c>
      <c r="I990" s="18" t="s">
        <v>48</v>
      </c>
      <c r="J990" s="18" t="s">
        <v>49</v>
      </c>
      <c r="K990" s="33" t="s">
        <v>7252</v>
      </c>
      <c r="L990" s="25" t="str">
        <f>"RUTL-"&amp;RIGHT(K990,8)</f>
        <v>RUTL-1D336N02</v>
      </c>
      <c r="M990" s="34" t="s">
        <v>40</v>
      </c>
      <c r="N990" s="39" t="s">
        <v>54</v>
      </c>
      <c r="O990" s="23"/>
      <c r="P990" s="35" t="s">
        <v>46</v>
      </c>
      <c r="Q990" s="35" t="s">
        <v>146</v>
      </c>
      <c r="R990" s="15" t="s">
        <v>56</v>
      </c>
      <c r="S990" s="40" t="s">
        <v>57</v>
      </c>
      <c r="T990" s="105" t="s">
        <v>148</v>
      </c>
      <c r="U990" s="39" t="s">
        <v>4995</v>
      </c>
      <c r="V990" s="48"/>
      <c r="W990" s="23" t="s">
        <v>99</v>
      </c>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row>
    <row r="991" spans="1:135" ht="37.5" x14ac:dyDescent="0.25">
      <c r="A991" s="578" t="s">
        <v>7376</v>
      </c>
      <c r="B991" s="51">
        <v>18521</v>
      </c>
      <c r="C991" s="52" t="s">
        <v>7374</v>
      </c>
      <c r="D991" s="10" t="s">
        <v>24</v>
      </c>
      <c r="E991" s="28" t="s">
        <v>25</v>
      </c>
      <c r="F991" s="12" t="s">
        <v>7375</v>
      </c>
      <c r="G991" s="15" t="s">
        <v>2506</v>
      </c>
      <c r="H991" s="104" t="s">
        <v>3896</v>
      </c>
      <c r="I991" s="18" t="s">
        <v>48</v>
      </c>
      <c r="J991" s="18" t="s">
        <v>49</v>
      </c>
      <c r="K991" s="61" t="s">
        <v>7377</v>
      </c>
      <c r="L991" s="25" t="str">
        <f>"RUTL-"&amp;RIGHT(K991,8)</f>
        <v>RUTL-1CF86N02</v>
      </c>
      <c r="M991" s="34" t="s">
        <v>40</v>
      </c>
      <c r="N991" s="39" t="s">
        <v>54</v>
      </c>
      <c r="O991" s="23"/>
      <c r="P991" s="45" t="s">
        <v>46</v>
      </c>
      <c r="Q991" s="36" t="s">
        <v>7378</v>
      </c>
      <c r="R991" s="15" t="s">
        <v>56</v>
      </c>
      <c r="S991" s="40" t="s">
        <v>180</v>
      </c>
      <c r="T991" s="105" t="s">
        <v>148</v>
      </c>
      <c r="U991" s="39" t="s">
        <v>2777</v>
      </c>
      <c r="V991" s="48"/>
      <c r="W991" s="23" t="s">
        <v>99</v>
      </c>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row>
    <row r="992" spans="1:135" ht="15.75" customHeight="1" x14ac:dyDescent="0.25">
      <c r="A992" s="578" t="s">
        <v>84</v>
      </c>
      <c r="B992" s="51">
        <v>42</v>
      </c>
      <c r="C992" s="52" t="s">
        <v>75</v>
      </c>
      <c r="D992" s="10" t="s">
        <v>24</v>
      </c>
      <c r="E992" s="28" t="s">
        <v>25</v>
      </c>
      <c r="F992" s="29" t="s">
        <v>77</v>
      </c>
      <c r="G992" s="15" t="s">
        <v>78</v>
      </c>
      <c r="H992" s="55" t="s">
        <v>81</v>
      </c>
      <c r="I992" s="18" t="s">
        <v>48</v>
      </c>
      <c r="J992" s="18" t="s">
        <v>49</v>
      </c>
      <c r="K992" s="61" t="s">
        <v>86</v>
      </c>
      <c r="L992" s="25" t="str">
        <f>"RUTL-"&amp;RIGHT(K992,8)</f>
        <v>RUTL-1D3C6N02</v>
      </c>
      <c r="M992" s="34" t="s">
        <v>40</v>
      </c>
      <c r="N992" s="23" t="s">
        <v>94</v>
      </c>
      <c r="O992" s="23"/>
      <c r="P992" s="45" t="s">
        <v>46</v>
      </c>
      <c r="Q992" s="39" t="s">
        <v>95</v>
      </c>
      <c r="R992" s="46" t="s">
        <v>56</v>
      </c>
      <c r="S992" s="37" t="s">
        <v>57</v>
      </c>
      <c r="T992" s="64" t="s">
        <v>96</v>
      </c>
      <c r="U992" s="23" t="s">
        <v>98</v>
      </c>
      <c r="V992" s="48">
        <v>46108</v>
      </c>
      <c r="W992" s="23" t="s">
        <v>99</v>
      </c>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row>
    <row r="993" spans="1:135" ht="15.75" customHeight="1" x14ac:dyDescent="0.25">
      <c r="A993" s="578" t="s">
        <v>7364</v>
      </c>
      <c r="B993" s="51">
        <v>18485</v>
      </c>
      <c r="C993" s="72" t="s">
        <v>7362</v>
      </c>
      <c r="D993" s="10" t="s">
        <v>24</v>
      </c>
      <c r="E993" s="28" t="s">
        <v>25</v>
      </c>
      <c r="F993" s="20" t="s">
        <v>7363</v>
      </c>
      <c r="G993" s="15" t="s">
        <v>3975</v>
      </c>
      <c r="H993" s="148" t="s">
        <v>436</v>
      </c>
      <c r="I993" s="18" t="s">
        <v>48</v>
      </c>
      <c r="J993" s="18" t="s">
        <v>49</v>
      </c>
      <c r="K993" s="61" t="s">
        <v>7365</v>
      </c>
      <c r="L993" s="25" t="str">
        <f>"RUTL-"&amp;RIGHT(K993,8)</f>
        <v>RUTL-1CDF6N02</v>
      </c>
      <c r="M993" s="34" t="s">
        <v>40</v>
      </c>
      <c r="N993" s="23" t="s">
        <v>54</v>
      </c>
      <c r="O993" s="23"/>
      <c r="P993" s="45" t="s">
        <v>46</v>
      </c>
      <c r="Q993" s="35" t="s">
        <v>7366</v>
      </c>
      <c r="R993" s="46" t="s">
        <v>56</v>
      </c>
      <c r="S993" s="37" t="s">
        <v>57</v>
      </c>
      <c r="T993" s="41" t="s">
        <v>65</v>
      </c>
      <c r="U993" s="39" t="s">
        <v>7367</v>
      </c>
      <c r="V993" s="48"/>
      <c r="W993" s="23" t="s">
        <v>99</v>
      </c>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row>
    <row r="994" spans="1:135" ht="15.75" customHeight="1" x14ac:dyDescent="0.25">
      <c r="A994" s="578" t="s">
        <v>6024</v>
      </c>
      <c r="B994" s="435">
        <v>14903</v>
      </c>
      <c r="C994" s="72" t="s">
        <v>6022</v>
      </c>
      <c r="D994" s="10" t="s">
        <v>24</v>
      </c>
      <c r="E994" s="28" t="s">
        <v>25</v>
      </c>
      <c r="F994" s="20" t="s">
        <v>6023</v>
      </c>
      <c r="G994" s="15" t="s">
        <v>5489</v>
      </c>
      <c r="H994" s="18" t="s">
        <v>2210</v>
      </c>
      <c r="I994" s="18" t="s">
        <v>48</v>
      </c>
      <c r="J994" s="18" t="s">
        <v>49</v>
      </c>
      <c r="K994" s="61" t="s">
        <v>6025</v>
      </c>
      <c r="L994" s="25" t="str">
        <f>"RUTL-"&amp;RIGHT(K994,8)</f>
        <v>RUTL-1D486N02</v>
      </c>
      <c r="M994" s="34" t="s">
        <v>40</v>
      </c>
      <c r="N994" s="23" t="s">
        <v>54</v>
      </c>
      <c r="O994" s="23"/>
      <c r="P994" s="45" t="s">
        <v>46</v>
      </c>
      <c r="Q994" s="45" t="s">
        <v>6026</v>
      </c>
      <c r="R994" s="46" t="s">
        <v>56</v>
      </c>
      <c r="S994" s="37" t="s">
        <v>57</v>
      </c>
      <c r="T994" s="53" t="s">
        <v>453</v>
      </c>
      <c r="U994" s="39" t="s">
        <v>6027</v>
      </c>
      <c r="V994" s="48"/>
      <c r="W994" s="23" t="s">
        <v>99</v>
      </c>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row>
    <row r="995" spans="1:135" ht="15.75" customHeight="1" x14ac:dyDescent="0.25">
      <c r="A995" s="578" t="s">
        <v>7238</v>
      </c>
      <c r="B995" s="435">
        <v>18053</v>
      </c>
      <c r="C995" s="52" t="s">
        <v>7235</v>
      </c>
      <c r="D995" s="10" t="s">
        <v>24</v>
      </c>
      <c r="E995" s="28" t="s">
        <v>25</v>
      </c>
      <c r="F995" s="29" t="s">
        <v>7236</v>
      </c>
      <c r="G995" s="15" t="s">
        <v>7237</v>
      </c>
      <c r="H995" s="18" t="s">
        <v>1398</v>
      </c>
      <c r="I995" s="18" t="s">
        <v>48</v>
      </c>
      <c r="J995" s="18" t="s">
        <v>49</v>
      </c>
      <c r="K995" s="33" t="s">
        <v>7239</v>
      </c>
      <c r="L995" s="25" t="str">
        <f>"RUTL-"&amp;RIGHT(K995,8)</f>
        <v>RUTL-1CFD6N02</v>
      </c>
      <c r="M995" s="34" t="s">
        <v>40</v>
      </c>
      <c r="N995" s="23" t="s">
        <v>54</v>
      </c>
      <c r="O995" s="23"/>
      <c r="P995" s="45" t="s">
        <v>46</v>
      </c>
      <c r="Q995" s="35" t="s">
        <v>7240</v>
      </c>
      <c r="R995" s="46" t="s">
        <v>56</v>
      </c>
      <c r="S995" s="40" t="s">
        <v>57</v>
      </c>
      <c r="T995" s="118" t="s">
        <v>65</v>
      </c>
      <c r="U995" s="39" t="s">
        <v>4748</v>
      </c>
      <c r="V995" s="48"/>
      <c r="W995" s="23" t="s">
        <v>99</v>
      </c>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row>
    <row r="996" spans="1:135" ht="15.75" customHeight="1" x14ac:dyDescent="0.25">
      <c r="A996" s="578" t="s">
        <v>7134</v>
      </c>
      <c r="B996" s="16">
        <v>17629</v>
      </c>
      <c r="C996" s="72" t="s">
        <v>7132</v>
      </c>
      <c r="D996" s="10" t="s">
        <v>24</v>
      </c>
      <c r="E996" s="28" t="s">
        <v>25</v>
      </c>
      <c r="F996" s="20" t="s">
        <v>7133</v>
      </c>
      <c r="G996" s="15" t="s">
        <v>1280</v>
      </c>
      <c r="H996" s="18" t="s">
        <v>2550</v>
      </c>
      <c r="I996" s="18" t="s">
        <v>48</v>
      </c>
      <c r="J996" s="18" t="s">
        <v>49</v>
      </c>
      <c r="K996" s="61" t="s">
        <v>7135</v>
      </c>
      <c r="L996" s="25" t="str">
        <f>"RUTL-"&amp;RIGHT(K996,8)</f>
        <v>RUTL-1CE86N02</v>
      </c>
      <c r="M996" s="34" t="s">
        <v>40</v>
      </c>
      <c r="N996" s="23" t="s">
        <v>54</v>
      </c>
      <c r="O996" s="23"/>
      <c r="P996" s="45" t="s">
        <v>46</v>
      </c>
      <c r="Q996" s="35" t="s">
        <v>7136</v>
      </c>
      <c r="R996" s="46" t="s">
        <v>56</v>
      </c>
      <c r="S996" s="37" t="s">
        <v>57</v>
      </c>
      <c r="T996" s="35" t="s">
        <v>65</v>
      </c>
      <c r="U996" s="39" t="s">
        <v>3584</v>
      </c>
      <c r="V996" s="48"/>
      <c r="W996" s="23" t="s">
        <v>99</v>
      </c>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row>
    <row r="997" spans="1:135" ht="15.75" customHeight="1" x14ac:dyDescent="0.25">
      <c r="A997" s="578" t="s">
        <v>7486</v>
      </c>
      <c r="B997" s="8">
        <v>18773</v>
      </c>
      <c r="C997" s="72" t="s">
        <v>7483</v>
      </c>
      <c r="D997" s="10" t="s">
        <v>24</v>
      </c>
      <c r="E997" s="28" t="s">
        <v>25</v>
      </c>
      <c r="F997" s="20" t="s">
        <v>7484</v>
      </c>
      <c r="G997" s="15" t="s">
        <v>1645</v>
      </c>
      <c r="H997" s="31" t="s">
        <v>7485</v>
      </c>
      <c r="I997" s="18" t="s">
        <v>48</v>
      </c>
      <c r="J997" s="18" t="s">
        <v>49</v>
      </c>
      <c r="K997" s="61" t="s">
        <v>7487</v>
      </c>
      <c r="L997" s="25" t="str">
        <f>"RUTL-"&amp;RIGHT(K997,8)</f>
        <v>RUTL-1D516N02</v>
      </c>
      <c r="M997" s="34" t="s">
        <v>40</v>
      </c>
      <c r="N997" s="32" t="s">
        <v>54</v>
      </c>
      <c r="O997" s="23"/>
      <c r="P997" s="45" t="s">
        <v>46</v>
      </c>
      <c r="Q997" s="36" t="s">
        <v>7488</v>
      </c>
      <c r="R997" s="46" t="s">
        <v>56</v>
      </c>
      <c r="S997" s="37" t="s">
        <v>57</v>
      </c>
      <c r="T997" s="35" t="s">
        <v>65</v>
      </c>
      <c r="U997" s="39" t="s">
        <v>4760</v>
      </c>
      <c r="V997" s="48"/>
      <c r="W997" s="23" t="s">
        <v>99</v>
      </c>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row>
    <row r="998" spans="1:135" ht="15.75" customHeight="1" x14ac:dyDescent="0.25">
      <c r="A998" s="578" t="s">
        <v>7480</v>
      </c>
      <c r="B998" s="16">
        <v>18771</v>
      </c>
      <c r="C998" s="69" t="s">
        <v>7477</v>
      </c>
      <c r="D998" s="10" t="s">
        <v>24</v>
      </c>
      <c r="E998" s="28" t="s">
        <v>25</v>
      </c>
      <c r="F998" s="20" t="s">
        <v>7478</v>
      </c>
      <c r="G998" s="15" t="s">
        <v>7479</v>
      </c>
      <c r="H998" s="104" t="s">
        <v>5566</v>
      </c>
      <c r="I998" s="18" t="s">
        <v>48</v>
      </c>
      <c r="J998" s="18" t="s">
        <v>49</v>
      </c>
      <c r="K998" s="61" t="s">
        <v>7481</v>
      </c>
      <c r="L998" s="25" t="str">
        <f>"RUTL-"&amp;RIGHT(K998,8)</f>
        <v>RUTL-1CFF6N02</v>
      </c>
      <c r="M998" s="144" t="s">
        <v>40</v>
      </c>
      <c r="N998" s="23" t="s">
        <v>54</v>
      </c>
      <c r="O998" s="23"/>
      <c r="P998" s="45" t="s">
        <v>46</v>
      </c>
      <c r="Q998" s="35" t="s">
        <v>7482</v>
      </c>
      <c r="R998" s="15" t="s">
        <v>56</v>
      </c>
      <c r="S998" s="37" t="s">
        <v>57</v>
      </c>
      <c r="T998" s="105" t="s">
        <v>148</v>
      </c>
      <c r="U998" s="23" t="s">
        <v>4760</v>
      </c>
      <c r="V998" s="48"/>
      <c r="W998" s="23" t="s">
        <v>99</v>
      </c>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row>
    <row r="999" spans="1:135" ht="27.75" customHeight="1" x14ac:dyDescent="0.25">
      <c r="A999" s="578" t="s">
        <v>6152</v>
      </c>
      <c r="B999" s="8">
        <v>15282</v>
      </c>
      <c r="C999" s="72" t="s">
        <v>6150</v>
      </c>
      <c r="D999" s="10" t="s">
        <v>24</v>
      </c>
      <c r="E999" s="28" t="s">
        <v>25</v>
      </c>
      <c r="F999" s="20" t="s">
        <v>6151</v>
      </c>
      <c r="G999" s="15" t="s">
        <v>5798</v>
      </c>
      <c r="H999" s="22" t="s">
        <v>3902</v>
      </c>
      <c r="I999" s="18" t="s">
        <v>48</v>
      </c>
      <c r="J999" s="18" t="s">
        <v>49</v>
      </c>
      <c r="K999" s="23" t="s">
        <v>6153</v>
      </c>
      <c r="L999" s="25" t="str">
        <f>"RUTL-"&amp;RIGHT(K999,8)</f>
        <v>RUTL-1A7F6N02</v>
      </c>
      <c r="M999" s="34" t="s">
        <v>40</v>
      </c>
      <c r="N999" s="23" t="s">
        <v>54</v>
      </c>
      <c r="O999" s="23"/>
      <c r="P999" s="45" t="s">
        <v>46</v>
      </c>
      <c r="Q999" s="35" t="s">
        <v>6154</v>
      </c>
      <c r="R999" s="46" t="s">
        <v>56</v>
      </c>
      <c r="S999" s="37" t="s">
        <v>57</v>
      </c>
      <c r="T999" s="41" t="s">
        <v>65</v>
      </c>
      <c r="U999" s="23" t="s">
        <v>6155</v>
      </c>
      <c r="V999" s="48">
        <v>46111</v>
      </c>
      <c r="W999" s="23" t="s">
        <v>67</v>
      </c>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row>
    <row r="1000" spans="1:135" ht="15.75" customHeight="1" x14ac:dyDescent="0.25">
      <c r="A1000" s="578" t="s">
        <v>5462</v>
      </c>
      <c r="B1000" s="8">
        <v>12852</v>
      </c>
      <c r="C1000" s="52" t="s">
        <v>5460</v>
      </c>
      <c r="D1000" s="10" t="s">
        <v>24</v>
      </c>
      <c r="E1000" s="11" t="s">
        <v>25</v>
      </c>
      <c r="F1000" s="20" t="s">
        <v>5461</v>
      </c>
      <c r="G1000" s="15" t="s">
        <v>3110</v>
      </c>
      <c r="H1000" s="53" t="s">
        <v>337</v>
      </c>
      <c r="I1000" s="18" t="s">
        <v>257</v>
      </c>
      <c r="J1000" s="18" t="s">
        <v>338</v>
      </c>
      <c r="K1000" s="23" t="s">
        <v>5463</v>
      </c>
      <c r="L1000" s="25" t="str">
        <f>"RUTL-"&amp;RIGHT(K1000,8)</f>
        <v>RUTL-5E195112</v>
      </c>
      <c r="M1000" s="34" t="s">
        <v>40</v>
      </c>
      <c r="N1000" s="23" t="s">
        <v>473</v>
      </c>
      <c r="O1000" s="23"/>
      <c r="P1000" s="39" t="s">
        <v>90</v>
      </c>
      <c r="Q1000" s="113"/>
      <c r="R1000" s="15" t="s">
        <v>56</v>
      </c>
      <c r="S1000" s="37" t="s">
        <v>57</v>
      </c>
      <c r="T1000" s="101" t="s">
        <v>96</v>
      </c>
      <c r="U1000" s="39" t="s">
        <v>5464</v>
      </c>
      <c r="V1000" s="23"/>
      <c r="W1000" s="23" t="s">
        <v>441</v>
      </c>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row>
    <row r="1001" spans="1:135" ht="32.25" thickBot="1" x14ac:dyDescent="0.3">
      <c r="A1001" s="578" t="s">
        <v>2416</v>
      </c>
      <c r="B1001" s="8">
        <v>1112</v>
      </c>
      <c r="C1001" s="72" t="s">
        <v>2411</v>
      </c>
      <c r="D1001" s="15" t="s">
        <v>24</v>
      </c>
      <c r="E1001" s="11" t="s">
        <v>25</v>
      </c>
      <c r="F1001" s="20" t="s">
        <v>2412</v>
      </c>
      <c r="G1001" s="15" t="s">
        <v>2414</v>
      </c>
      <c r="H1001" s="53" t="s">
        <v>337</v>
      </c>
      <c r="I1001" s="18" t="s">
        <v>257</v>
      </c>
      <c r="J1001" s="18" t="s">
        <v>338</v>
      </c>
      <c r="K1001" s="23" t="s">
        <v>2417</v>
      </c>
      <c r="L1001" s="25" t="str">
        <f>"RUTL-"&amp;RIGHT(K1001,8)</f>
        <v>RUTL-5E298118</v>
      </c>
      <c r="M1001" s="34" t="s">
        <v>40</v>
      </c>
      <c r="N1001" s="39" t="s">
        <v>87</v>
      </c>
      <c r="O1001" s="23"/>
      <c r="P1001" s="39" t="s">
        <v>90</v>
      </c>
      <c r="Q1001" s="113"/>
      <c r="R1001" s="15" t="s">
        <v>235</v>
      </c>
      <c r="S1001" s="23"/>
      <c r="T1001" s="23"/>
      <c r="U1001" s="39" t="s">
        <v>2418</v>
      </c>
      <c r="V1001" s="23"/>
      <c r="W1001" s="23"/>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c r="DS1001" s="5"/>
      <c r="DT1001" s="5"/>
      <c r="DU1001" s="5"/>
      <c r="DV1001" s="5"/>
      <c r="DW1001" s="5"/>
      <c r="DX1001" s="5"/>
      <c r="DY1001" s="5"/>
      <c r="DZ1001" s="5"/>
      <c r="EA1001" s="5"/>
      <c r="EB1001" s="5"/>
      <c r="EC1001" s="5"/>
      <c r="ED1001" s="5"/>
      <c r="EE1001" s="5"/>
    </row>
    <row r="1002" spans="1:135" ht="15.75" customHeight="1" thickBot="1" x14ac:dyDescent="0.3">
      <c r="A1002" s="578" t="s">
        <v>2427</v>
      </c>
      <c r="B1002" s="8">
        <v>1113</v>
      </c>
      <c r="C1002" s="72" t="s">
        <v>2424</v>
      </c>
      <c r="D1002" s="15" t="s">
        <v>24</v>
      </c>
      <c r="E1002" s="11" t="s">
        <v>25</v>
      </c>
      <c r="F1002" s="20" t="s">
        <v>2425</v>
      </c>
      <c r="G1002" s="15" t="s">
        <v>285</v>
      </c>
      <c r="H1002" s="53" t="s">
        <v>337</v>
      </c>
      <c r="I1002" s="18" t="s">
        <v>257</v>
      </c>
      <c r="J1002" s="18" t="s">
        <v>338</v>
      </c>
      <c r="K1002" s="23" t="s">
        <v>2428</v>
      </c>
      <c r="L1002" s="25" t="str">
        <f>"RUTL-"&amp;RIGHT(K1002,8)</f>
        <v>RUTL-5E17711C</v>
      </c>
      <c r="M1002" s="34" t="s">
        <v>40</v>
      </c>
      <c r="N1002" s="39" t="s">
        <v>410</v>
      </c>
      <c r="O1002" s="23"/>
      <c r="P1002" s="39" t="s">
        <v>90</v>
      </c>
      <c r="Q1002" s="113"/>
      <c r="R1002" s="15" t="s">
        <v>235</v>
      </c>
      <c r="S1002" s="23"/>
      <c r="T1002" s="23"/>
      <c r="U1002" s="39" t="s">
        <v>2418</v>
      </c>
      <c r="V1002" s="23"/>
      <c r="W1002" s="23"/>
      <c r="X1002" s="209"/>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6"/>
      <c r="CB1002" s="6"/>
      <c r="CC1002" s="6"/>
      <c r="CD1002" s="6"/>
      <c r="CE1002" s="6"/>
      <c r="CF1002" s="6"/>
      <c r="CG1002" s="6"/>
      <c r="CH1002" s="6"/>
      <c r="CI1002" s="6"/>
      <c r="CJ1002" s="6"/>
      <c r="CK1002" s="6"/>
      <c r="CL1002" s="6"/>
      <c r="CM1002" s="6"/>
      <c r="CN1002" s="6"/>
      <c r="CO1002" s="6"/>
      <c r="CP1002" s="6"/>
      <c r="CQ1002" s="6"/>
      <c r="CR1002" s="6"/>
      <c r="CS1002" s="6"/>
      <c r="CT1002" s="6"/>
      <c r="CU1002" s="6"/>
      <c r="CV1002" s="6"/>
      <c r="CW1002" s="6"/>
      <c r="CX1002" s="6"/>
      <c r="CY1002" s="6"/>
      <c r="CZ1002" s="6"/>
      <c r="DA1002" s="6"/>
      <c r="DB1002" s="6"/>
      <c r="DC1002" s="6"/>
      <c r="DD1002" s="6"/>
      <c r="DE1002" s="6"/>
      <c r="DF1002" s="6"/>
      <c r="DG1002" s="6"/>
      <c r="DH1002" s="6"/>
      <c r="DI1002" s="6"/>
      <c r="DJ1002" s="6"/>
      <c r="DK1002" s="6"/>
      <c r="DL1002" s="6"/>
      <c r="DM1002" s="6"/>
      <c r="DN1002" s="6"/>
      <c r="DO1002" s="6"/>
      <c r="DP1002" s="6"/>
      <c r="DQ1002" s="6"/>
      <c r="DR1002" s="6"/>
      <c r="DS1002" s="6"/>
      <c r="DT1002" s="6"/>
      <c r="DU1002" s="6"/>
      <c r="DV1002" s="6"/>
      <c r="DW1002" s="6"/>
      <c r="DX1002" s="6"/>
      <c r="DY1002" s="6"/>
      <c r="DZ1002" s="6"/>
      <c r="EA1002" s="6"/>
      <c r="EB1002" s="6"/>
      <c r="EC1002" s="6"/>
      <c r="ED1002" s="6"/>
      <c r="EE1002" s="6"/>
    </row>
    <row r="1003" spans="1:135" ht="31.5" x14ac:dyDescent="0.25">
      <c r="A1003" s="578" t="s">
        <v>2433</v>
      </c>
      <c r="B1003" s="8">
        <v>1114</v>
      </c>
      <c r="C1003" s="72" t="s">
        <v>2431</v>
      </c>
      <c r="D1003" s="15" t="s">
        <v>24</v>
      </c>
      <c r="E1003" s="11" t="s">
        <v>25</v>
      </c>
      <c r="F1003" s="20" t="s">
        <v>2432</v>
      </c>
      <c r="G1003" s="15" t="s">
        <v>2414</v>
      </c>
      <c r="H1003" s="53" t="s">
        <v>337</v>
      </c>
      <c r="I1003" s="18" t="s">
        <v>257</v>
      </c>
      <c r="J1003" s="18" t="s">
        <v>338</v>
      </c>
      <c r="K1003" s="23" t="s">
        <v>2439</v>
      </c>
      <c r="L1003" s="25" t="str">
        <f>"RUTL-"&amp;RIGHT(K1003,8)</f>
        <v>RUTL-5E193110</v>
      </c>
      <c r="M1003" s="34" t="s">
        <v>40</v>
      </c>
      <c r="N1003" s="34" t="s">
        <v>664</v>
      </c>
      <c r="O1003" s="23"/>
      <c r="P1003" s="39" t="s">
        <v>90</v>
      </c>
      <c r="Q1003" s="113"/>
      <c r="R1003" s="15" t="s">
        <v>235</v>
      </c>
      <c r="S1003" s="23"/>
      <c r="T1003" s="23"/>
      <c r="U1003" s="39" t="s">
        <v>344</v>
      </c>
      <c r="V1003" s="23"/>
      <c r="W1003" s="23"/>
      <c r="X1003" s="214"/>
    </row>
    <row r="1004" spans="1:135" ht="54.75" customHeight="1" x14ac:dyDescent="0.25">
      <c r="A1004" s="578" t="s">
        <v>2446</v>
      </c>
      <c r="B1004" s="8">
        <v>1115</v>
      </c>
      <c r="C1004" s="72" t="s">
        <v>2444</v>
      </c>
      <c r="D1004" s="15" t="s">
        <v>746</v>
      </c>
      <c r="E1004" s="11" t="s">
        <v>25</v>
      </c>
      <c r="F1004" s="20" t="s">
        <v>2445</v>
      </c>
      <c r="G1004" s="15" t="s">
        <v>2414</v>
      </c>
      <c r="H1004" s="53" t="s">
        <v>337</v>
      </c>
      <c r="I1004" s="18" t="s">
        <v>257</v>
      </c>
      <c r="J1004" s="18" t="s">
        <v>338</v>
      </c>
      <c r="K1004" s="23" t="s">
        <v>2448</v>
      </c>
      <c r="L1004" s="25" t="str">
        <f>"RUTL-"&amp;RIGHT(K1004,8)</f>
        <v>RUTL-5E17311B</v>
      </c>
      <c r="M1004" s="34" t="s">
        <v>40</v>
      </c>
      <c r="N1004" s="39" t="s">
        <v>410</v>
      </c>
      <c r="O1004" s="23"/>
      <c r="P1004" s="39" t="s">
        <v>90</v>
      </c>
      <c r="Q1004" s="113"/>
      <c r="R1004" s="15" t="s">
        <v>235</v>
      </c>
      <c r="S1004" s="23"/>
      <c r="T1004" s="23"/>
      <c r="U1004" s="39" t="s">
        <v>2449</v>
      </c>
      <c r="V1004" s="23"/>
      <c r="W1004" s="23"/>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6"/>
      <c r="CB1004" s="6"/>
      <c r="CC1004" s="6"/>
      <c r="CD1004" s="6"/>
      <c r="CE1004" s="6"/>
      <c r="CF1004" s="6"/>
      <c r="CG1004" s="6"/>
      <c r="CH1004" s="6"/>
      <c r="CI1004" s="6"/>
      <c r="CJ1004" s="6"/>
      <c r="CK1004" s="6"/>
      <c r="CL1004" s="6"/>
      <c r="CM1004" s="6"/>
      <c r="CN1004" s="6"/>
      <c r="CO1004" s="6"/>
      <c r="CP1004" s="6"/>
      <c r="CQ1004" s="6"/>
      <c r="CR1004" s="6"/>
      <c r="CS1004" s="6"/>
      <c r="CT1004" s="6"/>
      <c r="CU1004" s="6"/>
      <c r="CV1004" s="6"/>
      <c r="CW1004" s="6"/>
      <c r="CX1004" s="6"/>
      <c r="CY1004" s="6"/>
      <c r="CZ1004" s="6"/>
      <c r="DA1004" s="6"/>
      <c r="DB1004" s="6"/>
      <c r="DC1004" s="6"/>
      <c r="DD1004" s="6"/>
      <c r="DE1004" s="6"/>
      <c r="DF1004" s="6"/>
      <c r="DG1004" s="6"/>
      <c r="DH1004" s="6"/>
      <c r="DI1004" s="6"/>
      <c r="DJ1004" s="6"/>
      <c r="DK1004" s="6"/>
      <c r="DL1004" s="6"/>
      <c r="DM1004" s="6"/>
      <c r="DN1004" s="6"/>
      <c r="DO1004" s="6"/>
      <c r="DP1004" s="6"/>
      <c r="DQ1004" s="6"/>
      <c r="DR1004" s="6"/>
      <c r="DS1004" s="6"/>
      <c r="DT1004" s="6"/>
      <c r="DU1004" s="6"/>
      <c r="DV1004" s="6"/>
      <c r="DW1004" s="6"/>
      <c r="DX1004" s="6"/>
      <c r="DY1004" s="6"/>
      <c r="DZ1004" s="6"/>
      <c r="EA1004" s="6"/>
      <c r="EB1004" s="6"/>
      <c r="EC1004" s="6"/>
      <c r="ED1004" s="6"/>
      <c r="EE1004" s="6"/>
    </row>
    <row r="1005" spans="1:135" ht="15.75" customHeight="1" x14ac:dyDescent="0.25">
      <c r="A1005" s="578" t="s">
        <v>2846</v>
      </c>
      <c r="B1005" s="8">
        <v>1774</v>
      </c>
      <c r="C1005" s="72" t="s">
        <v>2843</v>
      </c>
      <c r="D1005" s="15" t="s">
        <v>746</v>
      </c>
      <c r="E1005" s="11" t="s">
        <v>25</v>
      </c>
      <c r="F1005" s="20" t="s">
        <v>2844</v>
      </c>
      <c r="G1005" s="15" t="s">
        <v>224</v>
      </c>
      <c r="H1005" s="53" t="s">
        <v>337</v>
      </c>
      <c r="I1005" s="18" t="s">
        <v>2845</v>
      </c>
      <c r="J1005" s="18" t="s">
        <v>338</v>
      </c>
      <c r="K1005" s="33" t="s">
        <v>2847</v>
      </c>
      <c r="L1005" s="25" t="str">
        <f>"RUTL-"&amp;RIGHT(K1005,8)</f>
        <v>RUTL-5E19611D</v>
      </c>
      <c r="M1005" s="34" t="s">
        <v>40</v>
      </c>
      <c r="N1005" s="39" t="s">
        <v>87</v>
      </c>
      <c r="O1005" s="23"/>
      <c r="P1005" s="39" t="s">
        <v>90</v>
      </c>
      <c r="Q1005" s="113"/>
      <c r="R1005" s="15" t="s">
        <v>235</v>
      </c>
      <c r="S1005" s="23"/>
      <c r="T1005" s="23"/>
      <c r="U1005" s="39" t="s">
        <v>2848</v>
      </c>
      <c r="V1005" s="23"/>
      <c r="W1005" s="23"/>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6"/>
      <c r="CB1005" s="6"/>
      <c r="CC1005" s="6"/>
      <c r="CD1005" s="6"/>
      <c r="CE1005" s="6"/>
      <c r="CF1005" s="6"/>
      <c r="CG1005" s="6"/>
      <c r="CH1005" s="6"/>
      <c r="CI1005" s="6"/>
      <c r="CJ1005" s="6"/>
      <c r="CK1005" s="6"/>
      <c r="CL1005" s="6"/>
      <c r="CM1005" s="6"/>
      <c r="CN1005" s="6"/>
      <c r="CO1005" s="6"/>
      <c r="CP1005" s="6"/>
      <c r="CQ1005" s="6"/>
      <c r="CR1005" s="6"/>
      <c r="CS1005" s="6"/>
      <c r="CT1005" s="6"/>
      <c r="CU1005" s="6"/>
      <c r="CV1005" s="6"/>
      <c r="CW1005" s="6"/>
      <c r="CX1005" s="6"/>
      <c r="CY1005" s="6"/>
      <c r="CZ1005" s="6"/>
      <c r="DA1005" s="6"/>
      <c r="DB1005" s="6"/>
      <c r="DC1005" s="6"/>
      <c r="DD1005" s="6"/>
      <c r="DE1005" s="6"/>
      <c r="DF1005" s="6"/>
      <c r="DG1005" s="6"/>
      <c r="DH1005" s="6"/>
      <c r="DI1005" s="6"/>
      <c r="DJ1005" s="6"/>
      <c r="DK1005" s="6"/>
      <c r="DL1005" s="6"/>
      <c r="DM1005" s="6"/>
      <c r="DN1005" s="6"/>
      <c r="DO1005" s="6"/>
      <c r="DP1005" s="6"/>
      <c r="DQ1005" s="6"/>
      <c r="DR1005" s="6"/>
      <c r="DS1005" s="6"/>
      <c r="DT1005" s="6"/>
      <c r="DU1005" s="6"/>
      <c r="DV1005" s="6"/>
      <c r="DW1005" s="6"/>
      <c r="DX1005" s="6"/>
      <c r="DY1005" s="6"/>
      <c r="DZ1005" s="6"/>
      <c r="EA1005" s="6"/>
      <c r="EB1005" s="6"/>
      <c r="EC1005" s="6"/>
      <c r="ED1005" s="6"/>
      <c r="EE1005" s="6"/>
    </row>
    <row r="1006" spans="1:135" ht="15.75" customHeight="1" x14ac:dyDescent="0.25">
      <c r="A1006" s="578" t="s">
        <v>3111</v>
      </c>
      <c r="B1006" s="8">
        <v>2804</v>
      </c>
      <c r="C1006" s="72" t="s">
        <v>3108</v>
      </c>
      <c r="D1006" s="10" t="s">
        <v>24</v>
      </c>
      <c r="E1006" s="11" t="s">
        <v>25</v>
      </c>
      <c r="F1006" s="20" t="s">
        <v>3109</v>
      </c>
      <c r="G1006" s="15" t="s">
        <v>3110</v>
      </c>
      <c r="H1006" s="53" t="s">
        <v>337</v>
      </c>
      <c r="I1006" s="18" t="s">
        <v>772</v>
      </c>
      <c r="J1006" s="18" t="s">
        <v>338</v>
      </c>
      <c r="K1006" s="33" t="s">
        <v>3112</v>
      </c>
      <c r="L1006" s="25" t="str">
        <f>"RUTL-"&amp;RIGHT(K1006,8)</f>
        <v>RUTL-5E16611G</v>
      </c>
      <c r="M1006" s="34" t="s">
        <v>40</v>
      </c>
      <c r="N1006" s="34" t="s">
        <v>94</v>
      </c>
      <c r="O1006" s="23"/>
      <c r="P1006" s="39" t="s">
        <v>90</v>
      </c>
      <c r="Q1006" s="113"/>
      <c r="R1006" s="15" t="s">
        <v>235</v>
      </c>
      <c r="S1006" s="23"/>
      <c r="T1006" s="23"/>
      <c r="U1006" s="39" t="s">
        <v>3113</v>
      </c>
      <c r="V1006" s="23"/>
      <c r="W1006" s="23"/>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6"/>
      <c r="CB1006" s="6"/>
      <c r="CC1006" s="6"/>
      <c r="CD1006" s="6"/>
      <c r="CE1006" s="6"/>
      <c r="CF1006" s="6"/>
      <c r="CG1006" s="6"/>
      <c r="CH1006" s="6"/>
      <c r="CI1006" s="6"/>
      <c r="CJ1006" s="6"/>
      <c r="CK1006" s="6"/>
      <c r="CL1006" s="6"/>
      <c r="CM1006" s="6"/>
      <c r="CN1006" s="6"/>
      <c r="CO1006" s="6"/>
      <c r="CP1006" s="6"/>
      <c r="CQ1006" s="6"/>
      <c r="CR1006" s="6"/>
      <c r="CS1006" s="6"/>
      <c r="CT1006" s="6"/>
      <c r="CU1006" s="6"/>
      <c r="CV1006" s="6"/>
      <c r="CW1006" s="6"/>
      <c r="CX1006" s="6"/>
      <c r="CY1006" s="6"/>
      <c r="CZ1006" s="6"/>
      <c r="DA1006" s="6"/>
      <c r="DB1006" s="6"/>
      <c r="DC1006" s="6"/>
      <c r="DD1006" s="6"/>
      <c r="DE1006" s="6"/>
      <c r="DF1006" s="6"/>
      <c r="DG1006" s="6"/>
      <c r="DH1006" s="6"/>
      <c r="DI1006" s="6"/>
      <c r="DJ1006" s="6"/>
      <c r="DK1006" s="6"/>
      <c r="DL1006" s="6"/>
      <c r="DM1006" s="6"/>
      <c r="DN1006" s="6"/>
      <c r="DO1006" s="6"/>
      <c r="DP1006" s="6"/>
      <c r="DQ1006" s="6"/>
      <c r="DR1006" s="6"/>
      <c r="DS1006" s="6"/>
      <c r="DT1006" s="6"/>
      <c r="DU1006" s="6"/>
      <c r="DV1006" s="6"/>
      <c r="DW1006" s="6"/>
      <c r="DX1006" s="6"/>
      <c r="DY1006" s="6"/>
      <c r="DZ1006" s="6"/>
      <c r="EA1006" s="6"/>
      <c r="EB1006" s="6"/>
      <c r="EC1006" s="6"/>
      <c r="ED1006" s="6"/>
      <c r="EE1006" s="6"/>
    </row>
    <row r="1007" spans="1:135" ht="15.75" customHeight="1" x14ac:dyDescent="0.25">
      <c r="A1007" s="578" t="s">
        <v>3131</v>
      </c>
      <c r="B1007" s="8">
        <v>2823</v>
      </c>
      <c r="C1007" s="72" t="s">
        <v>3129</v>
      </c>
      <c r="D1007" s="10" t="s">
        <v>24</v>
      </c>
      <c r="E1007" s="11" t="s">
        <v>25</v>
      </c>
      <c r="F1007" s="20" t="s">
        <v>3130</v>
      </c>
      <c r="G1007" s="15" t="s">
        <v>2414</v>
      </c>
      <c r="H1007" s="53" t="s">
        <v>337</v>
      </c>
      <c r="I1007" s="18" t="s">
        <v>772</v>
      </c>
      <c r="J1007" s="18" t="s">
        <v>338</v>
      </c>
      <c r="K1007" s="33" t="s">
        <v>3132</v>
      </c>
      <c r="L1007" s="25" t="str">
        <f>"RUTL-"&amp;RIGHT(K1007,8)</f>
        <v>RUTL-5E012116</v>
      </c>
      <c r="M1007" s="34" t="s">
        <v>40</v>
      </c>
      <c r="N1007" s="39" t="s">
        <v>87</v>
      </c>
      <c r="O1007" s="23"/>
      <c r="P1007" s="39" t="s">
        <v>90</v>
      </c>
      <c r="Q1007" s="113"/>
      <c r="R1007" s="15" t="s">
        <v>235</v>
      </c>
      <c r="S1007" s="23"/>
      <c r="T1007" s="23"/>
      <c r="U1007" s="39" t="s">
        <v>3133</v>
      </c>
      <c r="V1007" s="23"/>
      <c r="W1007" s="23"/>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c r="CV1007" s="6"/>
      <c r="CW1007" s="6"/>
      <c r="CX1007" s="6"/>
      <c r="CY1007" s="6"/>
      <c r="CZ1007" s="6"/>
      <c r="DA1007" s="6"/>
      <c r="DB1007" s="6"/>
      <c r="DC1007" s="6"/>
      <c r="DD1007" s="6"/>
      <c r="DE1007" s="6"/>
      <c r="DF1007" s="6"/>
      <c r="DG1007" s="6"/>
      <c r="DH1007" s="6"/>
      <c r="DI1007" s="6"/>
      <c r="DJ1007" s="6"/>
      <c r="DK1007" s="6"/>
      <c r="DL1007" s="6"/>
      <c r="DM1007" s="6"/>
      <c r="DN1007" s="6"/>
      <c r="DO1007" s="6"/>
      <c r="DP1007" s="6"/>
      <c r="DQ1007" s="6"/>
      <c r="DR1007" s="6"/>
      <c r="DS1007" s="6"/>
      <c r="DT1007" s="6"/>
      <c r="DU1007" s="6"/>
      <c r="DV1007" s="6"/>
      <c r="DW1007" s="6"/>
      <c r="DX1007" s="6"/>
      <c r="DY1007" s="6"/>
      <c r="DZ1007" s="6"/>
      <c r="EA1007" s="6"/>
      <c r="EB1007" s="6"/>
      <c r="EC1007" s="6"/>
      <c r="ED1007" s="6"/>
      <c r="EE1007" s="6"/>
    </row>
    <row r="1008" spans="1:135" ht="15.75" customHeight="1" x14ac:dyDescent="0.25">
      <c r="A1008" s="578" t="s">
        <v>3143</v>
      </c>
      <c r="B1008" s="8">
        <v>2838</v>
      </c>
      <c r="C1008" s="72" t="s">
        <v>3140</v>
      </c>
      <c r="D1008" s="10" t="s">
        <v>24</v>
      </c>
      <c r="E1008" s="11" t="s">
        <v>25</v>
      </c>
      <c r="F1008" s="20" t="s">
        <v>3141</v>
      </c>
      <c r="G1008" s="15" t="s">
        <v>3142</v>
      </c>
      <c r="H1008" s="53" t="s">
        <v>337</v>
      </c>
      <c r="I1008" s="18" t="s">
        <v>772</v>
      </c>
      <c r="J1008" s="18" t="s">
        <v>338</v>
      </c>
      <c r="K1008" s="33" t="s">
        <v>3144</v>
      </c>
      <c r="L1008" s="25" t="str">
        <f>"RUTL-"&amp;RIGHT(K1008,8)</f>
        <v>RUTL-5E174112</v>
      </c>
      <c r="M1008" s="34" t="s">
        <v>40</v>
      </c>
      <c r="N1008" s="39" t="s">
        <v>87</v>
      </c>
      <c r="O1008" s="23"/>
      <c r="P1008" s="39" t="s">
        <v>90</v>
      </c>
      <c r="Q1008" s="113"/>
      <c r="R1008" s="15" t="s">
        <v>235</v>
      </c>
      <c r="S1008" s="23"/>
      <c r="T1008" s="23"/>
      <c r="U1008" s="39" t="s">
        <v>3133</v>
      </c>
      <c r="V1008" s="23"/>
      <c r="W1008" s="23"/>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c r="CP1008" s="6"/>
      <c r="CQ1008" s="6"/>
      <c r="CR1008" s="6"/>
      <c r="CS1008" s="6"/>
      <c r="CT1008" s="6"/>
      <c r="CU1008" s="6"/>
      <c r="CV1008" s="6"/>
      <c r="CW1008" s="6"/>
      <c r="CX1008" s="6"/>
      <c r="CY1008" s="6"/>
      <c r="CZ1008" s="6"/>
      <c r="DA1008" s="6"/>
      <c r="DB1008" s="6"/>
      <c r="DC1008" s="6"/>
      <c r="DD1008" s="6"/>
      <c r="DE1008" s="6"/>
      <c r="DF1008" s="6"/>
      <c r="DG1008" s="6"/>
      <c r="DH1008" s="6"/>
      <c r="DI1008" s="6"/>
      <c r="DJ1008" s="6"/>
      <c r="DK1008" s="6"/>
      <c r="DL1008" s="6"/>
      <c r="DM1008" s="6"/>
      <c r="DN1008" s="6"/>
      <c r="DO1008" s="6"/>
      <c r="DP1008" s="6"/>
      <c r="DQ1008" s="6"/>
      <c r="DR1008" s="6"/>
      <c r="DS1008" s="6"/>
      <c r="DT1008" s="6"/>
      <c r="DU1008" s="6"/>
      <c r="DV1008" s="6"/>
      <c r="DW1008" s="6"/>
      <c r="DX1008" s="6"/>
      <c r="DY1008" s="6"/>
      <c r="DZ1008" s="6"/>
      <c r="EA1008" s="6"/>
      <c r="EB1008" s="6"/>
      <c r="EC1008" s="6"/>
      <c r="ED1008" s="6"/>
      <c r="EE1008" s="6"/>
    </row>
    <row r="1009" spans="1:135" ht="15.75" customHeight="1" thickBot="1" x14ac:dyDescent="0.3">
      <c r="A1009" s="578" t="s">
        <v>7304</v>
      </c>
      <c r="B1009" s="51">
        <v>18298</v>
      </c>
      <c r="C1009" s="69" t="s">
        <v>7302</v>
      </c>
      <c r="D1009" s="10" t="s">
        <v>24</v>
      </c>
      <c r="E1009" s="28" t="s">
        <v>25</v>
      </c>
      <c r="F1009" s="12" t="s">
        <v>7303</v>
      </c>
      <c r="G1009" s="15" t="s">
        <v>4586</v>
      </c>
      <c r="H1009" s="53" t="s">
        <v>337</v>
      </c>
      <c r="I1009" s="18" t="s">
        <v>257</v>
      </c>
      <c r="J1009" s="18" t="s">
        <v>338</v>
      </c>
      <c r="K1009" s="33" t="s">
        <v>7305</v>
      </c>
      <c r="L1009" s="25" t="str">
        <f>"RUTL-"&amp;RIGHT(K1009,8)</f>
        <v>RUTL-5E24911D</v>
      </c>
      <c r="M1009" s="144" t="s">
        <v>40</v>
      </c>
      <c r="N1009" s="39" t="s">
        <v>414</v>
      </c>
      <c r="O1009" s="23"/>
      <c r="P1009" s="39" t="s">
        <v>90</v>
      </c>
      <c r="Q1009" s="23"/>
      <c r="R1009" s="15" t="s">
        <v>235</v>
      </c>
      <c r="S1009" s="37" t="s">
        <v>57</v>
      </c>
      <c r="T1009" s="23" t="s">
        <v>96</v>
      </c>
      <c r="U1009" s="23" t="s">
        <v>7306</v>
      </c>
      <c r="V1009" s="23"/>
      <c r="W1009" s="23"/>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c r="CA1009" s="6"/>
      <c r="CB1009" s="6"/>
      <c r="CC1009" s="6"/>
      <c r="CD1009" s="6"/>
      <c r="CE1009" s="6"/>
      <c r="CF1009" s="6"/>
      <c r="CG1009" s="6"/>
      <c r="CH1009" s="6"/>
      <c r="CI1009" s="6"/>
      <c r="CJ1009" s="6"/>
      <c r="CK1009" s="6"/>
      <c r="CL1009" s="6"/>
      <c r="CM1009" s="6"/>
      <c r="CN1009" s="6"/>
      <c r="CO1009" s="6"/>
      <c r="CP1009" s="6"/>
      <c r="CQ1009" s="6"/>
      <c r="CR1009" s="6"/>
      <c r="CS1009" s="6"/>
      <c r="CT1009" s="6"/>
      <c r="CU1009" s="6"/>
      <c r="CV1009" s="6"/>
      <c r="CW1009" s="6"/>
      <c r="CX1009" s="6"/>
      <c r="CY1009" s="6"/>
      <c r="CZ1009" s="6"/>
      <c r="DA1009" s="6"/>
      <c r="DB1009" s="6"/>
      <c r="DC1009" s="6"/>
      <c r="DD1009" s="6"/>
      <c r="DE1009" s="6"/>
      <c r="DF1009" s="6"/>
      <c r="DG1009" s="6"/>
      <c r="DH1009" s="6"/>
      <c r="DI1009" s="6"/>
      <c r="DJ1009" s="6"/>
      <c r="DK1009" s="6"/>
      <c r="DL1009" s="6"/>
      <c r="DM1009" s="6"/>
      <c r="DN1009" s="6"/>
      <c r="DO1009" s="6"/>
      <c r="DP1009" s="6"/>
      <c r="DQ1009" s="6"/>
      <c r="DR1009" s="6"/>
      <c r="DS1009" s="6"/>
      <c r="DT1009" s="6"/>
      <c r="DU1009" s="6"/>
      <c r="DV1009" s="6"/>
      <c r="DW1009" s="6"/>
      <c r="DX1009" s="6"/>
      <c r="DY1009" s="6"/>
      <c r="DZ1009" s="6"/>
      <c r="EA1009" s="6"/>
      <c r="EB1009" s="6"/>
      <c r="EC1009" s="6"/>
      <c r="ED1009" s="6"/>
      <c r="EE1009" s="6"/>
    </row>
    <row r="1010" spans="1:135" ht="15.75" customHeight="1" thickBot="1" x14ac:dyDescent="0.3">
      <c r="A1010" s="578" t="s">
        <v>2075</v>
      </c>
      <c r="B1010" s="8">
        <v>882</v>
      </c>
      <c r="C1010" s="72" t="s">
        <v>2072</v>
      </c>
      <c r="D1010" s="10" t="s">
        <v>24</v>
      </c>
      <c r="E1010" s="11" t="s">
        <v>25</v>
      </c>
      <c r="F1010" s="20" t="s">
        <v>2073</v>
      </c>
      <c r="G1010" s="15" t="s">
        <v>2074</v>
      </c>
      <c r="H1010" s="102" t="s">
        <v>698</v>
      </c>
      <c r="I1010" s="18" t="s">
        <v>135</v>
      </c>
      <c r="J1010" s="18" t="s">
        <v>699</v>
      </c>
      <c r="K1010" s="23" t="s">
        <v>2078</v>
      </c>
      <c r="L1010" s="25" t="str">
        <f>"RUTL-"&amp;RIGHT(K1010,8)</f>
        <v>RUTL-7DS51B3</v>
      </c>
      <c r="M1010" s="34" t="s">
        <v>40</v>
      </c>
      <c r="N1010" s="23"/>
      <c r="O1010" s="23"/>
      <c r="P1010" s="23"/>
      <c r="Q1010" s="113"/>
      <c r="R1010" s="23"/>
      <c r="S1010" s="23"/>
      <c r="T1010" s="23"/>
      <c r="U1010" s="23" t="s">
        <v>661</v>
      </c>
      <c r="V1010" s="23"/>
      <c r="W1010" s="23"/>
      <c r="X1010" s="230"/>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6"/>
      <c r="CB1010" s="6"/>
      <c r="CC1010" s="6"/>
      <c r="CD1010" s="6"/>
      <c r="CE1010" s="6"/>
      <c r="CF1010" s="6"/>
      <c r="CG1010" s="6"/>
      <c r="CH1010" s="6"/>
      <c r="CI1010" s="6"/>
      <c r="CJ1010" s="6"/>
      <c r="CK1010" s="6"/>
      <c r="CL1010" s="6"/>
      <c r="CM1010" s="6"/>
      <c r="CN1010" s="6"/>
      <c r="CO1010" s="6"/>
      <c r="CP1010" s="6"/>
      <c r="CQ1010" s="6"/>
      <c r="CR1010" s="6"/>
      <c r="CS1010" s="6"/>
      <c r="CT1010" s="6"/>
      <c r="CU1010" s="6"/>
      <c r="CV1010" s="6"/>
      <c r="CW1010" s="6"/>
      <c r="CX1010" s="6"/>
      <c r="CY1010" s="6"/>
      <c r="CZ1010" s="6"/>
      <c r="DA1010" s="6"/>
      <c r="DB1010" s="6"/>
      <c r="DC1010" s="6"/>
      <c r="DD1010" s="6"/>
      <c r="DE1010" s="6"/>
      <c r="DF1010" s="6"/>
      <c r="DG1010" s="6"/>
      <c r="DH1010" s="6"/>
      <c r="DI1010" s="6"/>
      <c r="DJ1010" s="6"/>
      <c r="DK1010" s="6"/>
      <c r="DL1010" s="6"/>
      <c r="DM1010" s="6"/>
      <c r="DN1010" s="6"/>
      <c r="DO1010" s="6"/>
      <c r="DP1010" s="6"/>
      <c r="DQ1010" s="6"/>
      <c r="DR1010" s="6"/>
      <c r="DS1010" s="6"/>
      <c r="DT1010" s="6"/>
      <c r="DU1010" s="6"/>
      <c r="DV1010" s="6"/>
      <c r="DW1010" s="6"/>
      <c r="DX1010" s="6"/>
      <c r="DY1010" s="6"/>
      <c r="DZ1010" s="6"/>
      <c r="EA1010" s="6"/>
      <c r="EB1010" s="6"/>
      <c r="EC1010" s="6"/>
      <c r="ED1010" s="6"/>
      <c r="EE1010" s="6"/>
    </row>
    <row r="1011" spans="1:135" ht="15.75" customHeight="1" thickBot="1" x14ac:dyDescent="0.3">
      <c r="A1011" s="578" t="s">
        <v>700</v>
      </c>
      <c r="B1011" s="8">
        <v>288</v>
      </c>
      <c r="C1011" s="72" t="s">
        <v>696</v>
      </c>
      <c r="D1011" s="10" t="s">
        <v>24</v>
      </c>
      <c r="E1011" s="11" t="s">
        <v>25</v>
      </c>
      <c r="F1011" s="20" t="s">
        <v>697</v>
      </c>
      <c r="G1011" s="15" t="s">
        <v>448</v>
      </c>
      <c r="H1011" s="102" t="s">
        <v>698</v>
      </c>
      <c r="I1011" s="18" t="s">
        <v>135</v>
      </c>
      <c r="J1011" s="18" t="s">
        <v>699</v>
      </c>
      <c r="K1011" s="23" t="s">
        <v>701</v>
      </c>
      <c r="L1011" s="25" t="str">
        <f>"RUTL-"&amp;RIGHT(K1011,8)</f>
        <v>RUTL-HCS51B3</v>
      </c>
      <c r="M1011" s="34" t="s">
        <v>40</v>
      </c>
      <c r="N1011" s="34" t="s">
        <v>702</v>
      </c>
      <c r="O1011" s="23"/>
      <c r="P1011" s="39" t="s">
        <v>90</v>
      </c>
      <c r="Q1011" s="63" t="s">
        <v>703</v>
      </c>
      <c r="R1011" s="15" t="s">
        <v>235</v>
      </c>
      <c r="S1011" s="23" t="s">
        <v>296</v>
      </c>
      <c r="T1011" s="23"/>
      <c r="U1011" s="39" t="s">
        <v>705</v>
      </c>
      <c r="V1011" s="23"/>
      <c r="W1011" s="23"/>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c r="BQ1011" s="5"/>
      <c r="BR1011" s="5"/>
      <c r="BS1011" s="5"/>
      <c r="BT1011" s="5"/>
      <c r="BU1011" s="5"/>
      <c r="BV1011" s="5"/>
      <c r="BW1011" s="5"/>
      <c r="BX1011" s="5"/>
      <c r="BY1011" s="5"/>
      <c r="BZ1011" s="5"/>
      <c r="CA1011" s="5"/>
      <c r="CB1011" s="5"/>
      <c r="CC1011" s="5"/>
      <c r="CD1011" s="5"/>
      <c r="CE1011" s="5"/>
      <c r="CF1011" s="5"/>
      <c r="CG1011" s="5"/>
      <c r="CH1011" s="5"/>
      <c r="CI1011" s="5"/>
      <c r="CJ1011" s="5"/>
      <c r="CK1011" s="5"/>
      <c r="CL1011" s="5"/>
      <c r="CM1011" s="5"/>
      <c r="CN1011" s="5"/>
      <c r="CO1011" s="5"/>
      <c r="CP1011" s="5"/>
      <c r="CQ1011" s="5"/>
      <c r="CR1011" s="5"/>
      <c r="CS1011" s="5"/>
      <c r="CT1011" s="5"/>
      <c r="CU1011" s="5"/>
      <c r="CV1011" s="5"/>
      <c r="CW1011" s="5"/>
      <c r="CX1011" s="5"/>
      <c r="CY1011" s="5"/>
      <c r="CZ1011" s="5"/>
      <c r="DA1011" s="5"/>
      <c r="DB1011" s="5"/>
      <c r="DC1011" s="5"/>
      <c r="DD1011" s="5"/>
      <c r="DE1011" s="5"/>
      <c r="DF1011" s="5"/>
      <c r="DG1011" s="5"/>
      <c r="DH1011" s="5"/>
      <c r="DI1011" s="5"/>
      <c r="DJ1011" s="5"/>
      <c r="DK1011" s="5"/>
      <c r="DL1011" s="5"/>
      <c r="DM1011" s="5"/>
      <c r="DN1011" s="5"/>
      <c r="DO1011" s="5"/>
      <c r="DP1011" s="5"/>
      <c r="DQ1011" s="5"/>
      <c r="DR1011" s="5"/>
      <c r="DS1011" s="5"/>
      <c r="DT1011" s="5"/>
      <c r="DU1011" s="5"/>
      <c r="DV1011" s="5"/>
      <c r="DW1011" s="5"/>
      <c r="DX1011" s="5"/>
      <c r="DY1011" s="5"/>
      <c r="DZ1011" s="5"/>
      <c r="EA1011" s="5"/>
      <c r="EB1011" s="5"/>
      <c r="EC1011" s="5"/>
      <c r="ED1011" s="5"/>
      <c r="EE1011" s="5"/>
    </row>
    <row r="1012" spans="1:135" ht="15.75" customHeight="1" thickBot="1" x14ac:dyDescent="0.3">
      <c r="A1012" s="578" t="s">
        <v>3913</v>
      </c>
      <c r="B1012" s="8">
        <v>6463</v>
      </c>
      <c r="C1012" s="72" t="s">
        <v>3911</v>
      </c>
      <c r="D1012" s="10" t="s">
        <v>24</v>
      </c>
      <c r="E1012" s="11" t="s">
        <v>25</v>
      </c>
      <c r="F1012" s="20" t="s">
        <v>3912</v>
      </c>
      <c r="G1012" s="15" t="s">
        <v>1521</v>
      </c>
      <c r="H1012" s="18" t="s">
        <v>1398</v>
      </c>
      <c r="I1012" s="18" t="s">
        <v>48</v>
      </c>
      <c r="J1012" s="18" t="s">
        <v>1427</v>
      </c>
      <c r="K1012" s="33" t="s">
        <v>3914</v>
      </c>
      <c r="L1012" s="25" t="str">
        <f>"RUTL-"&amp;RIGHT(K1012,8)</f>
        <v>RUTL-MP1Z7VX4</v>
      </c>
      <c r="M1012" s="34" t="s">
        <v>40</v>
      </c>
      <c r="N1012" s="39" t="s">
        <v>87</v>
      </c>
      <c r="O1012" s="39" t="s">
        <v>3915</v>
      </c>
      <c r="P1012" s="39" t="s">
        <v>90</v>
      </c>
      <c r="Q1012" s="113"/>
      <c r="R1012" s="15" t="s">
        <v>56</v>
      </c>
      <c r="S1012" s="37" t="s">
        <v>57</v>
      </c>
      <c r="T1012" s="107" t="s">
        <v>453</v>
      </c>
      <c r="U1012" s="39" t="s">
        <v>3916</v>
      </c>
      <c r="V1012" s="23"/>
      <c r="W1012" s="23"/>
      <c r="X1012" s="71"/>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c r="BY1012" s="5"/>
      <c r="BZ1012" s="5"/>
      <c r="CA1012" s="5"/>
      <c r="CB1012" s="5"/>
      <c r="CC1012" s="5"/>
      <c r="CD1012" s="5"/>
      <c r="CE1012" s="5"/>
      <c r="CF1012" s="5"/>
      <c r="CG1012" s="5"/>
      <c r="CH1012" s="5"/>
      <c r="CI1012" s="5"/>
      <c r="CJ1012" s="5"/>
      <c r="CK1012" s="5"/>
      <c r="CL1012" s="5"/>
      <c r="CM1012" s="5"/>
      <c r="CN1012" s="5"/>
      <c r="CO1012" s="5"/>
      <c r="CP1012" s="5"/>
      <c r="CQ1012" s="5"/>
      <c r="CR1012" s="5"/>
      <c r="CS1012" s="5"/>
      <c r="CT1012" s="5"/>
      <c r="CU1012" s="5"/>
      <c r="CV1012" s="5"/>
      <c r="CW1012" s="5"/>
      <c r="CX1012" s="5"/>
      <c r="CY1012" s="5"/>
      <c r="CZ1012" s="5"/>
      <c r="DA1012" s="5"/>
      <c r="DB1012" s="5"/>
      <c r="DC1012" s="5"/>
      <c r="DD1012" s="5"/>
      <c r="DE1012" s="5"/>
      <c r="DF1012" s="5"/>
      <c r="DG1012" s="5"/>
      <c r="DH1012" s="5"/>
      <c r="DI1012" s="5"/>
      <c r="DJ1012" s="5"/>
      <c r="DK1012" s="5"/>
      <c r="DL1012" s="5"/>
      <c r="DM1012" s="5"/>
      <c r="DN1012" s="5"/>
      <c r="DO1012" s="5"/>
      <c r="DP1012" s="5"/>
      <c r="DQ1012" s="5"/>
      <c r="DR1012" s="5"/>
      <c r="DS1012" s="5"/>
      <c r="DT1012" s="5"/>
      <c r="DU1012" s="5"/>
      <c r="DV1012" s="5"/>
      <c r="DW1012" s="5"/>
      <c r="DX1012" s="5"/>
      <c r="DY1012" s="5"/>
      <c r="DZ1012" s="5"/>
      <c r="EA1012" s="5"/>
      <c r="EB1012" s="5"/>
      <c r="EC1012" s="5"/>
      <c r="ED1012" s="5"/>
      <c r="EE1012" s="5"/>
    </row>
    <row r="1013" spans="1:135" ht="15.75" customHeight="1" x14ac:dyDescent="0.25">
      <c r="A1013" s="578" t="s">
        <v>3732</v>
      </c>
      <c r="B1013" s="16">
        <v>5452</v>
      </c>
      <c r="C1013" s="72" t="s">
        <v>1908</v>
      </c>
      <c r="D1013" s="15" t="s">
        <v>24</v>
      </c>
      <c r="E1013" s="11" t="s">
        <v>25</v>
      </c>
      <c r="F1013" s="20" t="s">
        <v>3730</v>
      </c>
      <c r="G1013" s="15" t="s">
        <v>3731</v>
      </c>
      <c r="H1013" s="18" t="s">
        <v>1398</v>
      </c>
      <c r="I1013" s="18" t="s">
        <v>48</v>
      </c>
      <c r="J1013" s="18" t="s">
        <v>1427</v>
      </c>
      <c r="K1013" s="33" t="s">
        <v>3733</v>
      </c>
      <c r="L1013" s="25" t="str">
        <f>"RUTL-"&amp;RIGHT(K1013,8)</f>
        <v>RUTL-MP1Z7VWG</v>
      </c>
      <c r="M1013" s="34" t="s">
        <v>40</v>
      </c>
      <c r="N1013" s="39" t="s">
        <v>414</v>
      </c>
      <c r="O1013" s="39" t="s">
        <v>3734</v>
      </c>
      <c r="P1013" s="39" t="s">
        <v>90</v>
      </c>
      <c r="Q1013" s="63" t="s">
        <v>3735</v>
      </c>
      <c r="R1013" s="15" t="s">
        <v>56</v>
      </c>
      <c r="S1013" s="37" t="s">
        <v>180</v>
      </c>
      <c r="T1013" s="107" t="s">
        <v>1630</v>
      </c>
      <c r="U1013" s="39" t="s">
        <v>3736</v>
      </c>
      <c r="V1013" s="23"/>
      <c r="W1013" s="23" t="s">
        <v>441</v>
      </c>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6"/>
      <c r="CB1013" s="6"/>
      <c r="CC1013" s="6"/>
      <c r="CD1013" s="6"/>
      <c r="CE1013" s="6"/>
      <c r="CF1013" s="6"/>
      <c r="CG1013" s="6"/>
      <c r="CH1013" s="6"/>
      <c r="CI1013" s="6"/>
      <c r="CJ1013" s="6"/>
      <c r="CK1013" s="6"/>
      <c r="CL1013" s="6"/>
      <c r="CM1013" s="6"/>
      <c r="CN1013" s="6"/>
      <c r="CO1013" s="6"/>
      <c r="CP1013" s="6"/>
      <c r="CQ1013" s="6"/>
      <c r="CR1013" s="6"/>
      <c r="CS1013" s="6"/>
      <c r="CT1013" s="6"/>
      <c r="CU1013" s="6"/>
      <c r="CV1013" s="6"/>
      <c r="CW1013" s="6"/>
      <c r="CX1013" s="6"/>
      <c r="CY1013" s="6"/>
      <c r="CZ1013" s="6"/>
      <c r="DA1013" s="6"/>
      <c r="DB1013" s="6"/>
      <c r="DC1013" s="6"/>
      <c r="DD1013" s="6"/>
      <c r="DE1013" s="6"/>
      <c r="DF1013" s="6"/>
      <c r="DG1013" s="6"/>
      <c r="DH1013" s="6"/>
      <c r="DI1013" s="6"/>
      <c r="DJ1013" s="6"/>
      <c r="DK1013" s="6"/>
      <c r="DL1013" s="6"/>
      <c r="DM1013" s="6"/>
      <c r="DN1013" s="6"/>
      <c r="DO1013" s="6"/>
      <c r="DP1013" s="6"/>
      <c r="DQ1013" s="6"/>
      <c r="DR1013" s="6"/>
      <c r="DS1013" s="6"/>
      <c r="DT1013" s="6"/>
      <c r="DU1013" s="6"/>
      <c r="DV1013" s="6"/>
      <c r="DW1013" s="6"/>
      <c r="DX1013" s="6"/>
      <c r="DY1013" s="6"/>
      <c r="DZ1013" s="6"/>
      <c r="EA1013" s="6"/>
      <c r="EB1013" s="6"/>
      <c r="EC1013" s="6"/>
      <c r="ED1013" s="6"/>
      <c r="EE1013" s="6"/>
    </row>
    <row r="1014" spans="1:135" ht="53.25" customHeight="1" x14ac:dyDescent="0.25">
      <c r="A1014" s="578" t="s">
        <v>4249</v>
      </c>
      <c r="B1014" s="8">
        <v>7703</v>
      </c>
      <c r="C1014" s="72" t="s">
        <v>4246</v>
      </c>
      <c r="D1014" s="10" t="s">
        <v>746</v>
      </c>
      <c r="E1014" s="11" t="s">
        <v>25</v>
      </c>
      <c r="F1014" s="20" t="s">
        <v>4247</v>
      </c>
      <c r="G1014" s="15" t="s">
        <v>4248</v>
      </c>
      <c r="H1014" s="291" t="s">
        <v>2294</v>
      </c>
      <c r="I1014" s="18" t="s">
        <v>48</v>
      </c>
      <c r="J1014" s="18" t="s">
        <v>1427</v>
      </c>
      <c r="K1014" s="33" t="s">
        <v>4250</v>
      </c>
      <c r="L1014" s="25" t="str">
        <f>"RUTL-"&amp;RIGHT(K1014,8)</f>
        <v>RUTL-MP1Z7SQ3</v>
      </c>
      <c r="M1014" s="34" t="s">
        <v>40</v>
      </c>
      <c r="N1014" s="39"/>
      <c r="O1014" s="23"/>
      <c r="P1014" s="39" t="s">
        <v>90</v>
      </c>
      <c r="Q1014" s="113"/>
      <c r="R1014" s="15" t="s">
        <v>56</v>
      </c>
      <c r="S1014" s="37" t="s">
        <v>57</v>
      </c>
      <c r="T1014" s="105" t="s">
        <v>148</v>
      </c>
      <c r="U1014" s="39" t="s">
        <v>4055</v>
      </c>
      <c r="V1014" s="23"/>
      <c r="W1014" s="23"/>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6"/>
      <c r="CB1014" s="6"/>
      <c r="CC1014" s="6"/>
      <c r="CD1014" s="6"/>
      <c r="CE1014" s="6"/>
      <c r="CF1014" s="6"/>
      <c r="CG1014" s="6"/>
      <c r="CH1014" s="6"/>
      <c r="CI1014" s="6"/>
      <c r="CJ1014" s="6"/>
      <c r="CK1014" s="6"/>
      <c r="CL1014" s="6"/>
      <c r="CM1014" s="6"/>
      <c r="CN1014" s="6"/>
      <c r="CO1014" s="6"/>
      <c r="CP1014" s="6"/>
      <c r="CQ1014" s="6"/>
      <c r="CR1014" s="6"/>
      <c r="CS1014" s="6"/>
      <c r="CT1014" s="6"/>
      <c r="CU1014" s="6"/>
      <c r="CV1014" s="6"/>
      <c r="CW1014" s="6"/>
      <c r="CX1014" s="6"/>
      <c r="CY1014" s="6"/>
      <c r="CZ1014" s="6"/>
      <c r="DA1014" s="6"/>
      <c r="DB1014" s="6"/>
      <c r="DC1014" s="6"/>
      <c r="DD1014" s="6"/>
      <c r="DE1014" s="6"/>
      <c r="DF1014" s="6"/>
      <c r="DG1014" s="6"/>
      <c r="DH1014" s="6"/>
      <c r="DI1014" s="6"/>
      <c r="DJ1014" s="6"/>
      <c r="DK1014" s="6"/>
      <c r="DL1014" s="6"/>
      <c r="DM1014" s="6"/>
      <c r="DN1014" s="6"/>
      <c r="DO1014" s="6"/>
      <c r="DP1014" s="6"/>
      <c r="DQ1014" s="6"/>
      <c r="DR1014" s="6"/>
      <c r="DS1014" s="6"/>
      <c r="DT1014" s="6"/>
      <c r="DU1014" s="6"/>
      <c r="DV1014" s="6"/>
      <c r="DW1014" s="6"/>
      <c r="DX1014" s="6"/>
      <c r="DY1014" s="6"/>
      <c r="DZ1014" s="6"/>
      <c r="EA1014" s="6"/>
      <c r="EB1014" s="6"/>
      <c r="EC1014" s="6"/>
      <c r="ED1014" s="6"/>
      <c r="EE1014" s="6"/>
    </row>
    <row r="1015" spans="1:135" ht="15.75" customHeight="1" x14ac:dyDescent="0.25">
      <c r="A1015" s="578" t="s">
        <v>1522</v>
      </c>
      <c r="B1015" s="8">
        <v>12246</v>
      </c>
      <c r="C1015" s="72" t="s">
        <v>1519</v>
      </c>
      <c r="D1015" s="10" t="s">
        <v>24</v>
      </c>
      <c r="E1015" s="11" t="s">
        <v>25</v>
      </c>
      <c r="F1015" s="20" t="s">
        <v>1520</v>
      </c>
      <c r="G1015" s="15" t="s">
        <v>1521</v>
      </c>
      <c r="H1015" s="102" t="s">
        <v>97</v>
      </c>
      <c r="I1015" s="18" t="s">
        <v>48</v>
      </c>
      <c r="J1015" s="18" t="s">
        <v>1427</v>
      </c>
      <c r="K1015" s="23" t="s">
        <v>1526</v>
      </c>
      <c r="L1015" s="25" t="str">
        <f>"RUTL-"&amp;RIGHT(K1015,8)</f>
        <v>RUTL-MP1Z7VHL</v>
      </c>
      <c r="M1015" s="34" t="s">
        <v>40</v>
      </c>
      <c r="N1015" s="39" t="s">
        <v>87</v>
      </c>
      <c r="O1015" s="39" t="s">
        <v>1530</v>
      </c>
      <c r="P1015" s="39" t="s">
        <v>90</v>
      </c>
      <c r="Q1015" s="113"/>
      <c r="R1015" s="15" t="s">
        <v>235</v>
      </c>
      <c r="S1015" s="37" t="s">
        <v>57</v>
      </c>
      <c r="T1015" s="101" t="s">
        <v>96</v>
      </c>
      <c r="U1015" s="39" t="s">
        <v>1533</v>
      </c>
      <c r="V1015" s="23"/>
      <c r="W1015" s="23"/>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c r="CA1015" s="6"/>
      <c r="CB1015" s="6"/>
      <c r="CC1015" s="6"/>
      <c r="CD1015" s="6"/>
      <c r="CE1015" s="6"/>
      <c r="CF1015" s="6"/>
      <c r="CG1015" s="6"/>
      <c r="CH1015" s="6"/>
      <c r="CI1015" s="6"/>
      <c r="CJ1015" s="6"/>
      <c r="CK1015" s="6"/>
      <c r="CL1015" s="6"/>
      <c r="CM1015" s="6"/>
      <c r="CN1015" s="6"/>
      <c r="CO1015" s="6"/>
      <c r="CP1015" s="6"/>
      <c r="CQ1015" s="6"/>
      <c r="CR1015" s="6"/>
      <c r="CS1015" s="6"/>
      <c r="CT1015" s="6"/>
      <c r="CU1015" s="6"/>
      <c r="CV1015" s="6"/>
      <c r="CW1015" s="6"/>
      <c r="CX1015" s="6"/>
      <c r="CY1015" s="6"/>
      <c r="CZ1015" s="6"/>
      <c r="DA1015" s="6"/>
      <c r="DB1015" s="6"/>
      <c r="DC1015" s="6"/>
      <c r="DD1015" s="6"/>
      <c r="DE1015" s="6"/>
      <c r="DF1015" s="6"/>
      <c r="DG1015" s="6"/>
      <c r="DH1015" s="6"/>
      <c r="DI1015" s="6"/>
      <c r="DJ1015" s="6"/>
      <c r="DK1015" s="6"/>
      <c r="DL1015" s="6"/>
      <c r="DM1015" s="6"/>
      <c r="DN1015" s="6"/>
      <c r="DO1015" s="6"/>
      <c r="DP1015" s="6"/>
      <c r="DQ1015" s="6"/>
      <c r="DR1015" s="6"/>
      <c r="DS1015" s="6"/>
      <c r="DT1015" s="6"/>
      <c r="DU1015" s="6"/>
      <c r="DV1015" s="6"/>
      <c r="DW1015" s="6"/>
      <c r="DX1015" s="6"/>
      <c r="DY1015" s="6"/>
      <c r="DZ1015" s="6"/>
      <c r="EA1015" s="6"/>
      <c r="EB1015" s="6"/>
      <c r="EC1015" s="6"/>
      <c r="ED1015" s="6"/>
      <c r="EE1015" s="6"/>
    </row>
    <row r="1016" spans="1:135" ht="15.75" customHeight="1" x14ac:dyDescent="0.25">
      <c r="A1016" s="578" t="s">
        <v>2338</v>
      </c>
      <c r="B1016" s="8">
        <v>1017</v>
      </c>
      <c r="C1016" s="72" t="s">
        <v>2335</v>
      </c>
      <c r="D1016" s="15" t="s">
        <v>24</v>
      </c>
      <c r="E1016" s="11" t="s">
        <v>25</v>
      </c>
      <c r="F1016" s="20" t="s">
        <v>2336</v>
      </c>
      <c r="G1016" s="15" t="s">
        <v>1566</v>
      </c>
      <c r="H1016" s="17" t="s">
        <v>1846</v>
      </c>
      <c r="I1016" s="18" t="s">
        <v>48</v>
      </c>
      <c r="J1016" s="18" t="s">
        <v>1427</v>
      </c>
      <c r="K1016" s="23" t="s">
        <v>2339</v>
      </c>
      <c r="L1016" s="25" t="str">
        <f>"RUTL-"&amp;RIGHT(K1016,8)</f>
        <v>RUTL-MP1TK2Z3</v>
      </c>
      <c r="M1016" s="34" t="s">
        <v>40</v>
      </c>
      <c r="N1016" s="23" t="s">
        <v>43</v>
      </c>
      <c r="O1016" s="23"/>
      <c r="P1016" s="23"/>
      <c r="Q1016" s="113"/>
      <c r="R1016" s="15" t="s">
        <v>56</v>
      </c>
      <c r="S1016" s="37" t="s">
        <v>57</v>
      </c>
      <c r="T1016" s="107" t="s">
        <v>453</v>
      </c>
      <c r="U1016" s="39" t="s">
        <v>2341</v>
      </c>
      <c r="V1016" s="23"/>
      <c r="W1016" s="23"/>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c r="CP1016" s="6"/>
      <c r="CQ1016" s="6"/>
      <c r="CR1016" s="6"/>
      <c r="CS1016" s="6"/>
      <c r="CT1016" s="6"/>
      <c r="CU1016" s="6"/>
      <c r="CV1016" s="6"/>
      <c r="CW1016" s="6"/>
      <c r="CX1016" s="6"/>
      <c r="CY1016" s="6"/>
      <c r="CZ1016" s="6"/>
      <c r="DA1016" s="6"/>
      <c r="DB1016" s="6"/>
      <c r="DC1016" s="6"/>
      <c r="DD1016" s="6"/>
      <c r="DE1016" s="6"/>
      <c r="DF1016" s="6"/>
      <c r="DG1016" s="6"/>
      <c r="DH1016" s="6"/>
      <c r="DI1016" s="6"/>
      <c r="DJ1016" s="6"/>
      <c r="DK1016" s="6"/>
      <c r="DL1016" s="6"/>
      <c r="DM1016" s="6"/>
      <c r="DN1016" s="6"/>
      <c r="DO1016" s="6"/>
      <c r="DP1016" s="6"/>
      <c r="DQ1016" s="6"/>
      <c r="DR1016" s="6"/>
      <c r="DS1016" s="6"/>
      <c r="DT1016" s="6"/>
      <c r="DU1016" s="6"/>
      <c r="DV1016" s="6"/>
      <c r="DW1016" s="6"/>
      <c r="DX1016" s="6"/>
      <c r="DY1016" s="6"/>
      <c r="DZ1016" s="6"/>
      <c r="EA1016" s="6"/>
      <c r="EB1016" s="6"/>
      <c r="EC1016" s="6"/>
      <c r="ED1016" s="6"/>
      <c r="EE1016" s="6"/>
    </row>
    <row r="1017" spans="1:135" ht="15.75" customHeight="1" x14ac:dyDescent="0.25">
      <c r="A1017" s="578" t="s">
        <v>2999</v>
      </c>
      <c r="B1017" s="8">
        <v>2337</v>
      </c>
      <c r="C1017" s="167" t="s">
        <v>2997</v>
      </c>
      <c r="D1017" s="10" t="s">
        <v>24</v>
      </c>
      <c r="E1017" s="11" t="s">
        <v>25</v>
      </c>
      <c r="F1017" s="12" t="s">
        <v>2998</v>
      </c>
      <c r="G1017" s="15" t="s">
        <v>2794</v>
      </c>
      <c r="H1017" s="313" t="s">
        <v>2182</v>
      </c>
      <c r="I1017" s="18" t="s">
        <v>48</v>
      </c>
      <c r="J1017" s="18" t="s">
        <v>1427</v>
      </c>
      <c r="K1017" s="33" t="s">
        <v>3000</v>
      </c>
      <c r="L1017" s="25" t="str">
        <f>"RUTL-"&amp;RIGHT(K1017,8)</f>
        <v>RUTL-MP1TK50J</v>
      </c>
      <c r="M1017" s="34" t="s">
        <v>40</v>
      </c>
      <c r="N1017" s="23" t="s">
        <v>43</v>
      </c>
      <c r="O1017" s="23"/>
      <c r="P1017" s="39" t="s">
        <v>90</v>
      </c>
      <c r="Q1017" s="63" t="s">
        <v>3001</v>
      </c>
      <c r="R1017" s="15" t="s">
        <v>56</v>
      </c>
      <c r="S1017" s="40" t="s">
        <v>57</v>
      </c>
      <c r="T1017" s="101" t="s">
        <v>96</v>
      </c>
      <c r="U1017" s="39" t="s">
        <v>3002</v>
      </c>
      <c r="V1017" s="23"/>
      <c r="W1017" s="23"/>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c r="CA1017" s="6"/>
      <c r="CB1017" s="6"/>
      <c r="CC1017" s="6"/>
      <c r="CD1017" s="6"/>
      <c r="CE1017" s="6"/>
      <c r="CF1017" s="6"/>
      <c r="CG1017" s="6"/>
      <c r="CH1017" s="6"/>
      <c r="CI1017" s="6"/>
      <c r="CJ1017" s="6"/>
      <c r="CK1017" s="6"/>
      <c r="CL1017" s="6"/>
      <c r="CM1017" s="6"/>
      <c r="CN1017" s="6"/>
      <c r="CO1017" s="6"/>
      <c r="CP1017" s="6"/>
      <c r="CQ1017" s="6"/>
      <c r="CR1017" s="6"/>
      <c r="CS1017" s="6"/>
      <c r="CT1017" s="6"/>
      <c r="CU1017" s="6"/>
      <c r="CV1017" s="6"/>
      <c r="CW1017" s="6"/>
      <c r="CX1017" s="6"/>
      <c r="CY1017" s="6"/>
      <c r="CZ1017" s="6"/>
      <c r="DA1017" s="6"/>
      <c r="DB1017" s="6"/>
      <c r="DC1017" s="6"/>
      <c r="DD1017" s="6"/>
      <c r="DE1017" s="6"/>
      <c r="DF1017" s="6"/>
      <c r="DG1017" s="6"/>
      <c r="DH1017" s="6"/>
      <c r="DI1017" s="6"/>
      <c r="DJ1017" s="6"/>
      <c r="DK1017" s="6"/>
      <c r="DL1017" s="6"/>
      <c r="DM1017" s="6"/>
      <c r="DN1017" s="6"/>
      <c r="DO1017" s="6"/>
      <c r="DP1017" s="6"/>
      <c r="DQ1017" s="6"/>
      <c r="DR1017" s="6"/>
      <c r="DS1017" s="6"/>
      <c r="DT1017" s="6"/>
      <c r="DU1017" s="6"/>
      <c r="DV1017" s="6"/>
      <c r="DW1017" s="6"/>
      <c r="DX1017" s="6"/>
      <c r="DY1017" s="6"/>
      <c r="DZ1017" s="6"/>
      <c r="EA1017" s="6"/>
      <c r="EB1017" s="6"/>
      <c r="EC1017" s="6"/>
      <c r="ED1017" s="6"/>
      <c r="EE1017" s="6"/>
    </row>
    <row r="1018" spans="1:135" ht="15.75" customHeight="1" x14ac:dyDescent="0.25">
      <c r="A1018" s="578" t="s">
        <v>1428</v>
      </c>
      <c r="B1018" s="8">
        <v>557</v>
      </c>
      <c r="C1018" s="72" t="s">
        <v>1423</v>
      </c>
      <c r="D1018" s="15" t="s">
        <v>24</v>
      </c>
      <c r="E1018" s="11" t="s">
        <v>25</v>
      </c>
      <c r="F1018" s="12" t="s">
        <v>1425</v>
      </c>
      <c r="G1018" s="15" t="s">
        <v>1426</v>
      </c>
      <c r="H1018" s="18" t="s">
        <v>1398</v>
      </c>
      <c r="I1018" s="18" t="s">
        <v>48</v>
      </c>
      <c r="J1018" s="18" t="s">
        <v>1427</v>
      </c>
      <c r="K1018" s="23" t="s">
        <v>1429</v>
      </c>
      <c r="L1018" s="25" t="str">
        <f>"RUTL-"&amp;RIGHT(K1018,8)</f>
        <v>RUTL-MP1Z7VHR</v>
      </c>
      <c r="M1018" s="34" t="s">
        <v>40</v>
      </c>
      <c r="N1018" s="39" t="s">
        <v>87</v>
      </c>
      <c r="O1018" s="39" t="s">
        <v>1430</v>
      </c>
      <c r="P1018" s="39" t="s">
        <v>90</v>
      </c>
      <c r="Q1018" s="113"/>
      <c r="R1018" s="15" t="s">
        <v>56</v>
      </c>
      <c r="S1018" s="37" t="s">
        <v>57</v>
      </c>
      <c r="T1018" s="101" t="s">
        <v>96</v>
      </c>
      <c r="U1018" s="23" t="s">
        <v>1431</v>
      </c>
      <c r="V1018" s="23"/>
      <c r="W1018" s="23"/>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6"/>
      <c r="CB1018" s="6"/>
      <c r="CC1018" s="6"/>
      <c r="CD1018" s="6"/>
      <c r="CE1018" s="6"/>
      <c r="CF1018" s="6"/>
      <c r="CG1018" s="6"/>
      <c r="CH1018" s="6"/>
      <c r="CI1018" s="6"/>
      <c r="CJ1018" s="6"/>
      <c r="CK1018" s="6"/>
      <c r="CL1018" s="6"/>
      <c r="CM1018" s="6"/>
      <c r="CN1018" s="6"/>
      <c r="CO1018" s="6"/>
      <c r="CP1018" s="6"/>
      <c r="CQ1018" s="6"/>
      <c r="CR1018" s="6"/>
      <c r="CS1018" s="6"/>
      <c r="CT1018" s="6"/>
      <c r="CU1018" s="6"/>
      <c r="CV1018" s="6"/>
      <c r="CW1018" s="6"/>
      <c r="CX1018" s="6"/>
      <c r="CY1018" s="6"/>
      <c r="CZ1018" s="6"/>
      <c r="DA1018" s="6"/>
      <c r="DB1018" s="6"/>
      <c r="DC1018" s="6"/>
      <c r="DD1018" s="6"/>
      <c r="DE1018" s="6"/>
      <c r="DF1018" s="6"/>
      <c r="DG1018" s="6"/>
      <c r="DH1018" s="6"/>
      <c r="DI1018" s="6"/>
      <c r="DJ1018" s="6"/>
      <c r="DK1018" s="6"/>
      <c r="DL1018" s="6"/>
      <c r="DM1018" s="6"/>
      <c r="DN1018" s="6"/>
      <c r="DO1018" s="6"/>
      <c r="DP1018" s="6"/>
      <c r="DQ1018" s="6"/>
      <c r="DR1018" s="6"/>
      <c r="DS1018" s="6"/>
      <c r="DT1018" s="6"/>
      <c r="DU1018" s="6"/>
      <c r="DV1018" s="6"/>
      <c r="DW1018" s="6"/>
      <c r="DX1018" s="6"/>
      <c r="DY1018" s="6"/>
      <c r="DZ1018" s="6"/>
      <c r="EA1018" s="6"/>
      <c r="EB1018" s="6"/>
      <c r="EC1018" s="6"/>
      <c r="ED1018" s="6"/>
      <c r="EE1018" s="6"/>
    </row>
    <row r="1019" spans="1:135" ht="15.75" customHeight="1" x14ac:dyDescent="0.25">
      <c r="A1019" s="578" t="s">
        <v>5077</v>
      </c>
      <c r="B1019" s="16">
        <v>11689</v>
      </c>
      <c r="C1019" s="72" t="s">
        <v>5075</v>
      </c>
      <c r="D1019" s="10" t="s">
        <v>24</v>
      </c>
      <c r="E1019" s="11" t="s">
        <v>25</v>
      </c>
      <c r="F1019" s="12" t="s">
        <v>5076</v>
      </c>
      <c r="G1019" s="15" t="s">
        <v>1486</v>
      </c>
      <c r="H1019" s="18" t="s">
        <v>2210</v>
      </c>
      <c r="I1019" s="18" t="s">
        <v>48</v>
      </c>
      <c r="J1019" s="18" t="s">
        <v>1427</v>
      </c>
      <c r="K1019" s="23" t="s">
        <v>5078</v>
      </c>
      <c r="L1019" s="25" t="str">
        <f>"RUTL-"&amp;RIGHT(K1019,8)</f>
        <v>RUTL-MP1Z7SLC</v>
      </c>
      <c r="M1019" s="34" t="s">
        <v>40</v>
      </c>
      <c r="N1019" s="21"/>
      <c r="O1019" s="21"/>
      <c r="P1019" s="21"/>
      <c r="Q1019" s="328"/>
      <c r="R1019" s="15" t="s">
        <v>56</v>
      </c>
      <c r="S1019" s="37" t="s">
        <v>57</v>
      </c>
      <c r="T1019" s="101" t="s">
        <v>96</v>
      </c>
      <c r="U1019" s="39" t="s">
        <v>5079</v>
      </c>
      <c r="V1019" s="23"/>
      <c r="W1019" s="23"/>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c r="CA1019" s="6"/>
      <c r="CB1019" s="6"/>
      <c r="CC1019" s="6"/>
      <c r="CD1019" s="6"/>
      <c r="CE1019" s="6"/>
      <c r="CF1019" s="6"/>
      <c r="CG1019" s="6"/>
      <c r="CH1019" s="6"/>
      <c r="CI1019" s="6"/>
      <c r="CJ1019" s="6"/>
      <c r="CK1019" s="6"/>
      <c r="CL1019" s="6"/>
      <c r="CM1019" s="6"/>
      <c r="CN1019" s="6"/>
      <c r="CO1019" s="6"/>
      <c r="CP1019" s="6"/>
      <c r="CQ1019" s="6"/>
      <c r="CR1019" s="6"/>
      <c r="CS1019" s="6"/>
      <c r="CT1019" s="6"/>
      <c r="CU1019" s="6"/>
      <c r="CV1019" s="6"/>
      <c r="CW1019" s="6"/>
      <c r="CX1019" s="6"/>
      <c r="CY1019" s="6"/>
      <c r="CZ1019" s="6"/>
      <c r="DA1019" s="6"/>
      <c r="DB1019" s="6"/>
      <c r="DC1019" s="6"/>
      <c r="DD1019" s="6"/>
      <c r="DE1019" s="6"/>
      <c r="DF1019" s="6"/>
      <c r="DG1019" s="6"/>
      <c r="DH1019" s="6"/>
      <c r="DI1019" s="6"/>
      <c r="DJ1019" s="6"/>
      <c r="DK1019" s="6"/>
      <c r="DL1019" s="6"/>
      <c r="DM1019" s="6"/>
      <c r="DN1019" s="6"/>
      <c r="DO1019" s="6"/>
      <c r="DP1019" s="6"/>
      <c r="DQ1019" s="6"/>
      <c r="DR1019" s="6"/>
      <c r="DS1019" s="6"/>
      <c r="DT1019" s="6"/>
      <c r="DU1019" s="6"/>
      <c r="DV1019" s="6"/>
      <c r="DW1019" s="6"/>
      <c r="DX1019" s="6"/>
      <c r="DY1019" s="6"/>
      <c r="DZ1019" s="6"/>
      <c r="EA1019" s="6"/>
      <c r="EB1019" s="6"/>
      <c r="EC1019" s="6"/>
      <c r="ED1019" s="6"/>
      <c r="EE1019" s="6"/>
    </row>
    <row r="1020" spans="1:135" ht="15.75" customHeight="1" x14ac:dyDescent="0.25">
      <c r="A1020" s="578" t="s">
        <v>5979</v>
      </c>
      <c r="B1020" s="437">
        <v>14776</v>
      </c>
      <c r="C1020" s="167" t="s">
        <v>5976</v>
      </c>
      <c r="D1020" s="10" t="s">
        <v>24</v>
      </c>
      <c r="E1020" s="11" t="s">
        <v>25</v>
      </c>
      <c r="F1020" s="20" t="s">
        <v>5977</v>
      </c>
      <c r="G1020" s="15" t="s">
        <v>5978</v>
      </c>
      <c r="H1020" s="148" t="s">
        <v>3028</v>
      </c>
      <c r="I1020" s="18" t="s">
        <v>117</v>
      </c>
      <c r="J1020" s="18" t="s">
        <v>359</v>
      </c>
      <c r="K1020" s="23" t="s">
        <v>5980</v>
      </c>
      <c r="L1020" s="25" t="str">
        <f>"RUTL-"&amp;RIGHT(K1020,8)</f>
        <v>RUTL-PF24AD3Z</v>
      </c>
      <c r="M1020" s="34" t="s">
        <v>40</v>
      </c>
      <c r="N1020" s="23"/>
      <c r="O1020" s="23"/>
      <c r="P1020" s="39" t="s">
        <v>90</v>
      </c>
      <c r="Q1020" s="113"/>
      <c r="R1020" s="15" t="s">
        <v>56</v>
      </c>
      <c r="S1020" s="37" t="s">
        <v>57</v>
      </c>
      <c r="T1020" s="101" t="s">
        <v>96</v>
      </c>
      <c r="U1020" s="23" t="s">
        <v>5981</v>
      </c>
      <c r="V1020" s="23"/>
      <c r="W1020" s="23"/>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6"/>
      <c r="CB1020" s="6"/>
      <c r="CC1020" s="6"/>
      <c r="CD1020" s="6"/>
      <c r="CE1020" s="6"/>
      <c r="CF1020" s="6"/>
      <c r="CG1020" s="6"/>
      <c r="CH1020" s="6"/>
      <c r="CI1020" s="6"/>
      <c r="CJ1020" s="6"/>
      <c r="CK1020" s="6"/>
      <c r="CL1020" s="6"/>
      <c r="CM1020" s="6"/>
      <c r="CN1020" s="6"/>
      <c r="CO1020" s="6"/>
      <c r="CP1020" s="6"/>
      <c r="CQ1020" s="6"/>
      <c r="CR1020" s="6"/>
      <c r="CS1020" s="6"/>
      <c r="CT1020" s="6"/>
      <c r="CU1020" s="6"/>
      <c r="CV1020" s="6"/>
      <c r="CW1020" s="6"/>
      <c r="CX1020" s="6"/>
      <c r="CY1020" s="6"/>
      <c r="CZ1020" s="6"/>
      <c r="DA1020" s="6"/>
      <c r="DB1020" s="6"/>
      <c r="DC1020" s="6"/>
      <c r="DD1020" s="6"/>
      <c r="DE1020" s="6"/>
      <c r="DF1020" s="6"/>
      <c r="DG1020" s="6"/>
      <c r="DH1020" s="6"/>
      <c r="DI1020" s="6"/>
      <c r="DJ1020" s="6"/>
      <c r="DK1020" s="6"/>
      <c r="DL1020" s="6"/>
      <c r="DM1020" s="6"/>
      <c r="DN1020" s="6"/>
      <c r="DO1020" s="6"/>
      <c r="DP1020" s="6"/>
      <c r="DQ1020" s="6"/>
      <c r="DR1020" s="6"/>
      <c r="DS1020" s="6"/>
      <c r="DT1020" s="6"/>
      <c r="DU1020" s="6"/>
      <c r="DV1020" s="6"/>
      <c r="DW1020" s="6"/>
      <c r="DX1020" s="6"/>
      <c r="DY1020" s="6"/>
      <c r="DZ1020" s="6"/>
      <c r="EA1020" s="6"/>
      <c r="EB1020" s="6"/>
      <c r="EC1020" s="6"/>
      <c r="ED1020" s="6"/>
      <c r="EE1020" s="6"/>
    </row>
    <row r="1021" spans="1:135" ht="15.75" customHeight="1" x14ac:dyDescent="0.25">
      <c r="A1021" s="578" t="s">
        <v>4998</v>
      </c>
      <c r="B1021" s="8">
        <v>11265</v>
      </c>
      <c r="C1021" s="72" t="s">
        <v>4996</v>
      </c>
      <c r="D1021" s="10" t="s">
        <v>24</v>
      </c>
      <c r="E1021" s="10" t="s">
        <v>25</v>
      </c>
      <c r="F1021" s="20" t="s">
        <v>4997</v>
      </c>
      <c r="G1021" s="15" t="s">
        <v>1337</v>
      </c>
      <c r="H1021" s="17" t="s">
        <v>891</v>
      </c>
      <c r="I1021" s="18" t="s">
        <v>135</v>
      </c>
      <c r="J1021" s="18" t="s">
        <v>359</v>
      </c>
      <c r="K1021" s="23" t="s">
        <v>4999</v>
      </c>
      <c r="L1021" s="25" t="str">
        <f>"RUTL-"&amp;RIGHT(K1021,8)</f>
        <v>RUTL-PF1SL81M</v>
      </c>
      <c r="M1021" s="34" t="s">
        <v>40</v>
      </c>
      <c r="N1021" s="39" t="s">
        <v>43</v>
      </c>
      <c r="O1021" s="32"/>
      <c r="P1021" s="39" t="s">
        <v>90</v>
      </c>
      <c r="Q1021" s="36"/>
      <c r="R1021" s="15" t="s">
        <v>56</v>
      </c>
      <c r="S1021" s="37" t="s">
        <v>57</v>
      </c>
      <c r="T1021" s="107" t="s">
        <v>453</v>
      </c>
      <c r="U1021" s="39" t="s">
        <v>4541</v>
      </c>
      <c r="V1021" s="115"/>
      <c r="W1021" s="23"/>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c r="CA1021" s="6"/>
      <c r="CB1021" s="6"/>
      <c r="CC1021" s="6"/>
      <c r="CD1021" s="6"/>
      <c r="CE1021" s="6"/>
      <c r="CF1021" s="6"/>
      <c r="CG1021" s="6"/>
      <c r="CH1021" s="6"/>
      <c r="CI1021" s="6"/>
      <c r="CJ1021" s="6"/>
      <c r="CK1021" s="6"/>
      <c r="CL1021" s="6"/>
      <c r="CM1021" s="6"/>
      <c r="CN1021" s="6"/>
      <c r="CO1021" s="6"/>
      <c r="CP1021" s="6"/>
      <c r="CQ1021" s="6"/>
      <c r="CR1021" s="6"/>
      <c r="CS1021" s="6"/>
      <c r="CT1021" s="6"/>
      <c r="CU1021" s="6"/>
      <c r="CV1021" s="6"/>
      <c r="CW1021" s="6"/>
      <c r="CX1021" s="6"/>
      <c r="CY1021" s="6"/>
      <c r="CZ1021" s="6"/>
      <c r="DA1021" s="6"/>
      <c r="DB1021" s="6"/>
      <c r="DC1021" s="6"/>
      <c r="DD1021" s="6"/>
      <c r="DE1021" s="6"/>
      <c r="DF1021" s="6"/>
      <c r="DG1021" s="6"/>
      <c r="DH1021" s="6"/>
      <c r="DI1021" s="6"/>
      <c r="DJ1021" s="6"/>
      <c r="DK1021" s="6"/>
      <c r="DL1021" s="6"/>
      <c r="DM1021" s="6"/>
      <c r="DN1021" s="6"/>
      <c r="DO1021" s="6"/>
      <c r="DP1021" s="6"/>
      <c r="DQ1021" s="6"/>
      <c r="DR1021" s="6"/>
      <c r="DS1021" s="6"/>
      <c r="DT1021" s="6"/>
      <c r="DU1021" s="6"/>
      <c r="DV1021" s="6"/>
      <c r="DW1021" s="6"/>
      <c r="DX1021" s="6"/>
      <c r="DY1021" s="6"/>
      <c r="DZ1021" s="6"/>
      <c r="EA1021" s="6"/>
      <c r="EB1021" s="6"/>
      <c r="EC1021" s="6"/>
      <c r="ED1021" s="6"/>
      <c r="EE1021" s="6"/>
    </row>
    <row r="1022" spans="1:135" ht="15.75" customHeight="1" x14ac:dyDescent="0.25">
      <c r="A1022" s="578" t="s">
        <v>4476</v>
      </c>
      <c r="B1022" s="16">
        <v>8762</v>
      </c>
      <c r="C1022" s="72" t="s">
        <v>4474</v>
      </c>
      <c r="D1022" s="10" t="s">
        <v>24</v>
      </c>
      <c r="E1022" s="11" t="s">
        <v>25</v>
      </c>
      <c r="F1022" s="20" t="s">
        <v>4475</v>
      </c>
      <c r="G1022" s="15" t="s">
        <v>443</v>
      </c>
      <c r="H1022" s="104" t="s">
        <v>3573</v>
      </c>
      <c r="I1022" s="18" t="s">
        <v>198</v>
      </c>
      <c r="J1022" s="18" t="s">
        <v>359</v>
      </c>
      <c r="K1022" s="33" t="s">
        <v>4477</v>
      </c>
      <c r="L1022" s="25" t="str">
        <f>"RUTL-"&amp;RIGHT(K1022,8)</f>
        <v>RUTL-PF1AMD5A</v>
      </c>
      <c r="M1022" s="34" t="s">
        <v>40</v>
      </c>
      <c r="N1022" s="15" t="s">
        <v>319</v>
      </c>
      <c r="O1022" s="23"/>
      <c r="P1022" s="39" t="s">
        <v>90</v>
      </c>
      <c r="Q1022" s="113"/>
      <c r="R1022" s="15" t="s">
        <v>56</v>
      </c>
      <c r="S1022" s="37" t="s">
        <v>57</v>
      </c>
      <c r="T1022" s="105" t="s">
        <v>148</v>
      </c>
      <c r="U1022" s="39" t="s">
        <v>3091</v>
      </c>
      <c r="V1022" s="23"/>
      <c r="W1022" s="23"/>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c r="CP1022" s="6"/>
      <c r="CQ1022" s="6"/>
      <c r="CR1022" s="6"/>
      <c r="CS1022" s="6"/>
      <c r="CT1022" s="6"/>
      <c r="CU1022" s="6"/>
      <c r="CV1022" s="6"/>
      <c r="CW1022" s="6"/>
      <c r="CX1022" s="6"/>
      <c r="CY1022" s="6"/>
      <c r="CZ1022" s="6"/>
      <c r="DA1022" s="6"/>
      <c r="DB1022" s="6"/>
      <c r="DC1022" s="6"/>
      <c r="DD1022" s="6"/>
      <c r="DE1022" s="6"/>
      <c r="DF1022" s="6"/>
      <c r="DG1022" s="6"/>
      <c r="DH1022" s="6"/>
      <c r="DI1022" s="6"/>
      <c r="DJ1022" s="6"/>
      <c r="DK1022" s="6"/>
      <c r="DL1022" s="6"/>
      <c r="DM1022" s="6"/>
      <c r="DN1022" s="6"/>
      <c r="DO1022" s="6"/>
      <c r="DP1022" s="6"/>
      <c r="DQ1022" s="6"/>
      <c r="DR1022" s="6"/>
      <c r="DS1022" s="6"/>
      <c r="DT1022" s="6"/>
      <c r="DU1022" s="6"/>
      <c r="DV1022" s="6"/>
      <c r="DW1022" s="6"/>
      <c r="DX1022" s="6"/>
      <c r="DY1022" s="6"/>
      <c r="DZ1022" s="6"/>
      <c r="EA1022" s="6"/>
      <c r="EB1022" s="6"/>
      <c r="EC1022" s="6"/>
      <c r="ED1022" s="6"/>
      <c r="EE1022" s="6"/>
    </row>
    <row r="1023" spans="1:135" ht="15.75" customHeight="1" thickBot="1" x14ac:dyDescent="0.3">
      <c r="A1023" s="578" t="s">
        <v>5481</v>
      </c>
      <c r="B1023" s="8">
        <v>12936</v>
      </c>
      <c r="C1023" s="72" t="s">
        <v>5478</v>
      </c>
      <c r="D1023" s="10" t="s">
        <v>5479</v>
      </c>
      <c r="E1023" s="11" t="s">
        <v>25</v>
      </c>
      <c r="F1023" s="20" t="s">
        <v>5480</v>
      </c>
      <c r="G1023" s="15" t="s">
        <v>1525</v>
      </c>
      <c r="H1023" s="104" t="s">
        <v>329</v>
      </c>
      <c r="I1023" s="18" t="s">
        <v>117</v>
      </c>
      <c r="J1023" s="18" t="s">
        <v>359</v>
      </c>
      <c r="K1023" s="23" t="s">
        <v>5482</v>
      </c>
      <c r="L1023" s="25" t="str">
        <f>"RUTL-"&amp;RIGHT(K1023,8)</f>
        <v>RUTL-PF1SLCP5</v>
      </c>
      <c r="M1023" s="34" t="s">
        <v>40</v>
      </c>
      <c r="N1023" s="23" t="s">
        <v>43</v>
      </c>
      <c r="O1023" s="23"/>
      <c r="P1023" s="39" t="s">
        <v>90</v>
      </c>
      <c r="Q1023" s="113"/>
      <c r="R1023" s="15" t="s">
        <v>235</v>
      </c>
      <c r="S1023" s="37" t="s">
        <v>57</v>
      </c>
      <c r="T1023" s="101" t="s">
        <v>96</v>
      </c>
      <c r="U1023" s="39" t="s">
        <v>4157</v>
      </c>
      <c r="V1023" s="23"/>
      <c r="W1023" s="23"/>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c r="CA1023" s="6"/>
      <c r="CB1023" s="6"/>
      <c r="CC1023" s="6"/>
      <c r="CD1023" s="6"/>
      <c r="CE1023" s="6"/>
      <c r="CF1023" s="6"/>
      <c r="CG1023" s="6"/>
      <c r="CH1023" s="6"/>
      <c r="CI1023" s="6"/>
      <c r="CJ1023" s="6"/>
      <c r="CK1023" s="6"/>
      <c r="CL1023" s="6"/>
      <c r="CM1023" s="6"/>
      <c r="CN1023" s="6"/>
      <c r="CO1023" s="6"/>
      <c r="CP1023" s="6"/>
      <c r="CQ1023" s="6"/>
      <c r="CR1023" s="6"/>
      <c r="CS1023" s="6"/>
      <c r="CT1023" s="6"/>
      <c r="CU1023" s="6"/>
      <c r="CV1023" s="6"/>
      <c r="CW1023" s="6"/>
      <c r="CX1023" s="6"/>
      <c r="CY1023" s="6"/>
      <c r="CZ1023" s="6"/>
      <c r="DA1023" s="6"/>
      <c r="DB1023" s="6"/>
      <c r="DC1023" s="6"/>
      <c r="DD1023" s="6"/>
      <c r="DE1023" s="6"/>
      <c r="DF1023" s="6"/>
      <c r="DG1023" s="6"/>
      <c r="DH1023" s="6"/>
      <c r="DI1023" s="6"/>
      <c r="DJ1023" s="6"/>
      <c r="DK1023" s="6"/>
      <c r="DL1023" s="6"/>
      <c r="DM1023" s="6"/>
      <c r="DN1023" s="6"/>
      <c r="DO1023" s="6"/>
      <c r="DP1023" s="6"/>
      <c r="DQ1023" s="6"/>
      <c r="DR1023" s="6"/>
      <c r="DS1023" s="6"/>
      <c r="DT1023" s="6"/>
      <c r="DU1023" s="6"/>
      <c r="DV1023" s="6"/>
      <c r="DW1023" s="6"/>
      <c r="DX1023" s="6"/>
      <c r="DY1023" s="6"/>
      <c r="DZ1023" s="6"/>
      <c r="EA1023" s="6"/>
      <c r="EB1023" s="6"/>
      <c r="EC1023" s="6"/>
      <c r="ED1023" s="6"/>
      <c r="EE1023" s="6"/>
    </row>
    <row r="1024" spans="1:135" ht="15.75" customHeight="1" thickBot="1" x14ac:dyDescent="0.3">
      <c r="A1024" s="578" t="s">
        <v>3030</v>
      </c>
      <c r="B1024" s="8">
        <v>2496</v>
      </c>
      <c r="C1024" s="167" t="s">
        <v>3025</v>
      </c>
      <c r="D1024" s="10" t="s">
        <v>959</v>
      </c>
      <c r="E1024" s="11" t="s">
        <v>25</v>
      </c>
      <c r="F1024" s="20" t="s">
        <v>3026</v>
      </c>
      <c r="G1024" s="15" t="s">
        <v>3027</v>
      </c>
      <c r="H1024" s="148" t="s">
        <v>3028</v>
      </c>
      <c r="I1024" s="18" t="s">
        <v>3029</v>
      </c>
      <c r="J1024" s="18" t="s">
        <v>359</v>
      </c>
      <c r="K1024" s="33" t="s">
        <v>3031</v>
      </c>
      <c r="L1024" s="25" t="str">
        <f>"RUTL-"&amp;RIGHT(K1024,8)</f>
        <v>RUTL-PF24A9K8</v>
      </c>
      <c r="M1024" s="34" t="s">
        <v>40</v>
      </c>
      <c r="N1024" s="39" t="s">
        <v>319</v>
      </c>
      <c r="O1024" s="23"/>
      <c r="P1024" s="39" t="s">
        <v>90</v>
      </c>
      <c r="Q1024" s="113"/>
      <c r="R1024" s="15" t="s">
        <v>235</v>
      </c>
      <c r="S1024" s="37" t="s">
        <v>57</v>
      </c>
      <c r="T1024" s="101" t="s">
        <v>96</v>
      </c>
      <c r="U1024" s="39" t="s">
        <v>3032</v>
      </c>
      <c r="V1024" s="23"/>
      <c r="W1024" s="23"/>
      <c r="X1024" s="209"/>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6"/>
      <c r="CB1024" s="6"/>
      <c r="CC1024" s="6"/>
      <c r="CD1024" s="6"/>
      <c r="CE1024" s="6"/>
      <c r="CF1024" s="6"/>
      <c r="CG1024" s="6"/>
      <c r="CH1024" s="6"/>
      <c r="CI1024" s="6"/>
      <c r="CJ1024" s="6"/>
      <c r="CK1024" s="6"/>
      <c r="CL1024" s="6"/>
      <c r="CM1024" s="6"/>
      <c r="CN1024" s="6"/>
      <c r="CO1024" s="6"/>
      <c r="CP1024" s="6"/>
      <c r="CQ1024" s="6"/>
      <c r="CR1024" s="6"/>
      <c r="CS1024" s="6"/>
      <c r="CT1024" s="6"/>
      <c r="CU1024" s="6"/>
      <c r="CV1024" s="6"/>
      <c r="CW1024" s="6"/>
      <c r="CX1024" s="6"/>
      <c r="CY1024" s="6"/>
      <c r="CZ1024" s="6"/>
      <c r="DA1024" s="6"/>
      <c r="DB1024" s="6"/>
      <c r="DC1024" s="6"/>
      <c r="DD1024" s="6"/>
      <c r="DE1024" s="6"/>
      <c r="DF1024" s="6"/>
      <c r="DG1024" s="6"/>
      <c r="DH1024" s="6"/>
      <c r="DI1024" s="6"/>
      <c r="DJ1024" s="6"/>
      <c r="DK1024" s="6"/>
      <c r="DL1024" s="6"/>
      <c r="DM1024" s="6"/>
      <c r="DN1024" s="6"/>
      <c r="DO1024" s="6"/>
      <c r="DP1024" s="6"/>
      <c r="DQ1024" s="6"/>
      <c r="DR1024" s="6"/>
      <c r="DS1024" s="6"/>
      <c r="DT1024" s="6"/>
      <c r="DU1024" s="6"/>
      <c r="DV1024" s="6"/>
      <c r="DW1024" s="6"/>
      <c r="DX1024" s="6"/>
      <c r="DY1024" s="6"/>
      <c r="DZ1024" s="6"/>
      <c r="EA1024" s="6"/>
      <c r="EB1024" s="6"/>
      <c r="EC1024" s="6"/>
      <c r="ED1024" s="6"/>
      <c r="EE1024" s="6"/>
    </row>
    <row r="1025" spans="1:135" ht="15.75" customHeight="1" thickBot="1" x14ac:dyDescent="0.3">
      <c r="A1025" s="578" t="s">
        <v>3740</v>
      </c>
      <c r="B1025" s="8">
        <v>5506</v>
      </c>
      <c r="C1025" s="72" t="s">
        <v>3737</v>
      </c>
      <c r="D1025" s="15" t="s">
        <v>24</v>
      </c>
      <c r="E1025" s="11" t="s">
        <v>25</v>
      </c>
      <c r="F1025" s="20" t="s">
        <v>3738</v>
      </c>
      <c r="G1025" s="15" t="s">
        <v>3739</v>
      </c>
      <c r="H1025" s="53" t="s">
        <v>3096</v>
      </c>
      <c r="I1025" s="18" t="s">
        <v>135</v>
      </c>
      <c r="J1025" s="18" t="s">
        <v>359</v>
      </c>
      <c r="K1025" s="33" t="s">
        <v>3741</v>
      </c>
      <c r="L1025" s="25" t="str">
        <f>"RUTL-"&amp;RIGHT(K1025,8)</f>
        <v>RUTL-PF1SLEX5</v>
      </c>
      <c r="M1025" s="34" t="s">
        <v>40</v>
      </c>
      <c r="N1025" s="39" t="s">
        <v>410</v>
      </c>
      <c r="O1025" s="175"/>
      <c r="P1025" s="39" t="s">
        <v>90</v>
      </c>
      <c r="Q1025" s="113"/>
      <c r="R1025" s="15" t="s">
        <v>56</v>
      </c>
      <c r="S1025" s="37" t="s">
        <v>180</v>
      </c>
      <c r="T1025" s="108" t="s">
        <v>273</v>
      </c>
      <c r="U1025" s="39" t="s">
        <v>3742</v>
      </c>
      <c r="V1025" s="23"/>
      <c r="W1025" s="23"/>
      <c r="X1025" s="259"/>
    </row>
    <row r="1026" spans="1:135" ht="15.75" customHeight="1" thickBot="1" x14ac:dyDescent="0.3">
      <c r="A1026" s="578" t="s">
        <v>5959</v>
      </c>
      <c r="B1026" s="437">
        <v>14762</v>
      </c>
      <c r="C1026" s="52" t="s">
        <v>5957</v>
      </c>
      <c r="D1026" s="10" t="s">
        <v>24</v>
      </c>
      <c r="E1026" s="11" t="s">
        <v>25</v>
      </c>
      <c r="F1026" s="20" t="s">
        <v>5958</v>
      </c>
      <c r="G1026" s="15" t="s">
        <v>2390</v>
      </c>
      <c r="H1026" s="17" t="s">
        <v>714</v>
      </c>
      <c r="I1026" s="18" t="s">
        <v>135</v>
      </c>
      <c r="J1026" s="18" t="s">
        <v>359</v>
      </c>
      <c r="K1026" s="23" t="s">
        <v>5960</v>
      </c>
      <c r="L1026" s="25" t="str">
        <f>"RUTL-"&amp;RIGHT(K1026,8)</f>
        <v>RUTL-PF1BWUKP</v>
      </c>
      <c r="M1026" s="34" t="s">
        <v>40</v>
      </c>
      <c r="N1026" s="39" t="s">
        <v>410</v>
      </c>
      <c r="O1026" s="23"/>
      <c r="P1026" s="39" t="s">
        <v>90</v>
      </c>
      <c r="Q1026" s="113"/>
      <c r="R1026" s="15" t="s">
        <v>56</v>
      </c>
      <c r="S1026" s="37" t="s">
        <v>57</v>
      </c>
      <c r="T1026" s="87" t="s">
        <v>273</v>
      </c>
      <c r="U1026" s="23" t="s">
        <v>2154</v>
      </c>
      <c r="V1026" s="23"/>
      <c r="W1026" s="23"/>
      <c r="X1026" s="261"/>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c r="CP1026" s="6"/>
      <c r="CQ1026" s="6"/>
      <c r="CR1026" s="6"/>
      <c r="CS1026" s="6"/>
      <c r="CT1026" s="6"/>
      <c r="CU1026" s="6"/>
      <c r="CV1026" s="6"/>
      <c r="CW1026" s="6"/>
      <c r="CX1026" s="6"/>
      <c r="CY1026" s="6"/>
      <c r="CZ1026" s="6"/>
      <c r="DA1026" s="6"/>
      <c r="DB1026" s="6"/>
      <c r="DC1026" s="6"/>
      <c r="DD1026" s="6"/>
      <c r="DE1026" s="6"/>
      <c r="DF1026" s="6"/>
      <c r="DG1026" s="6"/>
      <c r="DH1026" s="6"/>
      <c r="DI1026" s="6"/>
      <c r="DJ1026" s="6"/>
      <c r="DK1026" s="6"/>
      <c r="DL1026" s="6"/>
      <c r="DM1026" s="6"/>
      <c r="DN1026" s="6"/>
      <c r="DO1026" s="6"/>
      <c r="DP1026" s="6"/>
      <c r="DQ1026" s="6"/>
      <c r="DR1026" s="6"/>
      <c r="DS1026" s="6"/>
      <c r="DT1026" s="6"/>
      <c r="DU1026" s="6"/>
      <c r="DV1026" s="6"/>
      <c r="DW1026" s="6"/>
      <c r="DX1026" s="6"/>
      <c r="DY1026" s="6"/>
      <c r="DZ1026" s="6"/>
      <c r="EA1026" s="6"/>
      <c r="EB1026" s="6"/>
      <c r="EC1026" s="6"/>
      <c r="ED1026" s="6"/>
      <c r="EE1026" s="6"/>
    </row>
    <row r="1027" spans="1:135" ht="15.75" customHeight="1" thickBot="1" x14ac:dyDescent="0.3">
      <c r="A1027" s="578" t="s">
        <v>5320</v>
      </c>
      <c r="B1027" s="8">
        <v>12606</v>
      </c>
      <c r="C1027" s="52" t="s">
        <v>5318</v>
      </c>
      <c r="D1027" s="10" t="s">
        <v>24</v>
      </c>
      <c r="E1027" s="11" t="s">
        <v>25</v>
      </c>
      <c r="F1027" s="20" t="s">
        <v>5319</v>
      </c>
      <c r="G1027" s="15" t="s">
        <v>2384</v>
      </c>
      <c r="H1027" s="291" t="s">
        <v>2294</v>
      </c>
      <c r="I1027" s="18" t="s">
        <v>135</v>
      </c>
      <c r="J1027" s="18" t="s">
        <v>359</v>
      </c>
      <c r="K1027" s="23" t="s">
        <v>5321</v>
      </c>
      <c r="L1027" s="25" t="str">
        <f>"RUTL-"&amp;RIGHT(K1027,8)</f>
        <v>RUTL-PF1SLKD5</v>
      </c>
      <c r="M1027" s="34" t="s">
        <v>40</v>
      </c>
      <c r="N1027" s="39" t="s">
        <v>414</v>
      </c>
      <c r="O1027" s="39" t="s">
        <v>5322</v>
      </c>
      <c r="P1027" s="39" t="s">
        <v>90</v>
      </c>
      <c r="Q1027" s="113"/>
      <c r="R1027" s="15" t="s">
        <v>56</v>
      </c>
      <c r="S1027" s="37" t="s">
        <v>57</v>
      </c>
      <c r="T1027" s="101" t="s">
        <v>96</v>
      </c>
      <c r="U1027" s="39" t="s">
        <v>5312</v>
      </c>
      <c r="V1027" s="23"/>
      <c r="W1027" s="23"/>
      <c r="X1027" s="30"/>
      <c r="Y1027" s="30"/>
      <c r="Z1027" s="30"/>
      <c r="AA1027" s="30"/>
      <c r="AB1027" s="30"/>
      <c r="AC1027" s="30"/>
      <c r="AD1027" s="30"/>
      <c r="AE1027" s="30"/>
      <c r="AF1027" s="30"/>
      <c r="AG1027" s="30"/>
      <c r="AH1027" s="30"/>
      <c r="AI1027" s="30"/>
      <c r="AJ1027" s="30"/>
      <c r="AK1027" s="30"/>
      <c r="AL1027" s="30"/>
      <c r="AM1027" s="30"/>
      <c r="AN1027" s="30"/>
      <c r="AO1027" s="30"/>
      <c r="AP1027" s="30"/>
      <c r="AQ1027" s="30"/>
      <c r="AR1027" s="30"/>
      <c r="AS1027" s="30"/>
      <c r="AT1027" s="30"/>
      <c r="AU1027" s="30"/>
      <c r="AV1027" s="30"/>
      <c r="AW1027" s="30"/>
      <c r="AX1027" s="30"/>
      <c r="AY1027" s="30"/>
      <c r="AZ1027" s="30"/>
      <c r="BA1027" s="30"/>
      <c r="BB1027" s="30"/>
      <c r="BC1027" s="30"/>
      <c r="BD1027" s="30"/>
      <c r="BE1027" s="30"/>
      <c r="BF1027" s="30"/>
      <c r="BG1027" s="30"/>
      <c r="BH1027" s="30"/>
      <c r="BI1027" s="30"/>
      <c r="BJ1027" s="30"/>
      <c r="BK1027" s="30"/>
      <c r="BL1027" s="30"/>
      <c r="BM1027" s="30"/>
      <c r="BN1027" s="30"/>
      <c r="BO1027" s="30"/>
      <c r="BP1027" s="30"/>
      <c r="BQ1027" s="30"/>
      <c r="BR1027" s="30"/>
      <c r="BS1027" s="30"/>
      <c r="BT1027" s="30"/>
      <c r="BU1027" s="30"/>
      <c r="BV1027" s="30"/>
      <c r="BW1027" s="30"/>
      <c r="BX1027" s="30"/>
      <c r="BY1027" s="30"/>
      <c r="BZ1027" s="30"/>
      <c r="CA1027" s="30"/>
      <c r="CB1027" s="30"/>
      <c r="CC1027" s="30"/>
      <c r="CD1027" s="30"/>
      <c r="CE1027" s="30"/>
      <c r="CF1027" s="30"/>
      <c r="CG1027" s="30"/>
      <c r="CH1027" s="30"/>
      <c r="CI1027" s="30"/>
      <c r="CJ1027" s="30"/>
      <c r="CK1027" s="30"/>
      <c r="CL1027" s="30"/>
      <c r="CM1027" s="30"/>
      <c r="CN1027" s="30"/>
      <c r="CO1027" s="30"/>
      <c r="CP1027" s="30"/>
      <c r="CQ1027" s="30"/>
      <c r="CR1027" s="30"/>
      <c r="CS1027" s="30"/>
      <c r="CT1027" s="30"/>
      <c r="CU1027" s="30"/>
      <c r="CV1027" s="30"/>
      <c r="CW1027" s="30"/>
      <c r="CX1027" s="30"/>
      <c r="CY1027" s="30"/>
      <c r="CZ1027" s="30"/>
      <c r="DA1027" s="30"/>
      <c r="DB1027" s="30"/>
      <c r="DC1027" s="30"/>
      <c r="DD1027" s="30"/>
      <c r="DE1027" s="30"/>
      <c r="DF1027" s="30"/>
      <c r="DG1027" s="30"/>
      <c r="DH1027" s="30"/>
      <c r="DI1027" s="30"/>
      <c r="DJ1027" s="30"/>
      <c r="DK1027" s="30"/>
      <c r="DL1027" s="30"/>
      <c r="DM1027" s="30"/>
      <c r="DN1027" s="30"/>
      <c r="DO1027" s="30"/>
      <c r="DP1027" s="30"/>
      <c r="DQ1027" s="30"/>
      <c r="DR1027" s="30"/>
      <c r="DS1027" s="30"/>
      <c r="DT1027" s="30"/>
      <c r="DU1027" s="30"/>
      <c r="DV1027" s="30"/>
      <c r="DW1027" s="30"/>
      <c r="DX1027" s="30"/>
      <c r="DY1027" s="30"/>
      <c r="DZ1027" s="30"/>
      <c r="EA1027" s="30"/>
      <c r="EB1027" s="30"/>
      <c r="EC1027" s="30"/>
      <c r="ED1027" s="30"/>
      <c r="EE1027" s="30"/>
    </row>
    <row r="1028" spans="1:135" ht="15.75" customHeight="1" thickBot="1" x14ac:dyDescent="0.3">
      <c r="A1028" s="578" t="s">
        <v>6539</v>
      </c>
      <c r="B1028" s="16">
        <v>16087</v>
      </c>
      <c r="C1028" s="52" t="s">
        <v>6537</v>
      </c>
      <c r="D1028" s="10" t="s">
        <v>24</v>
      </c>
      <c r="E1028" s="11" t="s">
        <v>25</v>
      </c>
      <c r="F1028" s="20" t="s">
        <v>6538</v>
      </c>
      <c r="G1028" s="15" t="s">
        <v>4657</v>
      </c>
      <c r="H1028" s="104" t="s">
        <v>3896</v>
      </c>
      <c r="I1028" s="18" t="s">
        <v>135</v>
      </c>
      <c r="J1028" s="18" t="s">
        <v>359</v>
      </c>
      <c r="K1028" s="23" t="s">
        <v>6540</v>
      </c>
      <c r="L1028" s="25" t="str">
        <f>"RUTL-"&amp;RIGHT(K1028,8)</f>
        <v>RUTL-PF1SLTRL</v>
      </c>
      <c r="M1028" s="34" t="s">
        <v>40</v>
      </c>
      <c r="N1028" s="23" t="s">
        <v>54</v>
      </c>
      <c r="O1028" s="23"/>
      <c r="P1028" s="39" t="s">
        <v>90</v>
      </c>
      <c r="Q1028" s="63" t="s">
        <v>6541</v>
      </c>
      <c r="R1028" s="15" t="s">
        <v>56</v>
      </c>
      <c r="S1028" s="37" t="s">
        <v>57</v>
      </c>
      <c r="T1028" s="41" t="s">
        <v>453</v>
      </c>
      <c r="U1028" s="39" t="s">
        <v>1805</v>
      </c>
      <c r="V1028" s="23"/>
      <c r="W1028" s="23"/>
      <c r="X1028" s="264"/>
    </row>
    <row r="1029" spans="1:135" ht="27.75" customHeight="1" x14ac:dyDescent="0.25">
      <c r="A1029" s="578" t="s">
        <v>3518</v>
      </c>
      <c r="B1029" s="438">
        <v>4211</v>
      </c>
      <c r="C1029" s="72" t="s">
        <v>3515</v>
      </c>
      <c r="D1029" s="10" t="s">
        <v>24</v>
      </c>
      <c r="E1029" s="11" t="s">
        <v>25</v>
      </c>
      <c r="F1029" s="20" t="s">
        <v>3516</v>
      </c>
      <c r="G1029" s="59" t="s">
        <v>3517</v>
      </c>
      <c r="H1029" s="147" t="s">
        <v>434</v>
      </c>
      <c r="I1029" s="18" t="s">
        <v>117</v>
      </c>
      <c r="J1029" s="18" t="s">
        <v>359</v>
      </c>
      <c r="K1029" s="33" t="s">
        <v>3519</v>
      </c>
      <c r="L1029" s="25" t="str">
        <f>"RUTL-"&amp;RIGHT(K1029,8)</f>
        <v>RUTL-PF1AMD5R</v>
      </c>
      <c r="M1029" s="34" t="s">
        <v>40</v>
      </c>
      <c r="N1029" s="23" t="s">
        <v>43</v>
      </c>
      <c r="O1029" s="23"/>
      <c r="P1029" s="39" t="s">
        <v>90</v>
      </c>
      <c r="Q1029" s="113"/>
      <c r="R1029" s="15" t="s">
        <v>56</v>
      </c>
      <c r="S1029" s="37" t="s">
        <v>57</v>
      </c>
      <c r="T1029" s="108" t="s">
        <v>1102</v>
      </c>
      <c r="U1029" s="39" t="s">
        <v>2343</v>
      </c>
      <c r="V1029" s="23"/>
      <c r="W1029" s="23"/>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c r="CA1029" s="6"/>
      <c r="CB1029" s="6"/>
      <c r="CC1029" s="6"/>
      <c r="CD1029" s="6"/>
      <c r="CE1029" s="6"/>
      <c r="CF1029" s="6"/>
      <c r="CG1029" s="6"/>
      <c r="CH1029" s="6"/>
      <c r="CI1029" s="6"/>
      <c r="CJ1029" s="6"/>
      <c r="CK1029" s="6"/>
      <c r="CL1029" s="6"/>
      <c r="CM1029" s="6"/>
      <c r="CN1029" s="6"/>
      <c r="CO1029" s="6"/>
      <c r="CP1029" s="6"/>
      <c r="CQ1029" s="6"/>
      <c r="CR1029" s="6"/>
      <c r="CS1029" s="6"/>
      <c r="CT1029" s="6"/>
      <c r="CU1029" s="6"/>
      <c r="CV1029" s="6"/>
      <c r="CW1029" s="6"/>
      <c r="CX1029" s="6"/>
      <c r="CY1029" s="6"/>
      <c r="CZ1029" s="6"/>
      <c r="DA1029" s="6"/>
      <c r="DB1029" s="6"/>
      <c r="DC1029" s="6"/>
      <c r="DD1029" s="6"/>
      <c r="DE1029" s="6"/>
      <c r="DF1029" s="6"/>
      <c r="DG1029" s="6"/>
      <c r="DH1029" s="6"/>
      <c r="DI1029" s="6"/>
      <c r="DJ1029" s="6"/>
      <c r="DK1029" s="6"/>
      <c r="DL1029" s="6"/>
      <c r="DM1029" s="6"/>
      <c r="DN1029" s="6"/>
      <c r="DO1029" s="6"/>
      <c r="DP1029" s="6"/>
      <c r="DQ1029" s="6"/>
      <c r="DR1029" s="6"/>
      <c r="DS1029" s="6"/>
      <c r="DT1029" s="6"/>
      <c r="DU1029" s="6"/>
      <c r="DV1029" s="6"/>
      <c r="DW1029" s="6"/>
      <c r="DX1029" s="6"/>
      <c r="DY1029" s="6"/>
      <c r="DZ1029" s="6"/>
      <c r="EA1029" s="6"/>
      <c r="EB1029" s="6"/>
      <c r="EC1029" s="6"/>
      <c r="ED1029" s="6"/>
      <c r="EE1029" s="6"/>
    </row>
    <row r="1030" spans="1:135" ht="15.75" customHeight="1" thickBot="1" x14ac:dyDescent="0.3">
      <c r="A1030" s="578" t="s">
        <v>7086</v>
      </c>
      <c r="B1030" s="436">
        <v>17405</v>
      </c>
      <c r="C1030" s="231" t="s">
        <v>7083</v>
      </c>
      <c r="D1030" s="10" t="s">
        <v>24</v>
      </c>
      <c r="E1030" s="11" t="s">
        <v>25</v>
      </c>
      <c r="F1030" s="20" t="s">
        <v>7084</v>
      </c>
      <c r="G1030" s="59" t="s">
        <v>7085</v>
      </c>
      <c r="H1030" s="76" t="s">
        <v>3268</v>
      </c>
      <c r="I1030" s="18" t="s">
        <v>135</v>
      </c>
      <c r="J1030" s="24" t="s">
        <v>359</v>
      </c>
      <c r="K1030" s="23" t="s">
        <v>7087</v>
      </c>
      <c r="L1030" s="25" t="str">
        <f>"RUTL-"&amp;RIGHT(K1030,8)</f>
        <v>RUTL-PF24ABRT</v>
      </c>
      <c r="M1030" s="34" t="s">
        <v>40</v>
      </c>
      <c r="N1030" s="39" t="s">
        <v>5830</v>
      </c>
      <c r="O1030" s="39" t="s">
        <v>7088</v>
      </c>
      <c r="P1030" s="39" t="s">
        <v>90</v>
      </c>
      <c r="Q1030" s="39" t="s">
        <v>7089</v>
      </c>
      <c r="R1030" s="15" t="s">
        <v>56</v>
      </c>
      <c r="S1030" s="37" t="s">
        <v>57</v>
      </c>
      <c r="T1030" s="68" t="s">
        <v>148</v>
      </c>
      <c r="U1030" s="39" t="s">
        <v>7090</v>
      </c>
      <c r="V1030" s="14"/>
      <c r="W1030" s="14"/>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c r="BF1030" s="5"/>
      <c r="BG1030" s="5"/>
      <c r="BH1030" s="5"/>
      <c r="BI1030" s="5"/>
      <c r="BJ1030" s="5"/>
      <c r="BK1030" s="5"/>
      <c r="BL1030" s="5"/>
      <c r="BM1030" s="5"/>
      <c r="BN1030" s="5"/>
      <c r="BO1030" s="5"/>
      <c r="BP1030" s="5"/>
      <c r="BQ1030" s="5"/>
      <c r="BR1030" s="5"/>
      <c r="BS1030" s="5"/>
      <c r="BT1030" s="5"/>
      <c r="BU1030" s="5"/>
      <c r="BV1030" s="5"/>
      <c r="BW1030" s="5"/>
      <c r="BX1030" s="5"/>
      <c r="BY1030" s="5"/>
      <c r="BZ1030" s="5"/>
      <c r="CA1030" s="5"/>
      <c r="CB1030" s="5"/>
      <c r="CC1030" s="5"/>
      <c r="CD1030" s="5"/>
      <c r="CE1030" s="5"/>
      <c r="CF1030" s="5"/>
      <c r="CG1030" s="5"/>
      <c r="CH1030" s="5"/>
      <c r="CI1030" s="5"/>
      <c r="CJ1030" s="5"/>
      <c r="CK1030" s="5"/>
      <c r="CL1030" s="5"/>
      <c r="CM1030" s="5"/>
      <c r="CN1030" s="5"/>
      <c r="CO1030" s="5"/>
      <c r="CP1030" s="5"/>
      <c r="CQ1030" s="5"/>
      <c r="CR1030" s="5"/>
      <c r="CS1030" s="5"/>
      <c r="CT1030" s="5"/>
      <c r="CU1030" s="5"/>
      <c r="CV1030" s="5"/>
      <c r="CW1030" s="5"/>
      <c r="CX1030" s="5"/>
      <c r="CY1030" s="5"/>
      <c r="CZ1030" s="5"/>
      <c r="DA1030" s="5"/>
      <c r="DB1030" s="5"/>
      <c r="DC1030" s="5"/>
      <c r="DD1030" s="5"/>
      <c r="DE1030" s="5"/>
      <c r="DF1030" s="5"/>
      <c r="DG1030" s="5"/>
      <c r="DH1030" s="5"/>
      <c r="DI1030" s="5"/>
      <c r="DJ1030" s="5"/>
      <c r="DK1030" s="5"/>
      <c r="DL1030" s="5"/>
      <c r="DM1030" s="5"/>
      <c r="DN1030" s="5"/>
      <c r="DO1030" s="5"/>
      <c r="DP1030" s="5"/>
      <c r="DQ1030" s="5"/>
      <c r="DR1030" s="5"/>
      <c r="DS1030" s="5"/>
      <c r="DT1030" s="5"/>
      <c r="DU1030" s="5"/>
      <c r="DV1030" s="5"/>
      <c r="DW1030" s="5"/>
      <c r="DX1030" s="5"/>
      <c r="DY1030" s="5"/>
      <c r="DZ1030" s="5"/>
      <c r="EA1030" s="5"/>
      <c r="EB1030" s="5"/>
      <c r="EC1030" s="5"/>
      <c r="ED1030" s="5"/>
      <c r="EE1030" s="5"/>
    </row>
    <row r="1031" spans="1:135" ht="15.75" customHeight="1" thickBot="1" x14ac:dyDescent="0.3">
      <c r="A1031" s="578" t="s">
        <v>6988</v>
      </c>
      <c r="B1031" s="8">
        <v>17151</v>
      </c>
      <c r="C1031" s="72" t="s">
        <v>6986</v>
      </c>
      <c r="D1031" s="10" t="s">
        <v>24</v>
      </c>
      <c r="E1031" s="11" t="s">
        <v>25</v>
      </c>
      <c r="F1031" s="20" t="s">
        <v>6987</v>
      </c>
      <c r="G1031" s="15" t="s">
        <v>2390</v>
      </c>
      <c r="H1031" s="17" t="s">
        <v>714</v>
      </c>
      <c r="I1031" s="18" t="s">
        <v>135</v>
      </c>
      <c r="J1031" s="18" t="s">
        <v>359</v>
      </c>
      <c r="K1031" s="23" t="s">
        <v>6989</v>
      </c>
      <c r="L1031" s="25" t="str">
        <f>"RUTL-"&amp;RIGHT(K1031,8)</f>
        <v>RUTL-PF24A8SL</v>
      </c>
      <c r="M1031" s="34" t="s">
        <v>40</v>
      </c>
      <c r="N1031" s="15" t="s">
        <v>319</v>
      </c>
      <c r="O1031" s="227"/>
      <c r="P1031" s="39" t="s">
        <v>90</v>
      </c>
      <c r="Q1031" s="113"/>
      <c r="R1031" s="15" t="s">
        <v>56</v>
      </c>
      <c r="S1031" s="37" t="s">
        <v>57</v>
      </c>
      <c r="T1031" s="118" t="s">
        <v>65</v>
      </c>
      <c r="U1031" s="39" t="s">
        <v>1864</v>
      </c>
      <c r="V1031" s="44"/>
      <c r="W1031" s="23"/>
      <c r="X1031" s="154"/>
    </row>
    <row r="1032" spans="1:135" ht="51.75" customHeight="1" thickBot="1" x14ac:dyDescent="0.3">
      <c r="A1032" s="578" t="s">
        <v>3994</v>
      </c>
      <c r="B1032" s="8">
        <v>6737</v>
      </c>
      <c r="C1032" s="72" t="s">
        <v>3991</v>
      </c>
      <c r="D1032" s="15" t="s">
        <v>3992</v>
      </c>
      <c r="E1032" s="11" t="s">
        <v>25</v>
      </c>
      <c r="F1032" s="20"/>
      <c r="G1032" s="15" t="s">
        <v>3993</v>
      </c>
      <c r="H1032" s="53" t="s">
        <v>1319</v>
      </c>
      <c r="I1032" s="54" t="s">
        <v>117</v>
      </c>
      <c r="J1032" s="18" t="s">
        <v>359</v>
      </c>
      <c r="K1032" s="33" t="s">
        <v>3995</v>
      </c>
      <c r="L1032" s="25" t="str">
        <f>"RUTL-"&amp;RIGHT(K1032,8)</f>
        <v>RUTL-PF1SKTQD</v>
      </c>
      <c r="M1032" s="34" t="s">
        <v>40</v>
      </c>
      <c r="N1032" s="23"/>
      <c r="O1032" s="23"/>
      <c r="P1032" s="39" t="s">
        <v>90</v>
      </c>
      <c r="Q1032" s="113"/>
      <c r="R1032" s="15" t="s">
        <v>56</v>
      </c>
      <c r="S1032" s="37" t="s">
        <v>57</v>
      </c>
      <c r="T1032" s="105" t="s">
        <v>148</v>
      </c>
      <c r="U1032" s="39" t="s">
        <v>3996</v>
      </c>
      <c r="V1032" s="23"/>
      <c r="W1032" s="23"/>
      <c r="X1032" s="30"/>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c r="CW1032" s="5"/>
      <c r="CX1032" s="5"/>
      <c r="CY1032" s="5"/>
      <c r="CZ1032" s="5"/>
      <c r="DA1032" s="5"/>
      <c r="DB1032" s="5"/>
      <c r="DC1032" s="5"/>
      <c r="DD1032" s="5"/>
      <c r="DE1032" s="5"/>
      <c r="DF1032" s="5"/>
      <c r="DG1032" s="5"/>
      <c r="DH1032" s="5"/>
      <c r="DI1032" s="5"/>
      <c r="DJ1032" s="5"/>
      <c r="DK1032" s="5"/>
      <c r="DL1032" s="5"/>
      <c r="DM1032" s="5"/>
      <c r="DN1032" s="5"/>
      <c r="DO1032" s="5"/>
      <c r="DP1032" s="5"/>
      <c r="DQ1032" s="5"/>
      <c r="DR1032" s="5"/>
      <c r="DS1032" s="5"/>
      <c r="DT1032" s="5"/>
      <c r="DU1032" s="5"/>
      <c r="DV1032" s="5"/>
      <c r="DW1032" s="5"/>
      <c r="DX1032" s="5"/>
      <c r="DY1032" s="5"/>
      <c r="DZ1032" s="5"/>
      <c r="EA1032" s="5"/>
      <c r="EB1032" s="5"/>
      <c r="EC1032" s="5"/>
      <c r="ED1032" s="5"/>
      <c r="EE1032" s="5"/>
    </row>
    <row r="1033" spans="1:135" ht="72.75" customHeight="1" thickBot="1" x14ac:dyDescent="0.3">
      <c r="A1033" s="578" t="s">
        <v>2912</v>
      </c>
      <c r="B1033" s="8">
        <v>1937</v>
      </c>
      <c r="C1033" s="72" t="s">
        <v>2909</v>
      </c>
      <c r="D1033" s="10" t="s">
        <v>2880</v>
      </c>
      <c r="E1033" s="11" t="s">
        <v>25</v>
      </c>
      <c r="F1033" s="20" t="s">
        <v>2910</v>
      </c>
      <c r="G1033" s="15" t="s">
        <v>2911</v>
      </c>
      <c r="H1033" s="147" t="s">
        <v>434</v>
      </c>
      <c r="I1033" s="18" t="s">
        <v>135</v>
      </c>
      <c r="J1033" s="18" t="s">
        <v>359</v>
      </c>
      <c r="K1033" s="33" t="s">
        <v>2913</v>
      </c>
      <c r="L1033" s="25" t="str">
        <f>"RUTL-"&amp;RIGHT(K1033,8)</f>
        <v>RUTL-PF1SLAD3</v>
      </c>
      <c r="M1033" s="34" t="s">
        <v>40</v>
      </c>
      <c r="N1033" s="39" t="s">
        <v>410</v>
      </c>
      <c r="O1033" s="23"/>
      <c r="P1033" s="23"/>
      <c r="Q1033" s="113"/>
      <c r="R1033" s="15" t="s">
        <v>235</v>
      </c>
      <c r="S1033" s="23"/>
      <c r="T1033" s="23"/>
      <c r="U1033" s="39" t="s">
        <v>2914</v>
      </c>
      <c r="V1033" s="23"/>
      <c r="W1033" s="23"/>
      <c r="X1033" s="71"/>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c r="BR1033" s="5"/>
      <c r="BS1033" s="5"/>
      <c r="BT1033" s="5"/>
      <c r="BU1033" s="5"/>
      <c r="BV1033" s="5"/>
      <c r="BW1033" s="5"/>
      <c r="BX1033" s="5"/>
      <c r="BY1033" s="5"/>
      <c r="BZ1033" s="5"/>
      <c r="CA1033" s="5"/>
      <c r="CB1033" s="5"/>
      <c r="CC1033" s="5"/>
      <c r="CD1033" s="5"/>
      <c r="CE1033" s="5"/>
      <c r="CF1033" s="5"/>
      <c r="CG1033" s="5"/>
      <c r="CH1033" s="5"/>
      <c r="CI1033" s="5"/>
      <c r="CJ1033" s="5"/>
      <c r="CK1033" s="5"/>
      <c r="CL1033" s="5"/>
      <c r="CM1033" s="5"/>
      <c r="CN1033" s="5"/>
      <c r="CO1033" s="5"/>
      <c r="CP1033" s="5"/>
      <c r="CQ1033" s="5"/>
      <c r="CR1033" s="5"/>
      <c r="CS1033" s="5"/>
      <c r="CT1033" s="5"/>
      <c r="CU1033" s="5"/>
      <c r="CV1033" s="5"/>
      <c r="CW1033" s="5"/>
      <c r="CX1033" s="5"/>
      <c r="CY1033" s="5"/>
      <c r="CZ1033" s="5"/>
      <c r="DA1033" s="5"/>
      <c r="DB1033" s="5"/>
      <c r="DC1033" s="5"/>
      <c r="DD1033" s="5"/>
      <c r="DE1033" s="5"/>
      <c r="DF1033" s="5"/>
      <c r="DG1033" s="5"/>
      <c r="DH1033" s="5"/>
      <c r="DI1033" s="5"/>
      <c r="DJ1033" s="5"/>
      <c r="DK1033" s="5"/>
      <c r="DL1033" s="5"/>
      <c r="DM1033" s="5"/>
      <c r="DN1033" s="5"/>
      <c r="DO1033" s="5"/>
      <c r="DP1033" s="5"/>
      <c r="DQ1033" s="5"/>
      <c r="DR1033" s="5"/>
      <c r="DS1033" s="5"/>
      <c r="DT1033" s="5"/>
      <c r="DU1033" s="5"/>
      <c r="DV1033" s="5"/>
      <c r="DW1033" s="5"/>
      <c r="DX1033" s="5"/>
      <c r="DY1033" s="5"/>
      <c r="DZ1033" s="5"/>
      <c r="EA1033" s="5"/>
      <c r="EB1033" s="5"/>
      <c r="EC1033" s="5"/>
      <c r="ED1033" s="5"/>
      <c r="EE1033" s="5"/>
    </row>
    <row r="1034" spans="1:135" ht="15.75" customHeight="1" thickBot="1" x14ac:dyDescent="0.3">
      <c r="A1034" s="578" t="s">
        <v>3635</v>
      </c>
      <c r="B1034" s="51">
        <v>4824</v>
      </c>
      <c r="C1034" s="72" t="s">
        <v>3633</v>
      </c>
      <c r="D1034" s="15" t="s">
        <v>24</v>
      </c>
      <c r="E1034" s="11" t="s">
        <v>25</v>
      </c>
      <c r="F1034" s="12" t="s">
        <v>3634</v>
      </c>
      <c r="G1034" s="15" t="s">
        <v>2512</v>
      </c>
      <c r="H1034" s="53" t="s">
        <v>1204</v>
      </c>
      <c r="I1034" s="18" t="s">
        <v>772</v>
      </c>
      <c r="J1034" s="18" t="s">
        <v>359</v>
      </c>
      <c r="K1034" s="33" t="s">
        <v>3636</v>
      </c>
      <c r="L1034" s="25" t="str">
        <f>"RUTL-"&amp;RIGHT(K1034,8)</f>
        <v>RUTL-PF1SKTLM</v>
      </c>
      <c r="M1034" s="34" t="s">
        <v>40</v>
      </c>
      <c r="N1034" s="23" t="s">
        <v>54</v>
      </c>
      <c r="O1034" s="23"/>
      <c r="P1034" s="39" t="s">
        <v>90</v>
      </c>
      <c r="Q1034" s="63" t="s">
        <v>146</v>
      </c>
      <c r="R1034" s="15" t="s">
        <v>56</v>
      </c>
      <c r="S1034" s="37" t="s">
        <v>57</v>
      </c>
      <c r="T1034" s="38" t="s">
        <v>58</v>
      </c>
      <c r="U1034" s="39" t="s">
        <v>3637</v>
      </c>
      <c r="V1034" s="23"/>
      <c r="W1034" s="23"/>
      <c r="X1034" s="71"/>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c r="BR1034" s="5"/>
      <c r="BS1034" s="5"/>
      <c r="BT1034" s="5"/>
      <c r="BU1034" s="5"/>
      <c r="BV1034" s="5"/>
      <c r="BW1034" s="5"/>
      <c r="BX1034" s="5"/>
      <c r="BY1034" s="5"/>
      <c r="BZ1034" s="5"/>
      <c r="CA1034" s="5"/>
      <c r="CB1034" s="5"/>
      <c r="CC1034" s="5"/>
      <c r="CD1034" s="5"/>
      <c r="CE1034" s="5"/>
      <c r="CF1034" s="5"/>
      <c r="CG1034" s="5"/>
      <c r="CH1034" s="5"/>
      <c r="CI1034" s="5"/>
      <c r="CJ1034" s="5"/>
      <c r="CK1034" s="5"/>
      <c r="CL1034" s="5"/>
      <c r="CM1034" s="5"/>
      <c r="CN1034" s="5"/>
      <c r="CO1034" s="5"/>
      <c r="CP1034" s="5"/>
      <c r="CQ1034" s="5"/>
      <c r="CR1034" s="5"/>
      <c r="CS1034" s="5"/>
      <c r="CT1034" s="5"/>
      <c r="CU1034" s="5"/>
      <c r="CV1034" s="5"/>
      <c r="CW1034" s="5"/>
      <c r="CX1034" s="5"/>
      <c r="CY1034" s="5"/>
      <c r="CZ1034" s="5"/>
      <c r="DA1034" s="5"/>
      <c r="DB1034" s="5"/>
      <c r="DC1034" s="5"/>
      <c r="DD1034" s="5"/>
      <c r="DE1034" s="5"/>
      <c r="DF1034" s="5"/>
      <c r="DG1034" s="5"/>
      <c r="DH1034" s="5"/>
      <c r="DI1034" s="5"/>
      <c r="DJ1034" s="5"/>
      <c r="DK1034" s="5"/>
      <c r="DL1034" s="5"/>
      <c r="DM1034" s="5"/>
      <c r="DN1034" s="5"/>
      <c r="DO1034" s="5"/>
      <c r="DP1034" s="5"/>
      <c r="DQ1034" s="5"/>
      <c r="DR1034" s="5"/>
      <c r="DS1034" s="5"/>
      <c r="DT1034" s="5"/>
      <c r="DU1034" s="5"/>
      <c r="DV1034" s="5"/>
      <c r="DW1034" s="5"/>
      <c r="DX1034" s="5"/>
      <c r="DY1034" s="5"/>
      <c r="DZ1034" s="5"/>
      <c r="EA1034" s="5"/>
      <c r="EB1034" s="5"/>
      <c r="EC1034" s="5"/>
      <c r="ED1034" s="5"/>
      <c r="EE1034" s="5"/>
    </row>
    <row r="1035" spans="1:135" ht="15.75" customHeight="1" thickBot="1" x14ac:dyDescent="0.3">
      <c r="A1035" s="578" t="s">
        <v>6019</v>
      </c>
      <c r="B1035" s="437">
        <v>14885</v>
      </c>
      <c r="C1035" s="52" t="s">
        <v>6015</v>
      </c>
      <c r="D1035" s="10" t="s">
        <v>6016</v>
      </c>
      <c r="E1035" s="11" t="s">
        <v>25</v>
      </c>
      <c r="F1035" s="20" t="s">
        <v>6017</v>
      </c>
      <c r="G1035" s="15" t="s">
        <v>2794</v>
      </c>
      <c r="H1035" s="313" t="s">
        <v>2182</v>
      </c>
      <c r="I1035" s="18" t="s">
        <v>6018</v>
      </c>
      <c r="J1035" s="18" t="s">
        <v>359</v>
      </c>
      <c r="K1035" s="23" t="s">
        <v>6020</v>
      </c>
      <c r="L1035" s="25" t="str">
        <f>"RUTL-"&amp;RIGHT(K1035,8)</f>
        <v>RUTL-PF1SLH3J</v>
      </c>
      <c r="M1035" s="34" t="s">
        <v>40</v>
      </c>
      <c r="N1035" s="15" t="s">
        <v>319</v>
      </c>
      <c r="O1035" s="39" t="s">
        <v>1942</v>
      </c>
      <c r="P1035" s="39" t="s">
        <v>90</v>
      </c>
      <c r="Q1035" s="63" t="s">
        <v>6021</v>
      </c>
      <c r="R1035" s="15" t="s">
        <v>56</v>
      </c>
      <c r="S1035" s="37" t="s">
        <v>57</v>
      </c>
      <c r="T1035" s="107" t="s">
        <v>148</v>
      </c>
      <c r="U1035" s="23" t="s">
        <v>3163</v>
      </c>
      <c r="V1035" s="23"/>
      <c r="W1035" s="23"/>
      <c r="X1035" s="71"/>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c r="BS1035" s="5"/>
      <c r="BT1035" s="5"/>
      <c r="BU1035" s="5"/>
      <c r="BV1035" s="5"/>
      <c r="BW1035" s="5"/>
      <c r="BX1035" s="5"/>
      <c r="BY1035" s="5"/>
      <c r="BZ1035" s="5"/>
      <c r="CA1035" s="5"/>
      <c r="CB1035" s="5"/>
      <c r="CC1035" s="5"/>
      <c r="CD1035" s="5"/>
      <c r="CE1035" s="5"/>
      <c r="CF1035" s="5"/>
      <c r="CG1035" s="5"/>
      <c r="CH1035" s="5"/>
      <c r="CI1035" s="5"/>
      <c r="CJ1035" s="5"/>
      <c r="CK1035" s="5"/>
      <c r="CL1035" s="5"/>
      <c r="CM1035" s="5"/>
      <c r="CN1035" s="5"/>
      <c r="CO1035" s="5"/>
      <c r="CP1035" s="5"/>
      <c r="CQ1035" s="5"/>
      <c r="CR1035" s="5"/>
      <c r="CS1035" s="5"/>
      <c r="CT1035" s="5"/>
      <c r="CU1035" s="5"/>
      <c r="CV1035" s="5"/>
      <c r="CW1035" s="5"/>
      <c r="CX1035" s="5"/>
      <c r="CY1035" s="5"/>
      <c r="CZ1035" s="5"/>
      <c r="DA1035" s="5"/>
      <c r="DB1035" s="5"/>
      <c r="DC1035" s="5"/>
      <c r="DD1035" s="5"/>
      <c r="DE1035" s="5"/>
      <c r="DF1035" s="5"/>
      <c r="DG1035" s="5"/>
      <c r="DH1035" s="5"/>
      <c r="DI1035" s="5"/>
      <c r="DJ1035" s="5"/>
      <c r="DK1035" s="5"/>
      <c r="DL1035" s="5"/>
      <c r="DM1035" s="5"/>
      <c r="DN1035" s="5"/>
      <c r="DO1035" s="5"/>
      <c r="DP1035" s="5"/>
      <c r="DQ1035" s="5"/>
      <c r="DR1035" s="5"/>
      <c r="DS1035" s="5"/>
      <c r="DT1035" s="5"/>
      <c r="DU1035" s="5"/>
      <c r="DV1035" s="5"/>
      <c r="DW1035" s="5"/>
      <c r="DX1035" s="5"/>
      <c r="DY1035" s="5"/>
      <c r="DZ1035" s="5"/>
      <c r="EA1035" s="5"/>
      <c r="EB1035" s="5"/>
      <c r="EC1035" s="5"/>
      <c r="ED1035" s="5"/>
      <c r="EE1035" s="5"/>
    </row>
    <row r="1036" spans="1:135" ht="48" customHeight="1" thickBot="1" x14ac:dyDescent="0.3">
      <c r="A1036" s="578" t="s">
        <v>3897</v>
      </c>
      <c r="B1036" s="438">
        <v>6350</v>
      </c>
      <c r="C1036" s="72" t="s">
        <v>3892</v>
      </c>
      <c r="D1036" s="10" t="s">
        <v>3893</v>
      </c>
      <c r="E1036" s="465" t="s">
        <v>25</v>
      </c>
      <c r="F1036" s="20" t="s">
        <v>3894</v>
      </c>
      <c r="G1036" s="15" t="s">
        <v>3895</v>
      </c>
      <c r="H1036" s="104" t="s">
        <v>3896</v>
      </c>
      <c r="I1036" s="281" t="s">
        <v>135</v>
      </c>
      <c r="J1036" s="18" t="s">
        <v>359</v>
      </c>
      <c r="K1036" s="33" t="s">
        <v>3898</v>
      </c>
      <c r="L1036" s="25" t="str">
        <f>"RUTL-"&amp;RIGHT(K1036,8)</f>
        <v>RUTL-PF1AMKHB</v>
      </c>
      <c r="M1036" s="511" t="s">
        <v>40</v>
      </c>
      <c r="N1036" s="461" t="s">
        <v>319</v>
      </c>
      <c r="O1036" s="516"/>
      <c r="P1036" s="515" t="s">
        <v>90</v>
      </c>
      <c r="Q1036" s="527"/>
      <c r="R1036" s="15" t="s">
        <v>56</v>
      </c>
      <c r="S1036" s="37" t="s">
        <v>57</v>
      </c>
      <c r="T1036" s="105" t="s">
        <v>148</v>
      </c>
      <c r="U1036" s="39" t="s">
        <v>3899</v>
      </c>
      <c r="V1036" s="242"/>
      <c r="W1036" s="23"/>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c r="BW1036" s="5"/>
      <c r="BX1036" s="5"/>
      <c r="BY1036" s="5"/>
      <c r="BZ1036" s="5"/>
      <c r="CA1036" s="5"/>
      <c r="CB1036" s="5"/>
      <c r="CC1036" s="5"/>
      <c r="CD1036" s="5"/>
      <c r="CE1036" s="5"/>
      <c r="CF1036" s="5"/>
      <c r="CG1036" s="5"/>
      <c r="CH1036" s="5"/>
      <c r="CI1036" s="5"/>
      <c r="CJ1036" s="5"/>
      <c r="CK1036" s="5"/>
      <c r="CL1036" s="5"/>
      <c r="CM1036" s="5"/>
      <c r="CN1036" s="5"/>
      <c r="CO1036" s="5"/>
      <c r="CP1036" s="5"/>
      <c r="CQ1036" s="5"/>
      <c r="CR1036" s="5"/>
      <c r="CS1036" s="5"/>
      <c r="CT1036" s="5"/>
      <c r="CU1036" s="5"/>
      <c r="CV1036" s="5"/>
      <c r="CW1036" s="5"/>
      <c r="CX1036" s="5"/>
      <c r="CY1036" s="5"/>
      <c r="CZ1036" s="5"/>
      <c r="DA1036" s="5"/>
      <c r="DB1036" s="5"/>
      <c r="DC1036" s="5"/>
      <c r="DD1036" s="5"/>
      <c r="DE1036" s="5"/>
      <c r="DF1036" s="5"/>
      <c r="DG1036" s="5"/>
      <c r="DH1036" s="5"/>
      <c r="DI1036" s="5"/>
      <c r="DJ1036" s="5"/>
      <c r="DK1036" s="5"/>
      <c r="DL1036" s="5"/>
      <c r="DM1036" s="5"/>
      <c r="DN1036" s="5"/>
      <c r="DO1036" s="5"/>
      <c r="DP1036" s="5"/>
      <c r="DQ1036" s="5"/>
      <c r="DR1036" s="5"/>
      <c r="DS1036" s="5"/>
      <c r="DT1036" s="5"/>
      <c r="DU1036" s="5"/>
      <c r="DV1036" s="5"/>
      <c r="DW1036" s="5"/>
      <c r="DX1036" s="5"/>
      <c r="DY1036" s="5"/>
      <c r="DZ1036" s="5"/>
      <c r="EA1036" s="5"/>
      <c r="EB1036" s="5"/>
      <c r="EC1036" s="5"/>
      <c r="ED1036" s="5"/>
      <c r="EE1036" s="5"/>
    </row>
    <row r="1037" spans="1:135" ht="27.75" customHeight="1" thickBot="1" x14ac:dyDescent="0.3">
      <c r="A1037" s="578" t="s">
        <v>4395</v>
      </c>
      <c r="B1037" s="8">
        <v>8234</v>
      </c>
      <c r="C1037" s="72" t="s">
        <v>4391</v>
      </c>
      <c r="D1037" s="10" t="s">
        <v>4392</v>
      </c>
      <c r="E1037" s="11" t="s">
        <v>25</v>
      </c>
      <c r="F1037" s="20" t="s">
        <v>4393</v>
      </c>
      <c r="G1037" s="15" t="s">
        <v>4394</v>
      </c>
      <c r="H1037" s="37" t="s">
        <v>533</v>
      </c>
      <c r="I1037" s="142" t="s">
        <v>117</v>
      </c>
      <c r="J1037" s="18" t="s">
        <v>359</v>
      </c>
      <c r="K1037" s="33" t="s">
        <v>4396</v>
      </c>
      <c r="L1037" s="25" t="str">
        <f>"RUTL-"&amp;RIGHT(K1037,8)</f>
        <v>RUTL-PF1SKE38</v>
      </c>
      <c r="M1037" s="34" t="s">
        <v>40</v>
      </c>
      <c r="N1037" s="23"/>
      <c r="O1037" s="23"/>
      <c r="P1037" s="23"/>
      <c r="Q1037" s="113"/>
      <c r="R1037" s="15" t="s">
        <v>56</v>
      </c>
      <c r="S1037" s="23"/>
      <c r="T1037" s="107" t="s">
        <v>453</v>
      </c>
      <c r="U1037" s="39" t="s">
        <v>4397</v>
      </c>
      <c r="V1037" s="558">
        <v>44186</v>
      </c>
      <c r="W1037" s="23" t="s">
        <v>4398</v>
      </c>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c r="BQ1037" s="5"/>
      <c r="BR1037" s="5"/>
      <c r="BS1037" s="5"/>
      <c r="BT1037" s="5"/>
      <c r="BU1037" s="5"/>
      <c r="BV1037" s="5"/>
      <c r="BW1037" s="5"/>
      <c r="BX1037" s="5"/>
      <c r="BY1037" s="5"/>
      <c r="BZ1037" s="5"/>
      <c r="CA1037" s="5"/>
      <c r="CB1037" s="5"/>
      <c r="CC1037" s="5"/>
      <c r="CD1037" s="5"/>
      <c r="CE1037" s="5"/>
      <c r="CF1037" s="5"/>
      <c r="CG1037" s="5"/>
      <c r="CH1037" s="5"/>
      <c r="CI1037" s="5"/>
      <c r="CJ1037" s="5"/>
      <c r="CK1037" s="5"/>
      <c r="CL1037" s="5"/>
      <c r="CM1037" s="5"/>
      <c r="CN1037" s="5"/>
      <c r="CO1037" s="5"/>
      <c r="CP1037" s="5"/>
      <c r="CQ1037" s="5"/>
      <c r="CR1037" s="5"/>
      <c r="CS1037" s="5"/>
      <c r="CT1037" s="5"/>
      <c r="CU1037" s="5"/>
      <c r="CV1037" s="5"/>
      <c r="CW1037" s="5"/>
      <c r="CX1037" s="5"/>
      <c r="CY1037" s="5"/>
      <c r="CZ1037" s="5"/>
      <c r="DA1037" s="5"/>
      <c r="DB1037" s="5"/>
      <c r="DC1037" s="5"/>
      <c r="DD1037" s="5"/>
      <c r="DE1037" s="5"/>
      <c r="DF1037" s="5"/>
      <c r="DG1037" s="5"/>
      <c r="DH1037" s="5"/>
      <c r="DI1037" s="5"/>
      <c r="DJ1037" s="5"/>
      <c r="DK1037" s="5"/>
      <c r="DL1037" s="5"/>
      <c r="DM1037" s="5"/>
      <c r="DN1037" s="5"/>
      <c r="DO1037" s="5"/>
      <c r="DP1037" s="5"/>
      <c r="DQ1037" s="5"/>
      <c r="DR1037" s="5"/>
      <c r="DS1037" s="5"/>
      <c r="DT1037" s="5"/>
      <c r="DU1037" s="5"/>
      <c r="DV1037" s="5"/>
      <c r="DW1037" s="5"/>
      <c r="DX1037" s="5"/>
      <c r="DY1037" s="5"/>
      <c r="DZ1037" s="5"/>
      <c r="EA1037" s="5"/>
      <c r="EB1037" s="5"/>
      <c r="EC1037" s="5"/>
      <c r="ED1037" s="5"/>
      <c r="EE1037" s="5"/>
    </row>
    <row r="1038" spans="1:135" ht="38.25" thickBot="1" x14ac:dyDescent="0.3">
      <c r="A1038" s="578" t="s">
        <v>5922</v>
      </c>
      <c r="B1038" s="437">
        <v>14703</v>
      </c>
      <c r="C1038" s="72" t="s">
        <v>5919</v>
      </c>
      <c r="D1038" s="10" t="s">
        <v>24</v>
      </c>
      <c r="E1038" s="11" t="s">
        <v>25</v>
      </c>
      <c r="F1038" s="20" t="s">
        <v>5920</v>
      </c>
      <c r="G1038" s="15" t="s">
        <v>5921</v>
      </c>
      <c r="H1038" s="76" t="s">
        <v>3543</v>
      </c>
      <c r="I1038" s="18" t="s">
        <v>135</v>
      </c>
      <c r="J1038" s="18" t="s">
        <v>359</v>
      </c>
      <c r="K1038" s="23" t="s">
        <v>5923</v>
      </c>
      <c r="L1038" s="25" t="str">
        <f>"RUTL-"&amp;RIGHT(K1038,8)</f>
        <v>RUTL-PF1ALMU9</v>
      </c>
      <c r="M1038" s="34" t="s">
        <v>40</v>
      </c>
      <c r="N1038" s="39" t="s">
        <v>414</v>
      </c>
      <c r="O1038" s="23"/>
      <c r="P1038" s="39" t="s">
        <v>90</v>
      </c>
      <c r="Q1038" s="113"/>
      <c r="R1038" s="15" t="s">
        <v>56</v>
      </c>
      <c r="S1038" s="37" t="s">
        <v>57</v>
      </c>
      <c r="T1038" s="108" t="s">
        <v>273</v>
      </c>
      <c r="U1038" s="39" t="s">
        <v>3460</v>
      </c>
      <c r="V1038" s="23"/>
      <c r="W1038" s="23"/>
      <c r="X1038" s="24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c r="BF1038" s="5"/>
      <c r="BG1038" s="5"/>
      <c r="BH1038" s="5"/>
      <c r="BI1038" s="5"/>
      <c r="BJ1038" s="5"/>
      <c r="BK1038" s="5"/>
      <c r="BL1038" s="5"/>
      <c r="BM1038" s="5"/>
      <c r="BN1038" s="5"/>
      <c r="BO1038" s="5"/>
      <c r="BP1038" s="5"/>
      <c r="BQ1038" s="5"/>
      <c r="BR1038" s="5"/>
      <c r="BS1038" s="5"/>
      <c r="BT1038" s="5"/>
      <c r="BU1038" s="5"/>
      <c r="BV1038" s="5"/>
      <c r="BW1038" s="5"/>
      <c r="BX1038" s="5"/>
      <c r="BY1038" s="5"/>
      <c r="BZ1038" s="5"/>
      <c r="CA1038" s="5"/>
      <c r="CB1038" s="5"/>
      <c r="CC1038" s="5"/>
      <c r="CD1038" s="5"/>
      <c r="CE1038" s="5"/>
      <c r="CF1038" s="5"/>
      <c r="CG1038" s="5"/>
      <c r="CH1038" s="5"/>
      <c r="CI1038" s="5"/>
      <c r="CJ1038" s="5"/>
      <c r="CK1038" s="5"/>
      <c r="CL1038" s="5"/>
      <c r="CM1038" s="5"/>
      <c r="CN1038" s="5"/>
      <c r="CO1038" s="5"/>
      <c r="CP1038" s="5"/>
      <c r="CQ1038" s="5"/>
      <c r="CR1038" s="5"/>
      <c r="CS1038" s="5"/>
      <c r="CT1038" s="5"/>
      <c r="CU1038" s="5"/>
      <c r="CV1038" s="5"/>
      <c r="CW1038" s="5"/>
      <c r="CX1038" s="5"/>
      <c r="CY1038" s="5"/>
      <c r="CZ1038" s="5"/>
      <c r="DA1038" s="5"/>
      <c r="DB1038" s="5"/>
      <c r="DC1038" s="5"/>
      <c r="DD1038" s="5"/>
      <c r="DE1038" s="5"/>
      <c r="DF1038" s="5"/>
      <c r="DG1038" s="5"/>
      <c r="DH1038" s="5"/>
      <c r="DI1038" s="5"/>
      <c r="DJ1038" s="5"/>
      <c r="DK1038" s="5"/>
      <c r="DL1038" s="5"/>
      <c r="DM1038" s="5"/>
      <c r="DN1038" s="5"/>
      <c r="DO1038" s="5"/>
      <c r="DP1038" s="5"/>
      <c r="DQ1038" s="5"/>
      <c r="DR1038" s="5"/>
      <c r="DS1038" s="5"/>
      <c r="DT1038" s="5"/>
      <c r="DU1038" s="5"/>
      <c r="DV1038" s="5"/>
      <c r="DW1038" s="5"/>
      <c r="DX1038" s="5"/>
      <c r="DY1038" s="5"/>
      <c r="DZ1038" s="5"/>
      <c r="EA1038" s="5"/>
      <c r="EB1038" s="5"/>
      <c r="EC1038" s="5"/>
      <c r="ED1038" s="5"/>
      <c r="EE1038" s="5"/>
    </row>
    <row r="1039" spans="1:135" ht="32.25" thickBot="1" x14ac:dyDescent="0.3">
      <c r="A1039" s="578" t="s">
        <v>6193</v>
      </c>
      <c r="B1039" s="8">
        <v>15368</v>
      </c>
      <c r="C1039" s="72" t="s">
        <v>6187</v>
      </c>
      <c r="D1039" s="10" t="s">
        <v>6188</v>
      </c>
      <c r="E1039" s="11" t="s">
        <v>25</v>
      </c>
      <c r="F1039" s="20" t="s">
        <v>6189</v>
      </c>
      <c r="G1039" s="15" t="s">
        <v>6190</v>
      </c>
      <c r="H1039" s="102" t="s">
        <v>3496</v>
      </c>
      <c r="I1039" s="18" t="s">
        <v>6191</v>
      </c>
      <c r="J1039" s="18" t="s">
        <v>6192</v>
      </c>
      <c r="K1039" s="23" t="s">
        <v>6194</v>
      </c>
      <c r="L1039" s="25" t="str">
        <f>"RUTL-"&amp;RIGHT(K1039,8)</f>
        <v>RUTL-7VXZTJ3</v>
      </c>
      <c r="M1039" s="34" t="s">
        <v>40</v>
      </c>
      <c r="N1039" s="90" t="s">
        <v>473</v>
      </c>
      <c r="O1039" s="23"/>
      <c r="P1039" s="39" t="s">
        <v>90</v>
      </c>
      <c r="Q1039" s="63" t="s">
        <v>6195</v>
      </c>
      <c r="R1039" s="15" t="s">
        <v>56</v>
      </c>
      <c r="S1039" s="232" t="s">
        <v>296</v>
      </c>
      <c r="T1039" s="87" t="s">
        <v>273</v>
      </c>
      <c r="U1039" s="39" t="s">
        <v>3391</v>
      </c>
      <c r="V1039" s="44">
        <v>44551</v>
      </c>
      <c r="W1039" s="23" t="s">
        <v>6197</v>
      </c>
      <c r="X1039" s="261"/>
      <c r="Y1039" s="30"/>
      <c r="Z1039" s="30"/>
      <c r="AA1039" s="30"/>
      <c r="AB1039" s="30"/>
      <c r="AC1039" s="30"/>
      <c r="AD1039" s="30"/>
      <c r="AE1039" s="30"/>
      <c r="AF1039" s="30"/>
      <c r="AG1039" s="30"/>
      <c r="AH1039" s="30"/>
      <c r="AI1039" s="30"/>
      <c r="AJ1039" s="30"/>
      <c r="AK1039" s="30"/>
      <c r="AL1039" s="30"/>
      <c r="AM1039" s="30"/>
      <c r="AN1039" s="30"/>
      <c r="AO1039" s="30"/>
      <c r="AP1039" s="30"/>
      <c r="AQ1039" s="30"/>
      <c r="AR1039" s="30"/>
      <c r="AS1039" s="30"/>
      <c r="AT1039" s="30"/>
      <c r="AU1039" s="30"/>
      <c r="AV1039" s="30"/>
      <c r="AW1039" s="30"/>
      <c r="AX1039" s="30"/>
      <c r="AY1039" s="30"/>
      <c r="AZ1039" s="30"/>
      <c r="BA1039" s="30"/>
      <c r="BB1039" s="30"/>
      <c r="BC1039" s="30"/>
      <c r="BD1039" s="30"/>
      <c r="BE1039" s="30"/>
      <c r="BF1039" s="30"/>
      <c r="BG1039" s="30"/>
      <c r="BH1039" s="30"/>
      <c r="BI1039" s="30"/>
      <c r="BJ1039" s="30"/>
      <c r="BK1039" s="30"/>
      <c r="BL1039" s="30"/>
      <c r="BM1039" s="30"/>
      <c r="BN1039" s="30"/>
      <c r="BO1039" s="30"/>
      <c r="BP1039" s="30"/>
      <c r="BQ1039" s="30"/>
      <c r="BR1039" s="30"/>
      <c r="BS1039" s="30"/>
      <c r="BT1039" s="30"/>
      <c r="BU1039" s="30"/>
      <c r="BV1039" s="30"/>
      <c r="BW1039" s="30"/>
      <c r="BX1039" s="30"/>
      <c r="BY1039" s="30"/>
      <c r="BZ1039" s="30"/>
      <c r="CA1039" s="30"/>
      <c r="CB1039" s="30"/>
      <c r="CC1039" s="30"/>
      <c r="CD1039" s="30"/>
      <c r="CE1039" s="30"/>
      <c r="CF1039" s="30"/>
      <c r="CG1039" s="30"/>
      <c r="CH1039" s="30"/>
      <c r="CI1039" s="30"/>
      <c r="CJ1039" s="30"/>
      <c r="CK1039" s="30"/>
      <c r="CL1039" s="30"/>
      <c r="CM1039" s="30"/>
      <c r="CN1039" s="30"/>
      <c r="CO1039" s="30"/>
      <c r="CP1039" s="30"/>
      <c r="CQ1039" s="30"/>
      <c r="CR1039" s="30"/>
      <c r="CS1039" s="30"/>
      <c r="CT1039" s="30"/>
      <c r="CU1039" s="30"/>
      <c r="CV1039" s="30"/>
      <c r="CW1039" s="30"/>
      <c r="CX1039" s="30"/>
      <c r="CY1039" s="30"/>
      <c r="CZ1039" s="30"/>
      <c r="DA1039" s="30"/>
      <c r="DB1039" s="30"/>
      <c r="DC1039" s="30"/>
      <c r="DD1039" s="30"/>
      <c r="DE1039" s="30"/>
      <c r="DF1039" s="30"/>
      <c r="DG1039" s="30"/>
      <c r="DH1039" s="30"/>
      <c r="DI1039" s="30"/>
      <c r="DJ1039" s="30"/>
      <c r="DK1039" s="30"/>
      <c r="DL1039" s="30"/>
      <c r="DM1039" s="30"/>
      <c r="DN1039" s="30"/>
      <c r="DO1039" s="30"/>
      <c r="DP1039" s="30"/>
      <c r="DQ1039" s="30"/>
      <c r="DR1039" s="30"/>
      <c r="DS1039" s="30"/>
      <c r="DT1039" s="30"/>
      <c r="DU1039" s="30"/>
      <c r="DV1039" s="30"/>
      <c r="DW1039" s="30"/>
      <c r="DX1039" s="30"/>
      <c r="DY1039" s="30"/>
      <c r="DZ1039" s="30"/>
      <c r="EA1039" s="30"/>
      <c r="EB1039" s="30"/>
      <c r="EC1039" s="30"/>
      <c r="ED1039" s="30"/>
      <c r="EE1039" s="30"/>
    </row>
    <row r="1040" spans="1:135" ht="15.75" customHeight="1" thickBot="1" x14ac:dyDescent="0.3">
      <c r="A1040" s="578" t="s">
        <v>4212</v>
      </c>
      <c r="B1040" s="8">
        <v>7497</v>
      </c>
      <c r="C1040" s="72" t="s">
        <v>4207</v>
      </c>
      <c r="D1040" s="10" t="s">
        <v>24</v>
      </c>
      <c r="E1040" s="11" t="s">
        <v>25</v>
      </c>
      <c r="F1040" s="20" t="s">
        <v>4208</v>
      </c>
      <c r="G1040" s="15" t="s">
        <v>4209</v>
      </c>
      <c r="H1040" s="148" t="s">
        <v>436</v>
      </c>
      <c r="I1040" s="18" t="s">
        <v>4210</v>
      </c>
      <c r="J1040" s="18" t="s">
        <v>4211</v>
      </c>
      <c r="K1040" s="33" t="s">
        <v>4213</v>
      </c>
      <c r="L1040" s="25" t="str">
        <f>"RUTL-"&amp;RIGHT(K1040,8)</f>
        <v>RUTL-806023CF</v>
      </c>
      <c r="M1040" s="34" t="s">
        <v>40</v>
      </c>
      <c r="N1040" s="39" t="s">
        <v>43</v>
      </c>
      <c r="O1040" s="23"/>
      <c r="P1040" s="39" t="s">
        <v>90</v>
      </c>
      <c r="Q1040" s="243" t="s">
        <v>4214</v>
      </c>
      <c r="R1040" s="15" t="s">
        <v>56</v>
      </c>
      <c r="S1040" s="41" t="s">
        <v>296</v>
      </c>
      <c r="T1040" s="105" t="s">
        <v>148</v>
      </c>
      <c r="U1040" s="39" t="s">
        <v>2093</v>
      </c>
      <c r="V1040" s="23"/>
      <c r="W1040" s="23" t="s">
        <v>441</v>
      </c>
      <c r="X1040" s="71"/>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c r="BA1040" s="5"/>
      <c r="BB1040" s="5"/>
      <c r="BC1040" s="5"/>
      <c r="BD1040" s="5"/>
      <c r="BE1040" s="5"/>
      <c r="BF1040" s="5"/>
      <c r="BG1040" s="5"/>
      <c r="BH1040" s="5"/>
      <c r="BI1040" s="5"/>
      <c r="BJ1040" s="5"/>
      <c r="BK1040" s="5"/>
      <c r="BL1040" s="5"/>
      <c r="BM1040" s="5"/>
      <c r="BN1040" s="5"/>
      <c r="BO1040" s="5"/>
      <c r="BP1040" s="5"/>
      <c r="BQ1040" s="5"/>
      <c r="BR1040" s="5"/>
      <c r="BS1040" s="5"/>
      <c r="BT1040" s="5"/>
      <c r="BU1040" s="5"/>
      <c r="BV1040" s="5"/>
      <c r="BW1040" s="5"/>
      <c r="BX1040" s="5"/>
      <c r="BY1040" s="5"/>
      <c r="BZ1040" s="5"/>
      <c r="CA1040" s="5"/>
      <c r="CB1040" s="5"/>
      <c r="CC1040" s="5"/>
      <c r="CD1040" s="5"/>
      <c r="CE1040" s="5"/>
      <c r="CF1040" s="5"/>
      <c r="CG1040" s="5"/>
      <c r="CH1040" s="5"/>
      <c r="CI1040" s="5"/>
      <c r="CJ1040" s="5"/>
      <c r="CK1040" s="5"/>
      <c r="CL1040" s="5"/>
      <c r="CM1040" s="5"/>
      <c r="CN1040" s="5"/>
      <c r="CO1040" s="5"/>
      <c r="CP1040" s="5"/>
      <c r="CQ1040" s="5"/>
      <c r="CR1040" s="5"/>
      <c r="CS1040" s="5"/>
      <c r="CT1040" s="5"/>
      <c r="CU1040" s="5"/>
      <c r="CV1040" s="5"/>
      <c r="CW1040" s="5"/>
      <c r="CX1040" s="5"/>
      <c r="CY1040" s="5"/>
      <c r="CZ1040" s="5"/>
      <c r="DA1040" s="5"/>
      <c r="DB1040" s="5"/>
      <c r="DC1040" s="5"/>
      <c r="DD1040" s="5"/>
      <c r="DE1040" s="5"/>
      <c r="DF1040" s="5"/>
      <c r="DG1040" s="5"/>
      <c r="DH1040" s="5"/>
      <c r="DI1040" s="5"/>
      <c r="DJ1040" s="5"/>
      <c r="DK1040" s="5"/>
      <c r="DL1040" s="5"/>
      <c r="DM1040" s="5"/>
      <c r="DN1040" s="5"/>
      <c r="DO1040" s="5"/>
      <c r="DP1040" s="5"/>
      <c r="DQ1040" s="5"/>
      <c r="DR1040" s="5"/>
      <c r="DS1040" s="5"/>
      <c r="DT1040" s="5"/>
      <c r="DU1040" s="5"/>
      <c r="DV1040" s="5"/>
      <c r="DW1040" s="5"/>
      <c r="DX1040" s="5"/>
      <c r="DY1040" s="5"/>
      <c r="DZ1040" s="5"/>
      <c r="EA1040" s="5"/>
      <c r="EB1040" s="5"/>
      <c r="EC1040" s="5"/>
      <c r="ED1040" s="5"/>
      <c r="EE1040" s="5"/>
    </row>
    <row r="1041" spans="1:135" ht="15.75" customHeight="1" x14ac:dyDescent="0.25">
      <c r="A1041" s="578" t="s">
        <v>5102</v>
      </c>
      <c r="B1041" s="16">
        <v>11819</v>
      </c>
      <c r="C1041" s="72" t="s">
        <v>5099</v>
      </c>
      <c r="D1041" s="10" t="s">
        <v>24</v>
      </c>
      <c r="E1041" s="11" t="s">
        <v>25</v>
      </c>
      <c r="F1041" s="20" t="s">
        <v>5100</v>
      </c>
      <c r="G1041" s="15" t="s">
        <v>4209</v>
      </c>
      <c r="H1041" s="148" t="s">
        <v>436</v>
      </c>
      <c r="I1041" s="18" t="s">
        <v>5101</v>
      </c>
      <c r="J1041" s="18" t="s">
        <v>4211</v>
      </c>
      <c r="K1041" s="23" t="s">
        <v>5103</v>
      </c>
      <c r="L1041" s="25" t="str">
        <f>"RUTL-"&amp;RIGHT(K1041,8)</f>
        <v>RUTL-806023DS</v>
      </c>
      <c r="M1041" s="34" t="s">
        <v>40</v>
      </c>
      <c r="N1041" s="23" t="s">
        <v>43</v>
      </c>
      <c r="O1041" s="23"/>
      <c r="P1041" s="39" t="s">
        <v>90</v>
      </c>
      <c r="Q1041" s="63" t="s">
        <v>5104</v>
      </c>
      <c r="R1041" s="15" t="s">
        <v>56</v>
      </c>
      <c r="S1041" s="41" t="s">
        <v>296</v>
      </c>
      <c r="T1041" s="105" t="s">
        <v>148</v>
      </c>
      <c r="U1041" s="39" t="s">
        <v>2093</v>
      </c>
      <c r="V1041" s="23"/>
      <c r="W1041" s="23" t="s">
        <v>441</v>
      </c>
      <c r="X1041" s="214"/>
    </row>
    <row r="1042" spans="1:135" ht="26.25" thickBot="1" x14ac:dyDescent="0.3">
      <c r="A1042" s="578" t="s">
        <v>6183</v>
      </c>
      <c r="B1042" s="399" t="s">
        <v>6156</v>
      </c>
      <c r="C1042" s="157" t="s">
        <v>6173</v>
      </c>
      <c r="D1042" s="163" t="s">
        <v>915</v>
      </c>
      <c r="E1042" s="122" t="s">
        <v>6174</v>
      </c>
      <c r="F1042" s="162"/>
      <c r="G1042" s="15" t="s">
        <v>6177</v>
      </c>
      <c r="H1042" s="402" t="s">
        <v>6178</v>
      </c>
      <c r="I1042" s="365" t="s">
        <v>6180</v>
      </c>
      <c r="J1042" s="365" t="s">
        <v>6181</v>
      </c>
      <c r="K1042" s="14" t="s">
        <v>6185</v>
      </c>
      <c r="L1042" s="164" t="str">
        <f>"RUTL-"&amp;RIGHT(K1042,8)</f>
        <v>RUTL-1B057075</v>
      </c>
      <c r="M1042" s="159"/>
      <c r="N1042" s="159"/>
      <c r="O1042" s="159"/>
      <c r="P1042" s="159"/>
      <c r="Q1042" s="159" t="s">
        <v>6186</v>
      </c>
      <c r="R1042" s="159"/>
      <c r="S1042" s="159"/>
      <c r="T1042" s="159"/>
      <c r="U1042" s="159"/>
      <c r="V1042" s="159"/>
      <c r="W1042" s="159"/>
      <c r="X1042" s="214"/>
    </row>
    <row r="1043" spans="1:135" ht="15.75" customHeight="1" thickBot="1" x14ac:dyDescent="0.3">
      <c r="A1043" s="578" t="s">
        <v>5845</v>
      </c>
      <c r="B1043" s="8">
        <v>14493</v>
      </c>
      <c r="C1043" s="167" t="s">
        <v>5843</v>
      </c>
      <c r="D1043" s="10" t="s">
        <v>2430</v>
      </c>
      <c r="E1043" s="11" t="s">
        <v>25</v>
      </c>
      <c r="F1043" s="20" t="s">
        <v>5844</v>
      </c>
      <c r="G1043" s="15" t="s">
        <v>2764</v>
      </c>
      <c r="H1043" s="22" t="s">
        <v>1547</v>
      </c>
      <c r="I1043" s="18" t="s">
        <v>135</v>
      </c>
      <c r="J1043" s="18" t="s">
        <v>1618</v>
      </c>
      <c r="K1043" s="23" t="s">
        <v>5846</v>
      </c>
      <c r="L1043" s="25" t="str">
        <f>"RUTL-"&amp;RIGHT(K1043,8)</f>
        <v>RUTL-PC00NVWW</v>
      </c>
      <c r="M1043" s="34" t="s">
        <v>40</v>
      </c>
      <c r="N1043" s="15" t="s">
        <v>319</v>
      </c>
      <c r="O1043" s="227"/>
      <c r="P1043" s="23"/>
      <c r="Q1043" s="113"/>
      <c r="R1043" s="23"/>
      <c r="S1043" s="23"/>
      <c r="T1043" s="107" t="s">
        <v>453</v>
      </c>
      <c r="U1043" s="23" t="s">
        <v>2436</v>
      </c>
      <c r="V1043" s="23"/>
      <c r="W1043" s="23"/>
      <c r="X1043" s="71"/>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c r="DN1043" s="5"/>
      <c r="DO1043" s="5"/>
      <c r="DP1043" s="5"/>
      <c r="DQ1043" s="5"/>
      <c r="DR1043" s="5"/>
      <c r="DS1043" s="5"/>
      <c r="DT1043" s="5"/>
      <c r="DU1043" s="5"/>
      <c r="DV1043" s="5"/>
      <c r="DW1043" s="5"/>
      <c r="DX1043" s="5"/>
      <c r="DY1043" s="5"/>
      <c r="DZ1043" s="5"/>
      <c r="EA1043" s="5"/>
      <c r="EB1043" s="5"/>
      <c r="EC1043" s="5"/>
      <c r="ED1043" s="5"/>
      <c r="EE1043" s="5"/>
    </row>
    <row r="1044" spans="1:135" ht="15.75" customHeight="1" thickBot="1" x14ac:dyDescent="0.3">
      <c r="A1044" s="578" t="s">
        <v>7618</v>
      </c>
      <c r="B1044" s="428" t="s">
        <v>7615</v>
      </c>
      <c r="C1044" s="432" t="s">
        <v>7616</v>
      </c>
      <c r="D1044" s="140" t="s">
        <v>581</v>
      </c>
      <c r="E1044" s="11" t="s">
        <v>25</v>
      </c>
      <c r="F1044" s="20" t="s">
        <v>7617</v>
      </c>
      <c r="G1044" s="15" t="s">
        <v>1351</v>
      </c>
      <c r="H1044" s="22" t="s">
        <v>5065</v>
      </c>
      <c r="I1044" s="24" t="s">
        <v>135</v>
      </c>
      <c r="J1044" s="24" t="s">
        <v>1618</v>
      </c>
      <c r="K1044" s="23" t="s">
        <v>7619</v>
      </c>
      <c r="L1044" s="21" t="str">
        <f>"RUTL-"&amp;RIGHT(K1044,8)</f>
        <v>RUTL-PC00NVWH</v>
      </c>
      <c r="M1044" s="34" t="s">
        <v>40</v>
      </c>
      <c r="N1044" s="15" t="s">
        <v>319</v>
      </c>
      <c r="O1044" s="23"/>
      <c r="P1044" s="39" t="s">
        <v>90</v>
      </c>
      <c r="Q1044" s="63" t="s">
        <v>7620</v>
      </c>
      <c r="R1044" s="15" t="s">
        <v>235</v>
      </c>
      <c r="S1044" s="40" t="s">
        <v>57</v>
      </c>
      <c r="T1044" s="23" t="s">
        <v>7621</v>
      </c>
      <c r="U1044" s="39" t="s">
        <v>911</v>
      </c>
      <c r="V1044" s="48"/>
      <c r="W1044" s="23"/>
      <c r="X1044" s="71"/>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c r="DV1044" s="5"/>
      <c r="DW1044" s="5"/>
      <c r="DX1044" s="5"/>
      <c r="DY1044" s="5"/>
      <c r="DZ1044" s="5"/>
      <c r="EA1044" s="5"/>
      <c r="EB1044" s="5"/>
      <c r="EC1044" s="5"/>
      <c r="ED1044" s="5"/>
      <c r="EE1044" s="5"/>
    </row>
    <row r="1045" spans="1:135" ht="27.75" customHeight="1" thickBot="1" x14ac:dyDescent="0.3">
      <c r="A1045" s="578" t="s">
        <v>1356</v>
      </c>
      <c r="B1045" s="438">
        <v>15086</v>
      </c>
      <c r="C1045" s="52" t="s">
        <v>1347</v>
      </c>
      <c r="D1045" s="10" t="s">
        <v>24</v>
      </c>
      <c r="E1045" s="11" t="s">
        <v>25</v>
      </c>
      <c r="F1045" s="20" t="s">
        <v>1350</v>
      </c>
      <c r="G1045" s="15" t="s">
        <v>1351</v>
      </c>
      <c r="H1045" s="102" t="s">
        <v>97</v>
      </c>
      <c r="I1045" s="54" t="s">
        <v>135</v>
      </c>
      <c r="J1045" s="18" t="s">
        <v>1353</v>
      </c>
      <c r="K1045" s="23" t="s">
        <v>1359</v>
      </c>
      <c r="L1045" s="21" t="str">
        <f>"RUTL-"&amp;RIGHT(K1045,8)</f>
        <v>RUTL-PF077DN8</v>
      </c>
      <c r="M1045" s="34" t="s">
        <v>40</v>
      </c>
      <c r="N1045" s="23"/>
      <c r="O1045" s="23"/>
      <c r="P1045" s="39" t="s">
        <v>90</v>
      </c>
      <c r="Q1045" s="243" t="s">
        <v>1364</v>
      </c>
      <c r="R1045" s="15" t="s">
        <v>56</v>
      </c>
      <c r="S1045" s="37" t="s">
        <v>57</v>
      </c>
      <c r="T1045" s="105" t="s">
        <v>148</v>
      </c>
      <c r="U1045" s="39" t="s">
        <v>476</v>
      </c>
      <c r="V1045" s="44"/>
      <c r="W1045" s="23"/>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c r="CA1045" s="6"/>
      <c r="CB1045" s="6"/>
      <c r="CC1045" s="6"/>
      <c r="CD1045" s="6"/>
      <c r="CE1045" s="6"/>
      <c r="CF1045" s="6"/>
      <c r="CG1045" s="6"/>
      <c r="CH1045" s="6"/>
      <c r="CI1045" s="6"/>
      <c r="CJ1045" s="6"/>
      <c r="CK1045" s="6"/>
      <c r="CL1045" s="6"/>
      <c r="CM1045" s="6"/>
      <c r="CN1045" s="6"/>
      <c r="CO1045" s="6"/>
      <c r="CP1045" s="6"/>
      <c r="CQ1045" s="6"/>
      <c r="CR1045" s="6"/>
      <c r="CS1045" s="6"/>
      <c r="CT1045" s="6"/>
      <c r="CU1045" s="6"/>
      <c r="CV1045" s="6"/>
      <c r="CW1045" s="6"/>
      <c r="CX1045" s="6"/>
      <c r="CY1045" s="6"/>
      <c r="CZ1045" s="6"/>
      <c r="DA1045" s="6"/>
      <c r="DB1045" s="6"/>
      <c r="DC1045" s="6"/>
      <c r="DD1045" s="6"/>
      <c r="DE1045" s="6"/>
      <c r="DF1045" s="6"/>
      <c r="DG1045" s="6"/>
      <c r="DH1045" s="6"/>
      <c r="DI1045" s="6"/>
      <c r="DJ1045" s="6"/>
      <c r="DK1045" s="6"/>
      <c r="DL1045" s="6"/>
      <c r="DM1045" s="6"/>
      <c r="DN1045" s="6"/>
      <c r="DO1045" s="6"/>
      <c r="DP1045" s="6"/>
      <c r="DQ1045" s="6"/>
      <c r="DR1045" s="6"/>
      <c r="DS1045" s="6"/>
      <c r="DT1045" s="6"/>
      <c r="DU1045" s="6"/>
      <c r="DV1045" s="6"/>
      <c r="DW1045" s="6"/>
      <c r="DX1045" s="6"/>
      <c r="DY1045" s="6"/>
      <c r="DZ1045" s="6"/>
      <c r="EA1045" s="6"/>
      <c r="EB1045" s="6"/>
      <c r="EC1045" s="6"/>
      <c r="ED1045" s="6"/>
      <c r="EE1045" s="6"/>
    </row>
    <row r="1046" spans="1:135" ht="57" customHeight="1" thickBot="1" x14ac:dyDescent="0.3">
      <c r="A1046" s="578" t="s">
        <v>5775</v>
      </c>
      <c r="B1046" s="51">
        <v>13834</v>
      </c>
      <c r="C1046" s="72" t="s">
        <v>5771</v>
      </c>
      <c r="D1046" s="10" t="s">
        <v>5772</v>
      </c>
      <c r="E1046" s="11" t="s">
        <v>25</v>
      </c>
      <c r="F1046" s="20" t="s">
        <v>5773</v>
      </c>
      <c r="G1046" s="15" t="s">
        <v>5774</v>
      </c>
      <c r="H1046" s="17" t="s">
        <v>470</v>
      </c>
      <c r="I1046" s="18" t="s">
        <v>38</v>
      </c>
      <c r="J1046" s="18" t="s">
        <v>2780</v>
      </c>
      <c r="K1046" s="124" t="s">
        <v>5776</v>
      </c>
      <c r="L1046" s="25" t="str">
        <f>"RUTL-"&amp;RIGHT(K1046,8)</f>
        <v>RUTL-PF07168K</v>
      </c>
      <c r="M1046" s="34" t="s">
        <v>40</v>
      </c>
      <c r="N1046" s="23" t="s">
        <v>43</v>
      </c>
      <c r="O1046" s="23"/>
      <c r="P1046" s="39" t="s">
        <v>90</v>
      </c>
      <c r="Q1046" s="188" t="s">
        <v>5777</v>
      </c>
      <c r="R1046" s="121" t="s">
        <v>56</v>
      </c>
      <c r="S1046" s="40" t="s">
        <v>57</v>
      </c>
      <c r="T1046" s="107" t="s">
        <v>273</v>
      </c>
      <c r="U1046" s="39" t="s">
        <v>274</v>
      </c>
      <c r="V1046" s="23"/>
      <c r="W1046" s="23"/>
      <c r="X1046" s="209"/>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c r="CA1046" s="6"/>
      <c r="CB1046" s="6"/>
      <c r="CC1046" s="6"/>
      <c r="CD1046" s="6"/>
      <c r="CE1046" s="6"/>
      <c r="CF1046" s="6"/>
      <c r="CG1046" s="6"/>
      <c r="CH1046" s="6"/>
      <c r="CI1046" s="6"/>
      <c r="CJ1046" s="6"/>
      <c r="CK1046" s="6"/>
      <c r="CL1046" s="6"/>
      <c r="CM1046" s="6"/>
      <c r="CN1046" s="6"/>
      <c r="CO1046" s="6"/>
      <c r="CP1046" s="6"/>
      <c r="CQ1046" s="6"/>
      <c r="CR1046" s="6"/>
      <c r="CS1046" s="6"/>
      <c r="CT1046" s="6"/>
      <c r="CU1046" s="6"/>
      <c r="CV1046" s="6"/>
      <c r="CW1046" s="6"/>
      <c r="CX1046" s="6"/>
      <c r="CY1046" s="6"/>
      <c r="CZ1046" s="6"/>
      <c r="DA1046" s="6"/>
      <c r="DB1046" s="6"/>
      <c r="DC1046" s="6"/>
      <c r="DD1046" s="6"/>
      <c r="DE1046" s="6"/>
      <c r="DF1046" s="6"/>
      <c r="DG1046" s="6"/>
      <c r="DH1046" s="6"/>
      <c r="DI1046" s="6"/>
      <c r="DJ1046" s="6"/>
      <c r="DK1046" s="6"/>
      <c r="DL1046" s="6"/>
      <c r="DM1046" s="6"/>
      <c r="DN1046" s="6"/>
      <c r="DO1046" s="6"/>
      <c r="DP1046" s="6"/>
      <c r="DQ1046" s="6"/>
      <c r="DR1046" s="6"/>
      <c r="DS1046" s="6"/>
      <c r="DT1046" s="6"/>
      <c r="DU1046" s="6"/>
      <c r="DV1046" s="6"/>
      <c r="DW1046" s="6"/>
      <c r="DX1046" s="6"/>
      <c r="DY1046" s="6"/>
      <c r="DZ1046" s="6"/>
      <c r="EA1046" s="6"/>
      <c r="EB1046" s="6"/>
      <c r="EC1046" s="6"/>
      <c r="ED1046" s="6"/>
      <c r="EE1046" s="6"/>
    </row>
    <row r="1047" spans="1:135" ht="15.75" customHeight="1" thickBot="1" x14ac:dyDescent="0.3">
      <c r="A1047" s="578" t="s">
        <v>2151</v>
      </c>
      <c r="B1047" s="90" t="s">
        <v>1849</v>
      </c>
      <c r="C1047" s="90" t="s">
        <v>1849</v>
      </c>
      <c r="D1047" s="27" t="s">
        <v>2139</v>
      </c>
      <c r="E1047" s="11" t="s">
        <v>25</v>
      </c>
      <c r="F1047" s="20" t="s">
        <v>2144</v>
      </c>
      <c r="G1047" s="15" t="s">
        <v>1170</v>
      </c>
      <c r="H1047" s="267" t="s">
        <v>1646</v>
      </c>
      <c r="I1047" s="18" t="s">
        <v>135</v>
      </c>
      <c r="J1047" s="18" t="s">
        <v>565</v>
      </c>
      <c r="K1047" s="124" t="s">
        <v>2155</v>
      </c>
      <c r="L1047" s="127" t="str">
        <f>"RUTL-"&amp;RIGHT(K1047,8)</f>
        <v>RUTL-2QNPG22</v>
      </c>
      <c r="M1047" s="129" t="s">
        <v>40</v>
      </c>
      <c r="N1047" s="23" t="s">
        <v>43</v>
      </c>
      <c r="O1047" s="23"/>
      <c r="P1047" s="39" t="s">
        <v>90</v>
      </c>
      <c r="Q1047" s="39" t="s">
        <v>2160</v>
      </c>
      <c r="R1047" s="121" t="s">
        <v>56</v>
      </c>
      <c r="S1047" s="37" t="s">
        <v>57</v>
      </c>
      <c r="T1047" s="107" t="s">
        <v>2164</v>
      </c>
      <c r="U1047" s="39" t="s">
        <v>2165</v>
      </c>
      <c r="V1047" s="170">
        <v>42438</v>
      </c>
      <c r="W1047" s="23"/>
      <c r="X1047" s="71"/>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c r="BQ1047" s="5"/>
      <c r="BR1047" s="5"/>
      <c r="BS1047" s="5"/>
      <c r="BT1047" s="5"/>
      <c r="BU1047" s="5"/>
      <c r="BV1047" s="5"/>
      <c r="BW1047" s="5"/>
      <c r="BX1047" s="5"/>
      <c r="BY1047" s="5"/>
      <c r="BZ1047" s="5"/>
      <c r="CA1047" s="5"/>
      <c r="CB1047" s="5"/>
      <c r="CC1047" s="5"/>
      <c r="CD1047" s="5"/>
      <c r="CE1047" s="5"/>
      <c r="CF1047" s="5"/>
      <c r="CG1047" s="5"/>
      <c r="CH1047" s="5"/>
      <c r="CI1047" s="5"/>
      <c r="CJ1047" s="5"/>
      <c r="CK1047" s="5"/>
      <c r="CL1047" s="5"/>
      <c r="CM1047" s="5"/>
      <c r="CN1047" s="5"/>
      <c r="CO1047" s="5"/>
      <c r="CP1047" s="5"/>
      <c r="CQ1047" s="5"/>
      <c r="CR1047" s="5"/>
      <c r="CS1047" s="5"/>
      <c r="CT1047" s="5"/>
      <c r="CU1047" s="5"/>
      <c r="CV1047" s="5"/>
      <c r="CW1047" s="5"/>
      <c r="CX1047" s="5"/>
      <c r="CY1047" s="5"/>
      <c r="CZ1047" s="5"/>
      <c r="DA1047" s="5"/>
      <c r="DB1047" s="5"/>
      <c r="DC1047" s="5"/>
      <c r="DD1047" s="5"/>
      <c r="DE1047" s="5"/>
      <c r="DF1047" s="5"/>
      <c r="DG1047" s="5"/>
      <c r="DH1047" s="5"/>
      <c r="DI1047" s="5"/>
      <c r="DJ1047" s="5"/>
      <c r="DK1047" s="5"/>
      <c r="DL1047" s="5"/>
      <c r="DM1047" s="5"/>
      <c r="DN1047" s="5"/>
      <c r="DO1047" s="5"/>
      <c r="DP1047" s="5"/>
      <c r="DQ1047" s="5"/>
      <c r="DR1047" s="5"/>
      <c r="DS1047" s="5"/>
      <c r="DT1047" s="5"/>
      <c r="DU1047" s="5"/>
      <c r="DV1047" s="5"/>
      <c r="DW1047" s="5"/>
      <c r="DX1047" s="5"/>
      <c r="DY1047" s="5"/>
      <c r="DZ1047" s="5"/>
      <c r="EA1047" s="5"/>
      <c r="EB1047" s="5"/>
      <c r="EC1047" s="5"/>
      <c r="ED1047" s="5"/>
      <c r="EE1047" s="5"/>
    </row>
    <row r="1048" spans="1:135" ht="27.75" customHeight="1" x14ac:dyDescent="0.25">
      <c r="A1048" s="578" t="s">
        <v>5066</v>
      </c>
      <c r="B1048" s="16">
        <v>11582</v>
      </c>
      <c r="C1048" s="167" t="s">
        <v>5062</v>
      </c>
      <c r="D1048" s="140" t="s">
        <v>5063</v>
      </c>
      <c r="E1048" s="11" t="s">
        <v>25</v>
      </c>
      <c r="F1048" s="20" t="s">
        <v>5064</v>
      </c>
      <c r="G1048" s="15" t="s">
        <v>1698</v>
      </c>
      <c r="H1048" s="22" t="s">
        <v>5065</v>
      </c>
      <c r="I1048" s="142" t="s">
        <v>135</v>
      </c>
      <c r="J1048" s="18" t="s">
        <v>565</v>
      </c>
      <c r="K1048" s="23" t="s">
        <v>5067</v>
      </c>
      <c r="L1048" s="25" t="str">
        <f>"RUTL-"&amp;RIGHT(K1048,8)</f>
        <v>RUTL-7RNPG22</v>
      </c>
      <c r="M1048" s="34" t="s">
        <v>40</v>
      </c>
      <c r="N1048" s="39" t="s">
        <v>414</v>
      </c>
      <c r="O1048" s="372" t="s">
        <v>5068</v>
      </c>
      <c r="P1048" s="39" t="s">
        <v>90</v>
      </c>
      <c r="Q1048" s="63" t="s">
        <v>5069</v>
      </c>
      <c r="R1048" s="15" t="s">
        <v>56</v>
      </c>
      <c r="S1048" s="37" t="s">
        <v>57</v>
      </c>
      <c r="T1048" s="105" t="s">
        <v>148</v>
      </c>
      <c r="U1048" s="39" t="s">
        <v>3091</v>
      </c>
      <c r="V1048" s="170">
        <v>42438</v>
      </c>
      <c r="W1048" s="23"/>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c r="BR1048" s="5"/>
      <c r="BS1048" s="5"/>
      <c r="BT1048" s="5"/>
      <c r="BU1048" s="5"/>
      <c r="BV1048" s="5"/>
      <c r="BW1048" s="5"/>
      <c r="BX1048" s="5"/>
      <c r="BY1048" s="5"/>
      <c r="BZ1048" s="5"/>
      <c r="CA1048" s="5"/>
      <c r="CB1048" s="5"/>
      <c r="CC1048" s="5"/>
      <c r="CD1048" s="5"/>
      <c r="CE1048" s="5"/>
      <c r="CF1048" s="5"/>
      <c r="CG1048" s="5"/>
      <c r="CH1048" s="5"/>
      <c r="CI1048" s="5"/>
      <c r="CJ1048" s="5"/>
      <c r="CK1048" s="5"/>
      <c r="CL1048" s="5"/>
      <c r="CM1048" s="5"/>
      <c r="CN1048" s="5"/>
      <c r="CO1048" s="5"/>
      <c r="CP1048" s="5"/>
      <c r="CQ1048" s="5"/>
      <c r="CR1048" s="5"/>
      <c r="CS1048" s="5"/>
      <c r="CT1048" s="5"/>
      <c r="CU1048" s="5"/>
      <c r="CV1048" s="5"/>
      <c r="CW1048" s="5"/>
      <c r="CX1048" s="5"/>
      <c r="CY1048" s="5"/>
      <c r="CZ1048" s="5"/>
      <c r="DA1048" s="5"/>
      <c r="DB1048" s="5"/>
      <c r="DC1048" s="5"/>
      <c r="DD1048" s="5"/>
      <c r="DE1048" s="5"/>
      <c r="DF1048" s="5"/>
      <c r="DG1048" s="5"/>
      <c r="DH1048" s="5"/>
      <c r="DI1048" s="5"/>
      <c r="DJ1048" s="5"/>
      <c r="DK1048" s="5"/>
      <c r="DL1048" s="5"/>
      <c r="DM1048" s="5"/>
      <c r="DN1048" s="5"/>
      <c r="DO1048" s="5"/>
      <c r="DP1048" s="5"/>
      <c r="DQ1048" s="5"/>
      <c r="DR1048" s="5"/>
      <c r="DS1048" s="5"/>
      <c r="DT1048" s="5"/>
      <c r="DU1048" s="5"/>
      <c r="DV1048" s="5"/>
      <c r="DW1048" s="5"/>
      <c r="DX1048" s="5"/>
      <c r="DY1048" s="5"/>
      <c r="DZ1048" s="5"/>
      <c r="EA1048" s="5"/>
      <c r="EB1048" s="5"/>
      <c r="EC1048" s="5"/>
      <c r="ED1048" s="5"/>
      <c r="EE1048" s="5"/>
    </row>
    <row r="1049" spans="1:135" ht="32.25" thickBot="1" x14ac:dyDescent="0.3">
      <c r="A1049" s="578" t="s">
        <v>566</v>
      </c>
      <c r="B1049" s="8">
        <v>244</v>
      </c>
      <c r="C1049" s="167" t="s">
        <v>561</v>
      </c>
      <c r="D1049" s="15" t="s">
        <v>24</v>
      </c>
      <c r="E1049" s="11" t="s">
        <v>25</v>
      </c>
      <c r="F1049" s="20" t="s">
        <v>562</v>
      </c>
      <c r="G1049" s="15" t="s">
        <v>563</v>
      </c>
      <c r="H1049" s="22" t="s">
        <v>564</v>
      </c>
      <c r="I1049" s="54" t="s">
        <v>135</v>
      </c>
      <c r="J1049" s="18" t="s">
        <v>565</v>
      </c>
      <c r="K1049" s="23" t="s">
        <v>568</v>
      </c>
      <c r="L1049" s="25" t="str">
        <f>"RUTL-"&amp;RIGHT(K1049,8)</f>
        <v>RUTL-FPNPG22</v>
      </c>
      <c r="M1049" s="34" t="s">
        <v>40</v>
      </c>
      <c r="N1049" s="15" t="s">
        <v>319</v>
      </c>
      <c r="O1049" s="23"/>
      <c r="P1049" s="39" t="s">
        <v>90</v>
      </c>
      <c r="Q1049" s="63" t="s">
        <v>569</v>
      </c>
      <c r="R1049" s="15" t="s">
        <v>56</v>
      </c>
      <c r="S1049" s="37" t="s">
        <v>57</v>
      </c>
      <c r="T1049" s="23"/>
      <c r="U1049" s="39" t="s">
        <v>570</v>
      </c>
      <c r="V1049" s="170">
        <v>42438</v>
      </c>
      <c r="W1049" s="171" t="s">
        <v>571</v>
      </c>
      <c r="X1049" s="30"/>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c r="BR1049" s="5"/>
      <c r="BS1049" s="5"/>
      <c r="BT1049" s="5"/>
      <c r="BU1049" s="5"/>
      <c r="BV1049" s="5"/>
      <c r="BW1049" s="5"/>
      <c r="BX1049" s="5"/>
      <c r="BY1049" s="5"/>
      <c r="BZ1049" s="5"/>
      <c r="CA1049" s="5"/>
      <c r="CB1049" s="5"/>
      <c r="CC1049" s="5"/>
      <c r="CD1049" s="5"/>
      <c r="CE1049" s="5"/>
      <c r="CF1049" s="5"/>
      <c r="CG1049" s="5"/>
      <c r="CH1049" s="5"/>
      <c r="CI1049" s="5"/>
      <c r="CJ1049" s="5"/>
      <c r="CK1049" s="5"/>
      <c r="CL1049" s="5"/>
      <c r="CM1049" s="5"/>
      <c r="CN1049" s="5"/>
      <c r="CO1049" s="5"/>
      <c r="CP1049" s="5"/>
      <c r="CQ1049" s="5"/>
      <c r="CR1049" s="5"/>
      <c r="CS1049" s="5"/>
      <c r="CT1049" s="5"/>
      <c r="CU1049" s="5"/>
      <c r="CV1049" s="5"/>
      <c r="CW1049" s="5"/>
      <c r="CX1049" s="5"/>
      <c r="CY1049" s="5"/>
      <c r="CZ1049" s="5"/>
      <c r="DA1049" s="5"/>
      <c r="DB1049" s="5"/>
      <c r="DC1049" s="5"/>
      <c r="DD1049" s="5"/>
      <c r="DE1049" s="5"/>
      <c r="DF1049" s="5"/>
      <c r="DG1049" s="5"/>
      <c r="DH1049" s="5"/>
      <c r="DI1049" s="5"/>
      <c r="DJ1049" s="5"/>
      <c r="DK1049" s="5"/>
      <c r="DL1049" s="5"/>
      <c r="DM1049" s="5"/>
      <c r="DN1049" s="5"/>
      <c r="DO1049" s="5"/>
      <c r="DP1049" s="5"/>
      <c r="DQ1049" s="5"/>
      <c r="DR1049" s="5"/>
      <c r="DS1049" s="5"/>
      <c r="DT1049" s="5"/>
      <c r="DU1049" s="5"/>
      <c r="DV1049" s="5"/>
      <c r="DW1049" s="5"/>
      <c r="DX1049" s="5"/>
      <c r="DY1049" s="5"/>
      <c r="DZ1049" s="5"/>
      <c r="EA1049" s="5"/>
      <c r="EB1049" s="5"/>
      <c r="EC1049" s="5"/>
      <c r="ED1049" s="5"/>
      <c r="EE1049" s="5"/>
    </row>
    <row r="1050" spans="1:135" ht="15.75" customHeight="1" thickBot="1" x14ac:dyDescent="0.3">
      <c r="A1050" s="578" t="s">
        <v>1254</v>
      </c>
      <c r="B1050" s="217" t="s">
        <v>1224</v>
      </c>
      <c r="C1050" s="221" t="s">
        <v>1227</v>
      </c>
      <c r="D1050" s="140" t="s">
        <v>24</v>
      </c>
      <c r="E1050" s="28" t="s">
        <v>25</v>
      </c>
      <c r="F1050" s="20" t="s">
        <v>1230</v>
      </c>
      <c r="G1050" s="217" t="s">
        <v>1224</v>
      </c>
      <c r="H1050" s="102" t="s">
        <v>97</v>
      </c>
      <c r="I1050" s="142" t="s">
        <v>135</v>
      </c>
      <c r="J1050" s="18" t="s">
        <v>565</v>
      </c>
      <c r="K1050" s="250" t="s">
        <v>1259</v>
      </c>
      <c r="L1050" s="21" t="str">
        <f>"RUTL-"&amp;RIGHT(K1050,8)</f>
        <v>RUTL-1SCLG22</v>
      </c>
      <c r="M1050" s="34" t="s">
        <v>40</v>
      </c>
      <c r="N1050" s="23" t="s">
        <v>43</v>
      </c>
      <c r="O1050" s="23"/>
      <c r="P1050" s="39" t="s">
        <v>90</v>
      </c>
      <c r="Q1050" s="63" t="s">
        <v>146</v>
      </c>
      <c r="R1050" s="15" t="s">
        <v>56</v>
      </c>
      <c r="S1050" s="37" t="s">
        <v>57</v>
      </c>
      <c r="T1050" s="21" t="s">
        <v>453</v>
      </c>
      <c r="U1050" s="39" t="s">
        <v>1262</v>
      </c>
      <c r="V1050" s="242"/>
      <c r="W1050" s="23"/>
      <c r="X1050" s="214"/>
    </row>
    <row r="1051" spans="1:135" ht="27.75" customHeight="1" x14ac:dyDescent="0.25">
      <c r="A1051" s="578" t="s">
        <v>3687</v>
      </c>
      <c r="B1051" s="8">
        <v>5115</v>
      </c>
      <c r="C1051" s="72" t="s">
        <v>3683</v>
      </c>
      <c r="D1051" s="15" t="s">
        <v>3684</v>
      </c>
      <c r="E1051" s="11" t="s">
        <v>25</v>
      </c>
      <c r="F1051" s="20" t="s">
        <v>3685</v>
      </c>
      <c r="G1051" s="15" t="s">
        <v>3123</v>
      </c>
      <c r="H1051" s="119" t="s">
        <v>1071</v>
      </c>
      <c r="I1051" s="18" t="s">
        <v>350</v>
      </c>
      <c r="J1051" s="18" t="s">
        <v>3686</v>
      </c>
      <c r="K1051" s="33" t="s">
        <v>3688</v>
      </c>
      <c r="L1051" s="25" t="str">
        <f>"RUTL-"&amp;RIGHT(K1051,8)</f>
        <v>RUTL-S4N64184</v>
      </c>
      <c r="M1051" s="34" t="s">
        <v>40</v>
      </c>
      <c r="N1051" s="23"/>
      <c r="O1051" s="23"/>
      <c r="P1051" s="23"/>
      <c r="Q1051" s="113"/>
      <c r="R1051" s="15" t="s">
        <v>235</v>
      </c>
      <c r="S1051" s="57" t="s">
        <v>296</v>
      </c>
      <c r="T1051" s="23"/>
      <c r="U1051" s="23" t="s">
        <v>828</v>
      </c>
      <c r="V1051" s="23"/>
      <c r="W1051" s="23"/>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c r="CA1051" s="6"/>
      <c r="CB1051" s="6"/>
      <c r="CC1051" s="6"/>
      <c r="CD1051" s="6"/>
      <c r="CE1051" s="6"/>
      <c r="CF1051" s="6"/>
      <c r="CG1051" s="6"/>
      <c r="CH1051" s="6"/>
      <c r="CI1051" s="6"/>
      <c r="CJ1051" s="6"/>
      <c r="CK1051" s="6"/>
      <c r="CL1051" s="6"/>
      <c r="CM1051" s="6"/>
      <c r="CN1051" s="6"/>
      <c r="CO1051" s="6"/>
      <c r="CP1051" s="6"/>
      <c r="CQ1051" s="6"/>
      <c r="CR1051" s="6"/>
      <c r="CS1051" s="6"/>
      <c r="CT1051" s="6"/>
      <c r="CU1051" s="6"/>
      <c r="CV1051" s="6"/>
      <c r="CW1051" s="6"/>
      <c r="CX1051" s="6"/>
      <c r="CY1051" s="6"/>
      <c r="CZ1051" s="6"/>
      <c r="DA1051" s="6"/>
      <c r="DB1051" s="6"/>
      <c r="DC1051" s="6"/>
      <c r="DD1051" s="6"/>
      <c r="DE1051" s="6"/>
      <c r="DF1051" s="6"/>
      <c r="DG1051" s="6"/>
      <c r="DH1051" s="6"/>
      <c r="DI1051" s="6"/>
      <c r="DJ1051" s="6"/>
      <c r="DK1051" s="6"/>
      <c r="DL1051" s="6"/>
      <c r="DM1051" s="6"/>
      <c r="DN1051" s="6"/>
      <c r="DO1051" s="6"/>
      <c r="DP1051" s="6"/>
      <c r="DQ1051" s="6"/>
      <c r="DR1051" s="6"/>
      <c r="DS1051" s="6"/>
      <c r="DT1051" s="6"/>
      <c r="DU1051" s="6"/>
      <c r="DV1051" s="6"/>
      <c r="DW1051" s="6"/>
      <c r="DX1051" s="6"/>
      <c r="DY1051" s="6"/>
      <c r="DZ1051" s="6"/>
      <c r="EA1051" s="6"/>
      <c r="EB1051" s="6"/>
      <c r="EC1051" s="6"/>
      <c r="ED1051" s="6"/>
      <c r="EE1051" s="6"/>
    </row>
    <row r="1052" spans="1:135" ht="15.75" customHeight="1" x14ac:dyDescent="0.25">
      <c r="A1052" s="578" t="s">
        <v>1069</v>
      </c>
      <c r="B1052" s="23"/>
      <c r="C1052" s="99" t="s">
        <v>1064</v>
      </c>
      <c r="D1052" s="15" t="s">
        <v>1065</v>
      </c>
      <c r="E1052" s="23"/>
      <c r="F1052" s="23"/>
      <c r="G1052" s="23"/>
      <c r="H1052" s="17" t="s">
        <v>1066</v>
      </c>
      <c r="I1052" s="18" t="s">
        <v>135</v>
      </c>
      <c r="J1052" s="18" t="s">
        <v>1068</v>
      </c>
      <c r="K1052" s="23" t="s">
        <v>1073</v>
      </c>
      <c r="L1052" s="21" t="str">
        <f>"RUTL-"&amp;RIGHT(K1052,8)</f>
        <v>RUTL-99GPG22</v>
      </c>
      <c r="M1052" s="23"/>
      <c r="N1052" s="23"/>
      <c r="O1052" s="23"/>
      <c r="P1052" s="23"/>
      <c r="Q1052" s="23"/>
      <c r="R1052" s="23"/>
      <c r="S1052" s="23"/>
      <c r="T1052" s="23"/>
      <c r="U1052" s="23"/>
      <c r="V1052" s="23"/>
      <c r="W1052" s="23"/>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c r="CG1052" s="6"/>
      <c r="CH1052" s="6"/>
      <c r="CI1052" s="6"/>
      <c r="CJ1052" s="6"/>
      <c r="CK1052" s="6"/>
      <c r="CL1052" s="6"/>
      <c r="CM1052" s="6"/>
      <c r="CN1052" s="6"/>
      <c r="CO1052" s="6"/>
      <c r="CP1052" s="6"/>
      <c r="CQ1052" s="6"/>
      <c r="CR1052" s="6"/>
      <c r="CS1052" s="6"/>
      <c r="CT1052" s="6"/>
      <c r="CU1052" s="6"/>
      <c r="CV1052" s="6"/>
      <c r="CW1052" s="6"/>
      <c r="CX1052" s="6"/>
      <c r="CY1052" s="6"/>
      <c r="CZ1052" s="6"/>
      <c r="DA1052" s="6"/>
      <c r="DB1052" s="6"/>
      <c r="DC1052" s="6"/>
      <c r="DD1052" s="6"/>
      <c r="DE1052" s="6"/>
      <c r="DF1052" s="6"/>
      <c r="DG1052" s="6"/>
      <c r="DH1052" s="6"/>
      <c r="DI1052" s="6"/>
      <c r="DJ1052" s="6"/>
      <c r="DK1052" s="6"/>
      <c r="DL1052" s="6"/>
      <c r="DM1052" s="6"/>
      <c r="DN1052" s="6"/>
      <c r="DO1052" s="6"/>
      <c r="DP1052" s="6"/>
      <c r="DQ1052" s="6"/>
      <c r="DR1052" s="6"/>
      <c r="DS1052" s="6"/>
      <c r="DT1052" s="6"/>
      <c r="DU1052" s="6"/>
      <c r="DV1052" s="6"/>
      <c r="DW1052" s="6"/>
      <c r="DX1052" s="6"/>
      <c r="DY1052" s="6"/>
      <c r="DZ1052" s="6"/>
      <c r="EA1052" s="6"/>
      <c r="EB1052" s="6"/>
      <c r="EC1052" s="6"/>
      <c r="ED1052" s="6"/>
      <c r="EE1052" s="6"/>
    </row>
    <row r="1053" spans="1:135" ht="15.75" customHeight="1" thickBot="1" x14ac:dyDescent="0.3">
      <c r="A1053" s="578" t="s">
        <v>2765</v>
      </c>
      <c r="B1053" s="8">
        <v>1715</v>
      </c>
      <c r="C1053" s="167" t="s">
        <v>2762</v>
      </c>
      <c r="D1053" s="174" t="s">
        <v>1471</v>
      </c>
      <c r="E1053" s="11" t="s">
        <v>25</v>
      </c>
      <c r="F1053" s="20" t="s">
        <v>2763</v>
      </c>
      <c r="G1053" s="15" t="s">
        <v>2764</v>
      </c>
      <c r="H1053" s="147" t="s">
        <v>1109</v>
      </c>
      <c r="I1053" s="18" t="s">
        <v>135</v>
      </c>
      <c r="J1053" s="18" t="s">
        <v>565</v>
      </c>
      <c r="K1053" s="33" t="s">
        <v>2768</v>
      </c>
      <c r="L1053" s="25" t="str">
        <f>"RUTL-"&amp;RIGHT(K1053,8)</f>
        <v>RUTL-BQJPG22</v>
      </c>
      <c r="M1053" s="34" t="s">
        <v>40</v>
      </c>
      <c r="N1053" s="15" t="s">
        <v>319</v>
      </c>
      <c r="O1053" s="175"/>
      <c r="P1053" s="23"/>
      <c r="Q1053" s="63" t="s">
        <v>2771</v>
      </c>
      <c r="R1053" s="23"/>
      <c r="S1053" s="23"/>
      <c r="T1053" s="101" t="s">
        <v>96</v>
      </c>
      <c r="U1053" s="39" t="s">
        <v>2773</v>
      </c>
      <c r="V1053" s="23"/>
      <c r="W1053" s="23"/>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c r="DA1053" s="5"/>
      <c r="DB1053" s="5"/>
      <c r="DC1053" s="5"/>
      <c r="DD1053" s="5"/>
      <c r="DE1053" s="5"/>
      <c r="DF1053" s="5"/>
      <c r="DG1053" s="5"/>
      <c r="DH1053" s="5"/>
      <c r="DI1053" s="5"/>
      <c r="DJ1053" s="5"/>
      <c r="DK1053" s="5"/>
      <c r="DL1053" s="5"/>
      <c r="DM1053" s="5"/>
      <c r="DN1053" s="5"/>
      <c r="DO1053" s="5"/>
      <c r="DP1053" s="5"/>
      <c r="DQ1053" s="5"/>
      <c r="DR1053" s="5"/>
      <c r="DS1053" s="5"/>
      <c r="DT1053" s="5"/>
      <c r="DU1053" s="5"/>
      <c r="DV1053" s="5"/>
      <c r="DW1053" s="5"/>
      <c r="DX1053" s="5"/>
      <c r="DY1053" s="5"/>
      <c r="DZ1053" s="5"/>
      <c r="EA1053" s="5"/>
      <c r="EB1053" s="5"/>
      <c r="EC1053" s="5"/>
      <c r="ED1053" s="5"/>
      <c r="EE1053" s="5"/>
    </row>
    <row r="1054" spans="1:135" ht="103.5" customHeight="1" thickBot="1" x14ac:dyDescent="0.3">
      <c r="A1054" s="578" t="s">
        <v>6931</v>
      </c>
      <c r="B1054" s="51">
        <v>17029</v>
      </c>
      <c r="C1054" s="52" t="s">
        <v>6927</v>
      </c>
      <c r="D1054" s="140" t="s">
        <v>4448</v>
      </c>
      <c r="E1054" s="11" t="s">
        <v>25</v>
      </c>
      <c r="F1054" s="20" t="s">
        <v>6928</v>
      </c>
      <c r="G1054" s="59" t="s">
        <v>2764</v>
      </c>
      <c r="H1054" s="17" t="s">
        <v>891</v>
      </c>
      <c r="I1054" s="142" t="s">
        <v>6929</v>
      </c>
      <c r="J1054" s="18" t="s">
        <v>6930</v>
      </c>
      <c r="K1054" s="340" t="s">
        <v>6932</v>
      </c>
      <c r="L1054" s="25" t="str">
        <f>"RUTL-"&amp;RIGHT(K1054,8)</f>
        <v>RUTL-R90K6DNH</v>
      </c>
      <c r="M1054" s="34" t="s">
        <v>40</v>
      </c>
      <c r="N1054" s="23" t="s">
        <v>410</v>
      </c>
      <c r="O1054" s="23"/>
      <c r="P1054" s="39" t="s">
        <v>90</v>
      </c>
      <c r="Q1054" s="243" t="s">
        <v>6933</v>
      </c>
      <c r="R1054" s="15" t="s">
        <v>56</v>
      </c>
      <c r="S1054" s="37" t="s">
        <v>57</v>
      </c>
      <c r="T1054" s="41" t="s">
        <v>273</v>
      </c>
      <c r="U1054" s="23" t="s">
        <v>6934</v>
      </c>
      <c r="V1054" s="242"/>
      <c r="W1054" s="23"/>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6"/>
      <c r="CB1054" s="6"/>
      <c r="CC1054" s="6"/>
      <c r="CD1054" s="6"/>
      <c r="CE1054" s="6"/>
      <c r="CF1054" s="6"/>
      <c r="CG1054" s="6"/>
      <c r="CH1054" s="6"/>
      <c r="CI1054" s="6"/>
      <c r="CJ1054" s="6"/>
      <c r="CK1054" s="6"/>
      <c r="CL1054" s="6"/>
      <c r="CM1054" s="6"/>
      <c r="CN1054" s="6"/>
      <c r="CO1054" s="6"/>
      <c r="CP1054" s="6"/>
      <c r="CQ1054" s="6"/>
      <c r="CR1054" s="6"/>
      <c r="CS1054" s="6"/>
      <c r="CT1054" s="6"/>
      <c r="CU1054" s="6"/>
      <c r="CV1054" s="6"/>
      <c r="CW1054" s="6"/>
      <c r="CX1054" s="6"/>
      <c r="CY1054" s="6"/>
      <c r="CZ1054" s="6"/>
      <c r="DA1054" s="6"/>
      <c r="DB1054" s="6"/>
      <c r="DC1054" s="6"/>
      <c r="DD1054" s="6"/>
      <c r="DE1054" s="6"/>
      <c r="DF1054" s="6"/>
      <c r="DG1054" s="6"/>
      <c r="DH1054" s="6"/>
      <c r="DI1054" s="6"/>
      <c r="DJ1054" s="6"/>
      <c r="DK1054" s="6"/>
      <c r="DL1054" s="6"/>
      <c r="DM1054" s="6"/>
      <c r="DN1054" s="6"/>
      <c r="DO1054" s="6"/>
      <c r="DP1054" s="6"/>
      <c r="DQ1054" s="6"/>
      <c r="DR1054" s="6"/>
      <c r="DS1054" s="6"/>
      <c r="DT1054" s="6"/>
      <c r="DU1054" s="6"/>
      <c r="DV1054" s="6"/>
      <c r="DW1054" s="6"/>
      <c r="DX1054" s="6"/>
      <c r="DY1054" s="6"/>
      <c r="DZ1054" s="6"/>
      <c r="EA1054" s="6"/>
      <c r="EB1054" s="6"/>
      <c r="EC1054" s="6"/>
      <c r="ED1054" s="6"/>
      <c r="EE1054" s="6"/>
    </row>
    <row r="1055" spans="1:135" ht="15.75" customHeight="1" x14ac:dyDescent="0.25">
      <c r="A1055" s="578" t="s">
        <v>6201</v>
      </c>
      <c r="B1055" s="399" t="s">
        <v>6156</v>
      </c>
      <c r="C1055" s="157" t="s">
        <v>6196</v>
      </c>
      <c r="D1055" s="161" t="s">
        <v>493</v>
      </c>
      <c r="E1055" s="122" t="s">
        <v>25</v>
      </c>
      <c r="F1055" s="162"/>
      <c r="G1055" s="15" t="s">
        <v>6198</v>
      </c>
      <c r="H1055" s="403" t="s">
        <v>6199</v>
      </c>
      <c r="I1055" s="365" t="s">
        <v>586</v>
      </c>
      <c r="J1055" s="404" t="s">
        <v>6200</v>
      </c>
      <c r="K1055" s="14" t="s">
        <v>6203</v>
      </c>
      <c r="L1055" s="164" t="str">
        <f>"RUTL-"&amp;RIGHT(K1055,8)</f>
        <v>RUTL-PF0IP8V3</v>
      </c>
      <c r="M1055" s="159"/>
      <c r="N1055" s="159"/>
      <c r="O1055" s="159"/>
      <c r="P1055" s="159"/>
      <c r="Q1055" s="159"/>
      <c r="R1055" s="159"/>
      <c r="S1055" s="159"/>
      <c r="T1055" s="159"/>
      <c r="U1055" s="159"/>
      <c r="V1055" s="159"/>
      <c r="W1055" s="159"/>
      <c r="X1055" s="30"/>
      <c r="Y1055" s="30"/>
      <c r="Z1055" s="30"/>
      <c r="AA1055" s="30"/>
      <c r="AB1055" s="30"/>
      <c r="AC1055" s="30"/>
      <c r="AD1055" s="30"/>
      <c r="AE1055" s="30"/>
      <c r="AF1055" s="30"/>
      <c r="AG1055" s="30"/>
      <c r="AH1055" s="30"/>
      <c r="AI1055" s="30"/>
      <c r="AJ1055" s="30"/>
      <c r="AK1055" s="30"/>
      <c r="AL1055" s="30"/>
      <c r="AM1055" s="30"/>
      <c r="AN1055" s="30"/>
      <c r="AO1055" s="30"/>
      <c r="AP1055" s="30"/>
      <c r="AQ1055" s="30"/>
      <c r="AR1055" s="30"/>
      <c r="AS1055" s="30"/>
      <c r="AT1055" s="30"/>
      <c r="AU1055" s="30"/>
      <c r="AV1055" s="30"/>
      <c r="AW1055" s="30"/>
      <c r="AX1055" s="30"/>
      <c r="AY1055" s="30"/>
      <c r="AZ1055" s="30"/>
      <c r="BA1055" s="30"/>
      <c r="BB1055" s="30"/>
      <c r="BC1055" s="30"/>
      <c r="BD1055" s="30"/>
      <c r="BE1055" s="30"/>
      <c r="BF1055" s="30"/>
      <c r="BG1055" s="30"/>
      <c r="BH1055" s="30"/>
      <c r="BI1055" s="30"/>
      <c r="BJ1055" s="30"/>
      <c r="BK1055" s="30"/>
      <c r="BL1055" s="30"/>
      <c r="BM1055" s="30"/>
      <c r="BN1055" s="30"/>
      <c r="BO1055" s="30"/>
      <c r="BP1055" s="30"/>
      <c r="BQ1055" s="30"/>
      <c r="BR1055" s="30"/>
      <c r="BS1055" s="30"/>
      <c r="BT1055" s="30"/>
      <c r="BU1055" s="30"/>
      <c r="BV1055" s="30"/>
      <c r="BW1055" s="30"/>
      <c r="BX1055" s="30"/>
      <c r="BY1055" s="30"/>
      <c r="BZ1055" s="30"/>
      <c r="CA1055" s="30"/>
      <c r="CB1055" s="30"/>
      <c r="CC1055" s="30"/>
      <c r="CD1055" s="30"/>
      <c r="CE1055" s="30"/>
      <c r="CF1055" s="30"/>
      <c r="CG1055" s="30"/>
      <c r="CH1055" s="30"/>
      <c r="CI1055" s="30"/>
      <c r="CJ1055" s="30"/>
      <c r="CK1055" s="30"/>
      <c r="CL1055" s="30"/>
      <c r="CM1055" s="30"/>
      <c r="CN1055" s="30"/>
      <c r="CO1055" s="30"/>
      <c r="CP1055" s="30"/>
      <c r="CQ1055" s="30"/>
      <c r="CR1055" s="30"/>
      <c r="CS1055" s="30"/>
      <c r="CT1055" s="30"/>
      <c r="CU1055" s="30"/>
      <c r="CV1055" s="30"/>
      <c r="CW1055" s="30"/>
      <c r="CX1055" s="30"/>
      <c r="CY1055" s="30"/>
      <c r="CZ1055" s="30"/>
      <c r="DA1055" s="30"/>
      <c r="DB1055" s="30"/>
      <c r="DC1055" s="30"/>
      <c r="DD1055" s="30"/>
      <c r="DE1055" s="30"/>
      <c r="DF1055" s="30"/>
      <c r="DG1055" s="30"/>
      <c r="DH1055" s="30"/>
      <c r="DI1055" s="30"/>
      <c r="DJ1055" s="30"/>
      <c r="DK1055" s="30"/>
      <c r="DL1055" s="30"/>
      <c r="DM1055" s="30"/>
      <c r="DN1055" s="30"/>
      <c r="DO1055" s="30"/>
      <c r="DP1055" s="30"/>
      <c r="DQ1055" s="30"/>
      <c r="DR1055" s="30"/>
      <c r="DS1055" s="30"/>
      <c r="DT1055" s="30"/>
      <c r="DU1055" s="30"/>
      <c r="DV1055" s="30"/>
      <c r="DW1055" s="30"/>
      <c r="DX1055" s="30"/>
      <c r="DY1055" s="30"/>
      <c r="DZ1055" s="30"/>
      <c r="EA1055" s="30"/>
      <c r="EB1055" s="30"/>
      <c r="EC1055" s="30"/>
      <c r="ED1055" s="30"/>
      <c r="EE1055" s="30"/>
    </row>
    <row r="1056" spans="1:135" ht="32.25" thickBot="1" x14ac:dyDescent="0.3">
      <c r="A1056" s="578" t="s">
        <v>3663</v>
      </c>
      <c r="B1056" s="442">
        <v>4996</v>
      </c>
      <c r="C1056" s="231" t="s">
        <v>3660</v>
      </c>
      <c r="D1056" s="140" t="s">
        <v>581</v>
      </c>
      <c r="E1056" s="11" t="s">
        <v>25</v>
      </c>
      <c r="F1056" s="29" t="s">
        <v>3661</v>
      </c>
      <c r="G1056" s="15" t="s">
        <v>3662</v>
      </c>
      <c r="H1056" s="147" t="s">
        <v>1109</v>
      </c>
      <c r="I1056" s="54" t="s">
        <v>117</v>
      </c>
      <c r="J1056" s="18" t="s">
        <v>1556</v>
      </c>
      <c r="K1056" s="33" t="s">
        <v>3664</v>
      </c>
      <c r="L1056" s="25" t="str">
        <f>"RUTL-"&amp;RIGHT(K1056,8)</f>
        <v>RUTL-PF0IP639</v>
      </c>
      <c r="M1056" s="34" t="s">
        <v>40</v>
      </c>
      <c r="N1056" s="23"/>
      <c r="O1056" s="23"/>
      <c r="P1056" s="23"/>
      <c r="Q1056" s="63" t="s">
        <v>3665</v>
      </c>
      <c r="R1056" s="15" t="s">
        <v>235</v>
      </c>
      <c r="S1056" s="21" t="s">
        <v>57</v>
      </c>
      <c r="T1056" s="23"/>
      <c r="U1056" s="23" t="s">
        <v>3666</v>
      </c>
      <c r="V1056" s="23"/>
      <c r="W1056" s="23"/>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c r="AW1056" s="5"/>
      <c r="AX1056" s="5"/>
      <c r="AY1056" s="5"/>
      <c r="AZ1056" s="5"/>
      <c r="BA1056" s="5"/>
      <c r="BB1056" s="5"/>
      <c r="BC1056" s="5"/>
      <c r="BD1056" s="5"/>
      <c r="BE1056" s="5"/>
      <c r="BF1056" s="5"/>
      <c r="BG1056" s="5"/>
      <c r="BH1056" s="5"/>
      <c r="BI1056" s="5"/>
      <c r="BJ1056" s="5"/>
      <c r="BK1056" s="5"/>
      <c r="BL1056" s="5"/>
      <c r="BM1056" s="5"/>
      <c r="BN1056" s="5"/>
      <c r="BO1056" s="5"/>
      <c r="BP1056" s="5"/>
      <c r="BQ1056" s="5"/>
      <c r="BR1056" s="5"/>
      <c r="BS1056" s="5"/>
      <c r="BT1056" s="5"/>
      <c r="BU1056" s="5"/>
      <c r="BV1056" s="5"/>
      <c r="BW1056" s="5"/>
      <c r="BX1056" s="5"/>
      <c r="BY1056" s="5"/>
      <c r="BZ1056" s="5"/>
      <c r="CA1056" s="5"/>
      <c r="CB1056" s="5"/>
      <c r="CC1056" s="5"/>
      <c r="CD1056" s="5"/>
      <c r="CE1056" s="5"/>
      <c r="CF1056" s="5"/>
      <c r="CG1056" s="5"/>
      <c r="CH1056" s="5"/>
      <c r="CI1056" s="5"/>
      <c r="CJ1056" s="5"/>
      <c r="CK1056" s="5"/>
      <c r="CL1056" s="5"/>
      <c r="CM1056" s="5"/>
      <c r="CN1056" s="5"/>
      <c r="CO1056" s="5"/>
      <c r="CP1056" s="5"/>
      <c r="CQ1056" s="5"/>
      <c r="CR1056" s="5"/>
      <c r="CS1056" s="5"/>
      <c r="CT1056" s="5"/>
      <c r="CU1056" s="5"/>
      <c r="CV1056" s="5"/>
      <c r="CW1056" s="5"/>
      <c r="CX1056" s="5"/>
      <c r="CY1056" s="5"/>
      <c r="CZ1056" s="5"/>
      <c r="DA1056" s="5"/>
      <c r="DB1056" s="5"/>
      <c r="DC1056" s="5"/>
      <c r="DD1056" s="5"/>
      <c r="DE1056" s="5"/>
      <c r="DF1056" s="5"/>
      <c r="DG1056" s="5"/>
      <c r="DH1056" s="5"/>
      <c r="DI1056" s="5"/>
      <c r="DJ1056" s="5"/>
      <c r="DK1056" s="5"/>
      <c r="DL1056" s="5"/>
      <c r="DM1056" s="5"/>
      <c r="DN1056" s="5"/>
      <c r="DO1056" s="5"/>
      <c r="DP1056" s="5"/>
      <c r="DQ1056" s="5"/>
      <c r="DR1056" s="5"/>
      <c r="DS1056" s="5"/>
      <c r="DT1056" s="5"/>
      <c r="DU1056" s="5"/>
      <c r="DV1056" s="5"/>
      <c r="DW1056" s="5"/>
      <c r="DX1056" s="5"/>
      <c r="DY1056" s="5"/>
      <c r="DZ1056" s="5"/>
      <c r="EA1056" s="5"/>
      <c r="EB1056" s="5"/>
      <c r="EC1056" s="5"/>
      <c r="ED1056" s="5"/>
      <c r="EE1056" s="5"/>
    </row>
    <row r="1057" spans="1:135" ht="38.25" thickBot="1" x14ac:dyDescent="0.3">
      <c r="A1057" s="578" t="s">
        <v>5682</v>
      </c>
      <c r="B1057" s="51">
        <v>13527</v>
      </c>
      <c r="C1057" s="72" t="s">
        <v>5680</v>
      </c>
      <c r="D1057" s="10" t="s">
        <v>24</v>
      </c>
      <c r="E1057" s="465" t="s">
        <v>25</v>
      </c>
      <c r="F1057" s="20" t="s">
        <v>5681</v>
      </c>
      <c r="G1057" s="461" t="s">
        <v>1622</v>
      </c>
      <c r="H1057" s="482" t="s">
        <v>811</v>
      </c>
      <c r="I1057" s="18" t="s">
        <v>117</v>
      </c>
      <c r="J1057" s="18" t="s">
        <v>2776</v>
      </c>
      <c r="K1057" s="493" t="s">
        <v>5683</v>
      </c>
      <c r="L1057" s="506" t="str">
        <f>"RUTL-"&amp;RIGHT(K1057,8)</f>
        <v>RUTL-LR062AR2</v>
      </c>
      <c r="M1057" s="511" t="s">
        <v>40</v>
      </c>
      <c r="N1057" s="493"/>
      <c r="O1057" s="493"/>
      <c r="P1057" s="493"/>
      <c r="Q1057" s="527"/>
      <c r="R1057" s="15" t="s">
        <v>56</v>
      </c>
      <c r="S1057" s="37" t="s">
        <v>57</v>
      </c>
      <c r="T1057" s="104" t="s">
        <v>273</v>
      </c>
      <c r="U1057" s="39" t="s">
        <v>5684</v>
      </c>
      <c r="V1057" s="23"/>
      <c r="W1057" s="23"/>
      <c r="X1057" s="71"/>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3"/>
      <c r="AX1057" s="13"/>
      <c r="AY1057" s="13"/>
      <c r="AZ1057" s="13"/>
      <c r="BA1057" s="13"/>
      <c r="BB1057" s="13"/>
      <c r="BC1057" s="13"/>
      <c r="BD1057" s="13"/>
      <c r="BE1057" s="13"/>
      <c r="BF1057" s="13"/>
      <c r="BG1057" s="13"/>
      <c r="BH1057" s="13"/>
      <c r="BI1057" s="13"/>
      <c r="BJ1057" s="13"/>
      <c r="BK1057" s="13"/>
      <c r="BL1057" s="13"/>
      <c r="BM1057" s="13"/>
      <c r="BN1057" s="13"/>
      <c r="BO1057" s="13"/>
      <c r="BP1057" s="13"/>
      <c r="BQ1057" s="13"/>
      <c r="BR1057" s="13"/>
      <c r="BS1057" s="13"/>
      <c r="BT1057" s="13"/>
      <c r="BU1057" s="13"/>
      <c r="BV1057" s="13"/>
      <c r="BW1057" s="13"/>
      <c r="BX1057" s="13"/>
      <c r="BY1057" s="13"/>
      <c r="BZ1057" s="13"/>
      <c r="CA1057" s="13"/>
      <c r="CB1057" s="13"/>
      <c r="CC1057" s="13"/>
      <c r="CD1057" s="13"/>
      <c r="CE1057" s="13"/>
      <c r="CF1057" s="13"/>
      <c r="CG1057" s="13"/>
      <c r="CH1057" s="13"/>
      <c r="CI1057" s="13"/>
      <c r="CJ1057" s="13"/>
      <c r="CK1057" s="13"/>
      <c r="CL1057" s="13"/>
      <c r="CM1057" s="13"/>
      <c r="CN1057" s="13"/>
      <c r="CO1057" s="13"/>
      <c r="CP1057" s="13"/>
      <c r="CQ1057" s="13"/>
      <c r="CR1057" s="13"/>
      <c r="CS1057" s="13"/>
      <c r="CT1057" s="13"/>
      <c r="CU1057" s="13"/>
      <c r="CV1057" s="13"/>
      <c r="CW1057" s="13"/>
      <c r="CX1057" s="13"/>
      <c r="CY1057" s="13"/>
      <c r="CZ1057" s="13"/>
      <c r="DA1057" s="13"/>
      <c r="DB1057" s="13"/>
      <c r="DC1057" s="13"/>
      <c r="DD1057" s="13"/>
      <c r="DE1057" s="13"/>
      <c r="DF1057" s="13"/>
      <c r="DG1057" s="13"/>
      <c r="DH1057" s="13"/>
      <c r="DI1057" s="13"/>
      <c r="DJ1057" s="13"/>
      <c r="DK1057" s="13"/>
      <c r="DL1057" s="13"/>
      <c r="DM1057" s="13"/>
      <c r="DN1057" s="13"/>
      <c r="DO1057" s="13"/>
      <c r="DP1057" s="13"/>
      <c r="DQ1057" s="13"/>
      <c r="DR1057" s="13"/>
      <c r="DS1057" s="13"/>
      <c r="DT1057" s="13"/>
      <c r="DU1057" s="13"/>
      <c r="DV1057" s="13"/>
      <c r="DW1057" s="13"/>
      <c r="DX1057" s="13"/>
      <c r="DY1057" s="13"/>
      <c r="DZ1057" s="13"/>
      <c r="EA1057" s="13"/>
      <c r="EB1057" s="13"/>
      <c r="EC1057" s="13"/>
      <c r="ED1057" s="13"/>
      <c r="EE1057" s="13"/>
    </row>
    <row r="1058" spans="1:135" ht="15.75" customHeight="1" x14ac:dyDescent="0.25">
      <c r="A1058" s="578" t="s">
        <v>3471</v>
      </c>
      <c r="B1058" s="8">
        <v>4037</v>
      </c>
      <c r="C1058" s="167" t="s">
        <v>3468</v>
      </c>
      <c r="D1058" s="15" t="s">
        <v>24</v>
      </c>
      <c r="E1058" s="11" t="s">
        <v>25</v>
      </c>
      <c r="F1058" s="20" t="s">
        <v>3469</v>
      </c>
      <c r="G1058" s="15" t="s">
        <v>3470</v>
      </c>
      <c r="H1058" s="53" t="s">
        <v>3096</v>
      </c>
      <c r="I1058" s="18" t="s">
        <v>135</v>
      </c>
      <c r="J1058" s="18" t="s">
        <v>1353</v>
      </c>
      <c r="K1058" s="33" t="s">
        <v>3472</v>
      </c>
      <c r="L1058" s="25" t="str">
        <f>"RUTL-"&amp;RIGHT(K1058,8)</f>
        <v>RUTL-PF0LKPX8</v>
      </c>
      <c r="M1058" s="34" t="s">
        <v>40</v>
      </c>
      <c r="N1058" s="23" t="s">
        <v>43</v>
      </c>
      <c r="O1058" s="23"/>
      <c r="P1058" s="23"/>
      <c r="Q1058" s="63" t="s">
        <v>3473</v>
      </c>
      <c r="R1058" s="15" t="s">
        <v>235</v>
      </c>
      <c r="S1058" s="23"/>
      <c r="T1058" s="23"/>
      <c r="U1058" s="39" t="s">
        <v>3474</v>
      </c>
      <c r="V1058" s="23"/>
      <c r="W1058" s="247"/>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c r="CP1058" s="6"/>
      <c r="CQ1058" s="6"/>
      <c r="CR1058" s="6"/>
      <c r="CS1058" s="6"/>
      <c r="CT1058" s="6"/>
      <c r="CU1058" s="6"/>
      <c r="CV1058" s="6"/>
      <c r="CW1058" s="6"/>
      <c r="CX1058" s="6"/>
      <c r="CY1058" s="6"/>
      <c r="CZ1058" s="6"/>
      <c r="DA1058" s="6"/>
      <c r="DB1058" s="6"/>
      <c r="DC1058" s="6"/>
      <c r="DD1058" s="6"/>
      <c r="DE1058" s="6"/>
      <c r="DF1058" s="6"/>
      <c r="DG1058" s="6"/>
      <c r="DH1058" s="6"/>
      <c r="DI1058" s="6"/>
      <c r="DJ1058" s="6"/>
      <c r="DK1058" s="6"/>
      <c r="DL1058" s="6"/>
      <c r="DM1058" s="6"/>
      <c r="DN1058" s="6"/>
      <c r="DO1058" s="6"/>
      <c r="DP1058" s="6"/>
      <c r="DQ1058" s="6"/>
      <c r="DR1058" s="6"/>
      <c r="DS1058" s="6"/>
      <c r="DT1058" s="6"/>
      <c r="DU1058" s="6"/>
      <c r="DV1058" s="6"/>
      <c r="DW1058" s="6"/>
      <c r="DX1058" s="6"/>
      <c r="DY1058" s="6"/>
      <c r="DZ1058" s="6"/>
      <c r="EA1058" s="6"/>
      <c r="EB1058" s="6"/>
      <c r="EC1058" s="6"/>
      <c r="ED1058" s="6"/>
      <c r="EE1058" s="6"/>
    </row>
    <row r="1059" spans="1:135" ht="15.75" customHeight="1" x14ac:dyDescent="0.25">
      <c r="A1059" s="578" t="s">
        <v>7194</v>
      </c>
      <c r="B1059" s="16">
        <v>17715</v>
      </c>
      <c r="C1059" s="52" t="s">
        <v>7191</v>
      </c>
      <c r="D1059" s="10" t="s">
        <v>7192</v>
      </c>
      <c r="E1059" s="11" t="s">
        <v>25</v>
      </c>
      <c r="F1059" s="20" t="s">
        <v>7193</v>
      </c>
      <c r="G1059" s="15" t="s">
        <v>1007</v>
      </c>
      <c r="H1059" s="53" t="s">
        <v>1319</v>
      </c>
      <c r="I1059" s="18" t="s">
        <v>135</v>
      </c>
      <c r="J1059" s="18" t="s">
        <v>1556</v>
      </c>
      <c r="K1059" s="33" t="s">
        <v>7195</v>
      </c>
      <c r="L1059" s="25" t="str">
        <f>"RUTL-"&amp;RIGHT(K1059,8)</f>
        <v>RUTL-PF0INFRM</v>
      </c>
      <c r="M1059" s="34" t="s">
        <v>40</v>
      </c>
      <c r="N1059" s="23" t="s">
        <v>43</v>
      </c>
      <c r="O1059" s="23"/>
      <c r="P1059" s="39" t="s">
        <v>90</v>
      </c>
      <c r="Q1059" s="63" t="s">
        <v>7196</v>
      </c>
      <c r="R1059" s="15" t="s">
        <v>56</v>
      </c>
      <c r="S1059" s="37" t="s">
        <v>57</v>
      </c>
      <c r="T1059" s="68" t="s">
        <v>148</v>
      </c>
      <c r="U1059" s="39" t="s">
        <v>2122</v>
      </c>
      <c r="V1059" s="23"/>
      <c r="W1059" s="23"/>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c r="CA1059" s="6"/>
      <c r="CB1059" s="6"/>
      <c r="CC1059" s="6"/>
      <c r="CD1059" s="6"/>
      <c r="CE1059" s="6"/>
      <c r="CF1059" s="6"/>
      <c r="CG1059" s="6"/>
      <c r="CH1059" s="6"/>
      <c r="CI1059" s="6"/>
      <c r="CJ1059" s="6"/>
      <c r="CK1059" s="6"/>
      <c r="CL1059" s="6"/>
      <c r="CM1059" s="6"/>
      <c r="CN1059" s="6"/>
      <c r="CO1059" s="6"/>
      <c r="CP1059" s="6"/>
      <c r="CQ1059" s="6"/>
      <c r="CR1059" s="6"/>
      <c r="CS1059" s="6"/>
      <c r="CT1059" s="6"/>
      <c r="CU1059" s="6"/>
      <c r="CV1059" s="6"/>
      <c r="CW1059" s="6"/>
      <c r="CX1059" s="6"/>
      <c r="CY1059" s="6"/>
      <c r="CZ1059" s="6"/>
      <c r="DA1059" s="6"/>
      <c r="DB1059" s="6"/>
      <c r="DC1059" s="6"/>
      <c r="DD1059" s="6"/>
      <c r="DE1059" s="6"/>
      <c r="DF1059" s="6"/>
      <c r="DG1059" s="6"/>
      <c r="DH1059" s="6"/>
      <c r="DI1059" s="6"/>
      <c r="DJ1059" s="6"/>
      <c r="DK1059" s="6"/>
      <c r="DL1059" s="6"/>
      <c r="DM1059" s="6"/>
      <c r="DN1059" s="6"/>
      <c r="DO1059" s="6"/>
      <c r="DP1059" s="6"/>
      <c r="DQ1059" s="6"/>
      <c r="DR1059" s="6"/>
      <c r="DS1059" s="6"/>
      <c r="DT1059" s="6"/>
      <c r="DU1059" s="6"/>
      <c r="DV1059" s="6"/>
      <c r="DW1059" s="6"/>
      <c r="DX1059" s="6"/>
      <c r="DY1059" s="6"/>
      <c r="DZ1059" s="6"/>
      <c r="EA1059" s="6"/>
      <c r="EB1059" s="6"/>
      <c r="EC1059" s="6"/>
      <c r="ED1059" s="6"/>
      <c r="EE1059" s="6"/>
    </row>
    <row r="1060" spans="1:135" ht="15.75" customHeight="1" thickBot="1" x14ac:dyDescent="0.3">
      <c r="A1060" s="578" t="s">
        <v>2551</v>
      </c>
      <c r="B1060" s="51" t="s">
        <v>2546</v>
      </c>
      <c r="C1060" s="69" t="s">
        <v>2547</v>
      </c>
      <c r="D1060" s="10" t="s">
        <v>2548</v>
      </c>
      <c r="E1060" s="122" t="s">
        <v>25</v>
      </c>
      <c r="F1060" s="20" t="s">
        <v>2549</v>
      </c>
      <c r="G1060" s="15" t="s">
        <v>74</v>
      </c>
      <c r="H1060" s="18" t="s">
        <v>2550</v>
      </c>
      <c r="I1060" s="18" t="s">
        <v>48</v>
      </c>
      <c r="J1060" s="18" t="s">
        <v>738</v>
      </c>
      <c r="K1060" s="23" t="s">
        <v>2554</v>
      </c>
      <c r="L1060" s="25" t="str">
        <f>"RUTL-"&amp;RIGHT(K1060,8)</f>
        <v>RUTL-P901FSR7</v>
      </c>
      <c r="M1060" s="34" t="s">
        <v>40</v>
      </c>
      <c r="N1060" s="14"/>
      <c r="O1060" s="124"/>
      <c r="P1060" s="39" t="s">
        <v>90</v>
      </c>
      <c r="Q1060" s="39" t="s">
        <v>2560</v>
      </c>
      <c r="R1060" s="121" t="s">
        <v>56</v>
      </c>
      <c r="S1060" s="151" t="s">
        <v>57</v>
      </c>
      <c r="T1060" s="118" t="s">
        <v>65</v>
      </c>
      <c r="U1060" s="39" t="s">
        <v>2561</v>
      </c>
      <c r="V1060" s="124"/>
      <c r="W1060" s="124"/>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6"/>
      <c r="CB1060" s="6"/>
      <c r="CC1060" s="6"/>
      <c r="CD1060" s="6"/>
      <c r="CE1060" s="6"/>
      <c r="CF1060" s="6"/>
      <c r="CG1060" s="6"/>
      <c r="CH1060" s="6"/>
      <c r="CI1060" s="6"/>
      <c r="CJ1060" s="6"/>
      <c r="CK1060" s="6"/>
      <c r="CL1060" s="6"/>
      <c r="CM1060" s="6"/>
      <c r="CN1060" s="6"/>
      <c r="CO1060" s="6"/>
      <c r="CP1060" s="6"/>
      <c r="CQ1060" s="6"/>
      <c r="CR1060" s="6"/>
      <c r="CS1060" s="6"/>
      <c r="CT1060" s="6"/>
      <c r="CU1060" s="6"/>
      <c r="CV1060" s="6"/>
      <c r="CW1060" s="6"/>
      <c r="CX1060" s="6"/>
      <c r="CY1060" s="6"/>
      <c r="CZ1060" s="6"/>
      <c r="DA1060" s="6"/>
      <c r="DB1060" s="6"/>
      <c r="DC1060" s="6"/>
      <c r="DD1060" s="6"/>
      <c r="DE1060" s="6"/>
      <c r="DF1060" s="6"/>
      <c r="DG1060" s="6"/>
      <c r="DH1060" s="6"/>
      <c r="DI1060" s="6"/>
      <c r="DJ1060" s="6"/>
      <c r="DK1060" s="6"/>
      <c r="DL1060" s="6"/>
      <c r="DM1060" s="6"/>
      <c r="DN1060" s="6"/>
      <c r="DO1060" s="6"/>
      <c r="DP1060" s="6"/>
      <c r="DQ1060" s="6"/>
      <c r="DR1060" s="6"/>
      <c r="DS1060" s="6"/>
      <c r="DT1060" s="6"/>
      <c r="DU1060" s="6"/>
      <c r="DV1060" s="6"/>
      <c r="DW1060" s="6"/>
      <c r="DX1060" s="6"/>
      <c r="DY1060" s="6"/>
      <c r="DZ1060" s="6"/>
      <c r="EA1060" s="6"/>
      <c r="EB1060" s="6"/>
      <c r="EC1060" s="6"/>
      <c r="ED1060" s="6"/>
      <c r="EE1060" s="6"/>
    </row>
    <row r="1061" spans="1:135" ht="15.75" customHeight="1" thickBot="1" x14ac:dyDescent="0.3">
      <c r="A1061" s="578" t="s">
        <v>3581</v>
      </c>
      <c r="B1061" s="8">
        <v>4525</v>
      </c>
      <c r="C1061" s="72" t="s">
        <v>3577</v>
      </c>
      <c r="D1061" s="10" t="s">
        <v>24</v>
      </c>
      <c r="E1061" s="11" t="s">
        <v>25</v>
      </c>
      <c r="F1061" s="20" t="s">
        <v>3578</v>
      </c>
      <c r="G1061" s="15" t="s">
        <v>3579</v>
      </c>
      <c r="H1061" s="119" t="s">
        <v>1071</v>
      </c>
      <c r="I1061" s="18" t="s">
        <v>48</v>
      </c>
      <c r="J1061" s="18" t="s">
        <v>3580</v>
      </c>
      <c r="K1061" s="33" t="s">
        <v>3582</v>
      </c>
      <c r="L1061" s="25" t="str">
        <f>"RUTL-"&amp;RIGHT(K1061,8)</f>
        <v>RUTL-S1H03BRM</v>
      </c>
      <c r="M1061" s="34" t="s">
        <v>40</v>
      </c>
      <c r="N1061" s="23" t="s">
        <v>54</v>
      </c>
      <c r="O1061" s="23"/>
      <c r="P1061" s="39" t="s">
        <v>90</v>
      </c>
      <c r="Q1061" s="63" t="s">
        <v>3583</v>
      </c>
      <c r="R1061" s="15" t="s">
        <v>56</v>
      </c>
      <c r="S1061" s="37" t="s">
        <v>57</v>
      </c>
      <c r="T1061" s="107" t="s">
        <v>453</v>
      </c>
      <c r="U1061" s="39" t="s">
        <v>3584</v>
      </c>
      <c r="V1061" s="23"/>
      <c r="W1061" s="23"/>
      <c r="X1061" s="71"/>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c r="BQ1061" s="5"/>
      <c r="BR1061" s="5"/>
      <c r="BS1061" s="5"/>
      <c r="BT1061" s="5"/>
      <c r="BU1061" s="5"/>
      <c r="BV1061" s="5"/>
      <c r="BW1061" s="5"/>
      <c r="BX1061" s="5"/>
      <c r="BY1061" s="5"/>
      <c r="BZ1061" s="5"/>
      <c r="CA1061" s="5"/>
      <c r="CB1061" s="5"/>
      <c r="CC1061" s="5"/>
      <c r="CD1061" s="5"/>
      <c r="CE1061" s="5"/>
      <c r="CF1061" s="5"/>
      <c r="CG1061" s="5"/>
      <c r="CH1061" s="5"/>
      <c r="CI1061" s="5"/>
      <c r="CJ1061" s="5"/>
      <c r="CK1061" s="5"/>
      <c r="CL1061" s="5"/>
      <c r="CM1061" s="5"/>
      <c r="CN1061" s="5"/>
      <c r="CO1061" s="5"/>
      <c r="CP1061" s="5"/>
      <c r="CQ1061" s="5"/>
      <c r="CR1061" s="5"/>
      <c r="CS1061" s="5"/>
      <c r="CT1061" s="5"/>
      <c r="CU1061" s="5"/>
      <c r="CV1061" s="5"/>
      <c r="CW1061" s="5"/>
      <c r="CX1061" s="5"/>
      <c r="CY1061" s="5"/>
      <c r="CZ1061" s="5"/>
      <c r="DA1061" s="5"/>
      <c r="DB1061" s="5"/>
      <c r="DC1061" s="5"/>
      <c r="DD1061" s="5"/>
      <c r="DE1061" s="5"/>
      <c r="DF1061" s="5"/>
      <c r="DG1061" s="5"/>
      <c r="DH1061" s="5"/>
      <c r="DI1061" s="5"/>
      <c r="DJ1061" s="5"/>
      <c r="DK1061" s="5"/>
      <c r="DL1061" s="5"/>
      <c r="DM1061" s="5"/>
      <c r="DN1061" s="5"/>
      <c r="DO1061" s="5"/>
      <c r="DP1061" s="5"/>
      <c r="DQ1061" s="5"/>
      <c r="DR1061" s="5"/>
      <c r="DS1061" s="5"/>
      <c r="DT1061" s="5"/>
      <c r="DU1061" s="5"/>
      <c r="DV1061" s="5"/>
      <c r="DW1061" s="5"/>
      <c r="DX1061" s="5"/>
      <c r="DY1061" s="5"/>
      <c r="DZ1061" s="5"/>
      <c r="EA1061" s="5"/>
      <c r="EB1061" s="5"/>
      <c r="EC1061" s="5"/>
      <c r="ED1061" s="5"/>
      <c r="EE1061" s="5"/>
    </row>
    <row r="1062" spans="1:135" ht="15.75" customHeight="1" x14ac:dyDescent="0.25">
      <c r="A1062" s="578" t="s">
        <v>688</v>
      </c>
      <c r="B1062" s="181" t="s">
        <v>668</v>
      </c>
      <c r="C1062" s="99" t="s">
        <v>671</v>
      </c>
      <c r="D1062" s="10" t="s">
        <v>24</v>
      </c>
      <c r="E1062" s="28" t="s">
        <v>25</v>
      </c>
      <c r="F1062" s="29" t="s">
        <v>672</v>
      </c>
      <c r="G1062" s="15" t="s">
        <v>673</v>
      </c>
      <c r="H1062" s="55" t="s">
        <v>676</v>
      </c>
      <c r="I1062" s="24" t="s">
        <v>48</v>
      </c>
      <c r="J1062" s="24" t="s">
        <v>687</v>
      </c>
      <c r="K1062" s="106" t="s">
        <v>689</v>
      </c>
      <c r="L1062" s="106" t="s">
        <v>690</v>
      </c>
      <c r="M1062" s="109"/>
      <c r="N1062" s="23"/>
      <c r="O1062" s="23"/>
      <c r="P1062" s="33"/>
      <c r="Q1062" s="39"/>
      <c r="R1062" s="15" t="s">
        <v>56</v>
      </c>
      <c r="S1062" s="37" t="s">
        <v>57</v>
      </c>
      <c r="T1062" s="108" t="s">
        <v>273</v>
      </c>
      <c r="U1062" s="47" t="s">
        <v>691</v>
      </c>
      <c r="V1062" s="48"/>
      <c r="W1062" s="23"/>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6"/>
      <c r="CB1062" s="6"/>
      <c r="CC1062" s="6"/>
      <c r="CD1062" s="6"/>
      <c r="CE1062" s="6"/>
      <c r="CF1062" s="6"/>
      <c r="CG1062" s="6"/>
      <c r="CH1062" s="6"/>
      <c r="CI1062" s="6"/>
      <c r="CJ1062" s="6"/>
      <c r="CK1062" s="6"/>
      <c r="CL1062" s="6"/>
      <c r="CM1062" s="6"/>
      <c r="CN1062" s="6"/>
      <c r="CO1062" s="6"/>
      <c r="CP1062" s="6"/>
      <c r="CQ1062" s="6"/>
      <c r="CR1062" s="6"/>
      <c r="CS1062" s="6"/>
      <c r="CT1062" s="6"/>
      <c r="CU1062" s="6"/>
      <c r="CV1062" s="6"/>
      <c r="CW1062" s="6"/>
      <c r="CX1062" s="6"/>
      <c r="CY1062" s="6"/>
      <c r="CZ1062" s="6"/>
      <c r="DA1062" s="6"/>
      <c r="DB1062" s="6"/>
      <c r="DC1062" s="6"/>
      <c r="DD1062" s="6"/>
      <c r="DE1062" s="6"/>
      <c r="DF1062" s="6"/>
      <c r="DG1062" s="6"/>
      <c r="DH1062" s="6"/>
      <c r="DI1062" s="6"/>
      <c r="DJ1062" s="6"/>
      <c r="DK1062" s="6"/>
      <c r="DL1062" s="6"/>
      <c r="DM1062" s="6"/>
      <c r="DN1062" s="6"/>
      <c r="DO1062" s="6"/>
      <c r="DP1062" s="6"/>
      <c r="DQ1062" s="6"/>
      <c r="DR1062" s="6"/>
      <c r="DS1062" s="6"/>
      <c r="DT1062" s="6"/>
      <c r="DU1062" s="6"/>
      <c r="DV1062" s="6"/>
      <c r="DW1062" s="6"/>
      <c r="DX1062" s="6"/>
      <c r="DY1062" s="6"/>
      <c r="DZ1062" s="6"/>
      <c r="EA1062" s="6"/>
      <c r="EB1062" s="6"/>
      <c r="EC1062" s="6"/>
      <c r="ED1062" s="6"/>
      <c r="EE1062" s="6"/>
    </row>
    <row r="1063" spans="1:135" ht="15.75" customHeight="1" x14ac:dyDescent="0.25">
      <c r="A1063" s="578" t="s">
        <v>1536</v>
      </c>
      <c r="B1063" s="256" t="s">
        <v>1528</v>
      </c>
      <c r="C1063" s="72" t="s">
        <v>1531</v>
      </c>
      <c r="D1063" s="15" t="s">
        <v>24</v>
      </c>
      <c r="E1063" s="11" t="s">
        <v>25</v>
      </c>
      <c r="F1063" s="20" t="s">
        <v>1532</v>
      </c>
      <c r="G1063" s="257" t="s">
        <v>1534</v>
      </c>
      <c r="H1063" s="17" t="s">
        <v>891</v>
      </c>
      <c r="I1063" s="18" t="s">
        <v>38</v>
      </c>
      <c r="J1063" s="18" t="s">
        <v>1535</v>
      </c>
      <c r="K1063" s="124" t="s">
        <v>1537</v>
      </c>
      <c r="L1063" s="127" t="str">
        <f>"RUTL-"&amp;RIGHT(K1063,8)</f>
        <v>RUTL-PF0L9GF3</v>
      </c>
      <c r="M1063" s="129" t="s">
        <v>40</v>
      </c>
      <c r="N1063" s="185" t="s">
        <v>43</v>
      </c>
      <c r="O1063" s="185"/>
      <c r="P1063" s="39" t="s">
        <v>90</v>
      </c>
      <c r="Q1063" s="14" t="s">
        <v>1540</v>
      </c>
      <c r="R1063" s="121" t="s">
        <v>56</v>
      </c>
      <c r="S1063" s="151" t="s">
        <v>57</v>
      </c>
      <c r="T1063" s="153" t="s">
        <v>1542</v>
      </c>
      <c r="U1063" s="138" t="s">
        <v>1543</v>
      </c>
      <c r="V1063" s="14"/>
      <c r="W1063" s="14"/>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c r="CA1063" s="6"/>
      <c r="CB1063" s="6"/>
      <c r="CC1063" s="6"/>
      <c r="CD1063" s="6"/>
      <c r="CE1063" s="6"/>
      <c r="CF1063" s="6"/>
      <c r="CG1063" s="6"/>
      <c r="CH1063" s="6"/>
      <c r="CI1063" s="6"/>
      <c r="CJ1063" s="6"/>
      <c r="CK1063" s="6"/>
      <c r="CL1063" s="6"/>
      <c r="CM1063" s="6"/>
      <c r="CN1063" s="6"/>
      <c r="CO1063" s="6"/>
      <c r="CP1063" s="6"/>
      <c r="CQ1063" s="6"/>
      <c r="CR1063" s="6"/>
      <c r="CS1063" s="6"/>
      <c r="CT1063" s="6"/>
      <c r="CU1063" s="6"/>
      <c r="CV1063" s="6"/>
      <c r="CW1063" s="6"/>
      <c r="CX1063" s="6"/>
      <c r="CY1063" s="6"/>
      <c r="CZ1063" s="6"/>
      <c r="DA1063" s="6"/>
      <c r="DB1063" s="6"/>
      <c r="DC1063" s="6"/>
      <c r="DD1063" s="6"/>
      <c r="DE1063" s="6"/>
      <c r="DF1063" s="6"/>
      <c r="DG1063" s="6"/>
      <c r="DH1063" s="6"/>
      <c r="DI1063" s="6"/>
      <c r="DJ1063" s="6"/>
      <c r="DK1063" s="6"/>
      <c r="DL1063" s="6"/>
      <c r="DM1063" s="6"/>
      <c r="DN1063" s="6"/>
      <c r="DO1063" s="6"/>
      <c r="DP1063" s="6"/>
      <c r="DQ1063" s="6"/>
      <c r="DR1063" s="6"/>
      <c r="DS1063" s="6"/>
      <c r="DT1063" s="6"/>
      <c r="DU1063" s="6"/>
      <c r="DV1063" s="6"/>
      <c r="DW1063" s="6"/>
      <c r="DX1063" s="6"/>
      <c r="DY1063" s="6"/>
      <c r="DZ1063" s="6"/>
      <c r="EA1063" s="6"/>
      <c r="EB1063" s="6"/>
      <c r="EC1063" s="6"/>
      <c r="ED1063" s="6"/>
      <c r="EE1063" s="6"/>
    </row>
    <row r="1064" spans="1:135" ht="15.75" customHeight="1" thickBot="1" x14ac:dyDescent="0.3">
      <c r="A1064" s="578" t="s">
        <v>2667</v>
      </c>
      <c r="B1064" s="8">
        <v>1644</v>
      </c>
      <c r="C1064" s="72" t="s">
        <v>2664</v>
      </c>
      <c r="D1064" s="15" t="s">
        <v>24</v>
      </c>
      <c r="E1064" s="11" t="s">
        <v>25</v>
      </c>
      <c r="F1064" s="20" t="s">
        <v>2665</v>
      </c>
      <c r="G1064" s="15" t="s">
        <v>1137</v>
      </c>
      <c r="H1064" s="119" t="s">
        <v>370</v>
      </c>
      <c r="I1064" s="18" t="s">
        <v>135</v>
      </c>
      <c r="J1064" s="18" t="s">
        <v>2666</v>
      </c>
      <c r="K1064" s="33" t="s">
        <v>2668</v>
      </c>
      <c r="L1064" s="25" t="str">
        <f>"RUTL-"&amp;RIGHT(K1064,8)</f>
        <v>RUTL-MP144ZJW</v>
      </c>
      <c r="M1064" s="34" t="s">
        <v>40</v>
      </c>
      <c r="N1064" s="175"/>
      <c r="O1064" s="175"/>
      <c r="P1064" s="39" t="s">
        <v>90</v>
      </c>
      <c r="Q1064" s="63" t="s">
        <v>2669</v>
      </c>
      <c r="R1064" s="15" t="s">
        <v>56</v>
      </c>
      <c r="S1064" s="37" t="s">
        <v>57</v>
      </c>
      <c r="T1064" s="105" t="s">
        <v>148</v>
      </c>
      <c r="U1064" s="39" t="s">
        <v>2670</v>
      </c>
      <c r="V1064" s="23"/>
      <c r="W1064" s="23"/>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6"/>
      <c r="CB1064" s="6"/>
      <c r="CC1064" s="6"/>
      <c r="CD1064" s="6"/>
      <c r="CE1064" s="6"/>
      <c r="CF1064" s="6"/>
      <c r="CG1064" s="6"/>
      <c r="CH1064" s="6"/>
      <c r="CI1064" s="6"/>
      <c r="CJ1064" s="6"/>
      <c r="CK1064" s="6"/>
      <c r="CL1064" s="6"/>
      <c r="CM1064" s="6"/>
      <c r="CN1064" s="6"/>
      <c r="CO1064" s="6"/>
      <c r="CP1064" s="6"/>
      <c r="CQ1064" s="6"/>
      <c r="CR1064" s="6"/>
      <c r="CS1064" s="6"/>
      <c r="CT1064" s="6"/>
      <c r="CU1064" s="6"/>
      <c r="CV1064" s="6"/>
      <c r="CW1064" s="6"/>
      <c r="CX1064" s="6"/>
      <c r="CY1064" s="6"/>
      <c r="CZ1064" s="6"/>
      <c r="DA1064" s="6"/>
      <c r="DB1064" s="6"/>
      <c r="DC1064" s="6"/>
      <c r="DD1064" s="6"/>
      <c r="DE1064" s="6"/>
      <c r="DF1064" s="6"/>
      <c r="DG1064" s="6"/>
      <c r="DH1064" s="6"/>
      <c r="DI1064" s="6"/>
      <c r="DJ1064" s="6"/>
      <c r="DK1064" s="6"/>
      <c r="DL1064" s="6"/>
      <c r="DM1064" s="6"/>
      <c r="DN1064" s="6"/>
      <c r="DO1064" s="6"/>
      <c r="DP1064" s="6"/>
      <c r="DQ1064" s="6"/>
      <c r="DR1064" s="6"/>
      <c r="DS1064" s="6"/>
      <c r="DT1064" s="6"/>
      <c r="DU1064" s="6"/>
      <c r="DV1064" s="6"/>
      <c r="DW1064" s="6"/>
      <c r="DX1064" s="6"/>
      <c r="DY1064" s="6"/>
      <c r="DZ1064" s="6"/>
      <c r="EA1064" s="6"/>
      <c r="EB1064" s="6"/>
      <c r="EC1064" s="6"/>
      <c r="ED1064" s="6"/>
      <c r="EE1064" s="6"/>
    </row>
    <row r="1065" spans="1:135" ht="27.75" customHeight="1" thickBot="1" x14ac:dyDescent="0.3">
      <c r="A1065" s="578" t="s">
        <v>3746</v>
      </c>
      <c r="B1065" s="8">
        <v>5521</v>
      </c>
      <c r="C1065" s="50" t="s">
        <v>3743</v>
      </c>
      <c r="D1065" s="174" t="s">
        <v>1471</v>
      </c>
      <c r="E1065" s="11" t="s">
        <v>25</v>
      </c>
      <c r="F1065" s="20" t="s">
        <v>3744</v>
      </c>
      <c r="G1065" s="15" t="s">
        <v>3745</v>
      </c>
      <c r="H1065" s="147" t="s">
        <v>1109</v>
      </c>
      <c r="I1065" s="18" t="s">
        <v>135</v>
      </c>
      <c r="J1065" s="18" t="s">
        <v>1556</v>
      </c>
      <c r="K1065" s="33" t="s">
        <v>3747</v>
      </c>
      <c r="L1065" s="25" t="str">
        <f>"RUTL-"&amp;RIGHT(K1065,8)</f>
        <v>RUTL-PF0LC1PS</v>
      </c>
      <c r="M1065" s="34" t="s">
        <v>40</v>
      </c>
      <c r="N1065" s="23" t="s">
        <v>43</v>
      </c>
      <c r="O1065" s="227"/>
      <c r="P1065" s="23"/>
      <c r="Q1065" s="63" t="s">
        <v>3748</v>
      </c>
      <c r="R1065" s="15" t="s">
        <v>235</v>
      </c>
      <c r="S1065" s="23"/>
      <c r="T1065" s="23"/>
      <c r="U1065" s="39" t="s">
        <v>3749</v>
      </c>
      <c r="V1065" s="23"/>
      <c r="W1065" s="23"/>
      <c r="X1065" s="71"/>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c r="CP1065" s="5"/>
      <c r="CQ1065" s="5"/>
      <c r="CR1065" s="5"/>
      <c r="CS1065" s="5"/>
      <c r="CT1065" s="5"/>
      <c r="CU1065" s="5"/>
      <c r="CV1065" s="5"/>
      <c r="CW1065" s="5"/>
      <c r="CX1065" s="5"/>
      <c r="CY1065" s="5"/>
      <c r="CZ1065" s="5"/>
      <c r="DA1065" s="5"/>
      <c r="DB1065" s="5"/>
      <c r="DC1065" s="5"/>
      <c r="DD1065" s="5"/>
      <c r="DE1065" s="5"/>
      <c r="DF1065" s="5"/>
      <c r="DG1065" s="5"/>
      <c r="DH1065" s="5"/>
      <c r="DI1065" s="5"/>
      <c r="DJ1065" s="5"/>
      <c r="DK1065" s="5"/>
      <c r="DL1065" s="5"/>
      <c r="DM1065" s="5"/>
      <c r="DN1065" s="5"/>
      <c r="DO1065" s="5"/>
      <c r="DP1065" s="5"/>
      <c r="DQ1065" s="5"/>
      <c r="DR1065" s="5"/>
      <c r="DS1065" s="5"/>
      <c r="DT1065" s="5"/>
      <c r="DU1065" s="5"/>
      <c r="DV1065" s="5"/>
      <c r="DW1065" s="5"/>
      <c r="DX1065" s="5"/>
      <c r="DY1065" s="5"/>
      <c r="DZ1065" s="5"/>
      <c r="EA1065" s="5"/>
      <c r="EB1065" s="5"/>
      <c r="EC1065" s="5"/>
      <c r="ED1065" s="5"/>
      <c r="EE1065" s="5"/>
    </row>
    <row r="1066" spans="1:135" ht="27.75" customHeight="1" thickBot="1" x14ac:dyDescent="0.3">
      <c r="A1066" s="578" t="s">
        <v>3137</v>
      </c>
      <c r="B1066" s="8">
        <v>2824</v>
      </c>
      <c r="C1066" s="72" t="s">
        <v>3134</v>
      </c>
      <c r="D1066" s="10" t="s">
        <v>3135</v>
      </c>
      <c r="E1066" s="11" t="s">
        <v>25</v>
      </c>
      <c r="F1066" s="20" t="s">
        <v>3136</v>
      </c>
      <c r="G1066" s="59" t="s">
        <v>2512</v>
      </c>
      <c r="H1066" s="53" t="s">
        <v>1319</v>
      </c>
      <c r="I1066" s="142" t="s">
        <v>117</v>
      </c>
      <c r="J1066" s="18" t="s">
        <v>1556</v>
      </c>
      <c r="K1066" s="33" t="s">
        <v>3138</v>
      </c>
      <c r="L1066" s="25" t="str">
        <f>"RUTL-"&amp;RIGHT(K1066,8)</f>
        <v>RUTL-PF0LC1Q7</v>
      </c>
      <c r="M1066" s="34" t="s">
        <v>40</v>
      </c>
      <c r="N1066" s="23" t="s">
        <v>43</v>
      </c>
      <c r="O1066" s="23"/>
      <c r="P1066" s="39" t="s">
        <v>90</v>
      </c>
      <c r="Q1066" s="113"/>
      <c r="R1066" s="15" t="s">
        <v>56</v>
      </c>
      <c r="S1066" s="37" t="s">
        <v>57</v>
      </c>
      <c r="T1066" s="105" t="s">
        <v>148</v>
      </c>
      <c r="U1066" s="39" t="s">
        <v>3139</v>
      </c>
      <c r="V1066" s="242"/>
      <c r="W1066" s="23"/>
      <c r="X1066" s="30"/>
      <c r="Y1066" s="30"/>
      <c r="Z1066" s="30"/>
      <c r="AA1066" s="30"/>
      <c r="AB1066" s="30"/>
      <c r="AC1066" s="30"/>
      <c r="AD1066" s="30"/>
      <c r="AE1066" s="30"/>
      <c r="AF1066" s="30"/>
      <c r="AG1066" s="30"/>
      <c r="AH1066" s="30"/>
      <c r="AI1066" s="30"/>
      <c r="AJ1066" s="30"/>
      <c r="AK1066" s="30"/>
      <c r="AL1066" s="30"/>
      <c r="AM1066" s="30"/>
      <c r="AN1066" s="30"/>
      <c r="AO1066" s="30"/>
      <c r="AP1066" s="30"/>
      <c r="AQ1066" s="30"/>
      <c r="AR1066" s="30"/>
      <c r="AS1066" s="30"/>
      <c r="AT1066" s="30"/>
      <c r="AU1066" s="30"/>
      <c r="AV1066" s="30"/>
      <c r="AW1066" s="30"/>
      <c r="AX1066" s="30"/>
      <c r="AY1066" s="30"/>
      <c r="AZ1066" s="30"/>
      <c r="BA1066" s="30"/>
      <c r="BB1066" s="30"/>
      <c r="BC1066" s="30"/>
      <c r="BD1066" s="30"/>
      <c r="BE1066" s="30"/>
      <c r="BF1066" s="30"/>
      <c r="BG1066" s="30"/>
      <c r="BH1066" s="30"/>
      <c r="BI1066" s="30"/>
      <c r="BJ1066" s="30"/>
      <c r="BK1066" s="30"/>
      <c r="BL1066" s="30"/>
      <c r="BM1066" s="30"/>
      <c r="BN1066" s="30"/>
      <c r="BO1066" s="30"/>
      <c r="BP1066" s="30"/>
      <c r="BQ1066" s="30"/>
      <c r="BR1066" s="30"/>
      <c r="BS1066" s="30"/>
      <c r="BT1066" s="30"/>
      <c r="BU1066" s="30"/>
      <c r="BV1066" s="30"/>
      <c r="BW1066" s="30"/>
      <c r="BX1066" s="30"/>
      <c r="BY1066" s="30"/>
      <c r="BZ1066" s="30"/>
      <c r="CA1066" s="30"/>
      <c r="CB1066" s="30"/>
      <c r="CC1066" s="30"/>
      <c r="CD1066" s="30"/>
      <c r="CE1066" s="30"/>
      <c r="CF1066" s="30"/>
      <c r="CG1066" s="30"/>
      <c r="CH1066" s="30"/>
      <c r="CI1066" s="30"/>
      <c r="CJ1066" s="30"/>
      <c r="CK1066" s="30"/>
      <c r="CL1066" s="30"/>
      <c r="CM1066" s="30"/>
      <c r="CN1066" s="30"/>
      <c r="CO1066" s="30"/>
      <c r="CP1066" s="30"/>
      <c r="CQ1066" s="30"/>
      <c r="CR1066" s="30"/>
      <c r="CS1066" s="30"/>
      <c r="CT1066" s="30"/>
      <c r="CU1066" s="30"/>
      <c r="CV1066" s="30"/>
      <c r="CW1066" s="30"/>
      <c r="CX1066" s="30"/>
      <c r="CY1066" s="30"/>
      <c r="CZ1066" s="30"/>
      <c r="DA1066" s="30"/>
      <c r="DB1066" s="30"/>
      <c r="DC1066" s="30"/>
      <c r="DD1066" s="30"/>
      <c r="DE1066" s="30"/>
      <c r="DF1066" s="30"/>
      <c r="DG1066" s="30"/>
      <c r="DH1066" s="30"/>
      <c r="DI1066" s="30"/>
      <c r="DJ1066" s="30"/>
      <c r="DK1066" s="30"/>
      <c r="DL1066" s="30"/>
      <c r="DM1066" s="30"/>
      <c r="DN1066" s="30"/>
      <c r="DO1066" s="30"/>
      <c r="DP1066" s="30"/>
      <c r="DQ1066" s="30"/>
      <c r="DR1066" s="30"/>
      <c r="DS1066" s="30"/>
      <c r="DT1066" s="30"/>
      <c r="DU1066" s="30"/>
      <c r="DV1066" s="30"/>
      <c r="DW1066" s="30"/>
      <c r="DX1066" s="30"/>
      <c r="DY1066" s="30"/>
      <c r="DZ1066" s="30"/>
      <c r="EA1066" s="30"/>
      <c r="EB1066" s="30"/>
      <c r="EC1066" s="30"/>
      <c r="ED1066" s="30"/>
      <c r="EE1066" s="30"/>
    </row>
    <row r="1067" spans="1:135" ht="15.75" customHeight="1" x14ac:dyDescent="0.25">
      <c r="A1067" s="578" t="s">
        <v>709</v>
      </c>
      <c r="B1067" s="181" t="s">
        <v>668</v>
      </c>
      <c r="C1067" s="99" t="s">
        <v>671</v>
      </c>
      <c r="D1067" s="15" t="s">
        <v>24</v>
      </c>
      <c r="E1067" s="28" t="s">
        <v>25</v>
      </c>
      <c r="F1067" s="103"/>
      <c r="G1067" s="15" t="s">
        <v>673</v>
      </c>
      <c r="H1067" s="55" t="s">
        <v>676</v>
      </c>
      <c r="I1067" s="24" t="s">
        <v>48</v>
      </c>
      <c r="J1067" s="24" t="s">
        <v>687</v>
      </c>
      <c r="K1067" s="106" t="s">
        <v>711</v>
      </c>
      <c r="L1067" s="106" t="s">
        <v>712</v>
      </c>
      <c r="M1067" s="109"/>
      <c r="N1067" s="23"/>
      <c r="O1067" s="23"/>
      <c r="P1067" s="33"/>
      <c r="Q1067" s="39"/>
      <c r="R1067" s="15" t="s">
        <v>56</v>
      </c>
      <c r="S1067" s="37" t="s">
        <v>57</v>
      </c>
      <c r="T1067" s="108" t="s">
        <v>273</v>
      </c>
      <c r="U1067" s="47" t="s">
        <v>717</v>
      </c>
      <c r="V1067" s="23"/>
      <c r="W1067" s="23"/>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c r="CA1067" s="6"/>
      <c r="CB1067" s="6"/>
      <c r="CC1067" s="6"/>
      <c r="CD1067" s="6"/>
      <c r="CE1067" s="6"/>
      <c r="CF1067" s="6"/>
      <c r="CG1067" s="6"/>
      <c r="CH1067" s="6"/>
      <c r="CI1067" s="6"/>
      <c r="CJ1067" s="6"/>
      <c r="CK1067" s="6"/>
      <c r="CL1067" s="6"/>
      <c r="CM1067" s="6"/>
      <c r="CN1067" s="6"/>
      <c r="CO1067" s="6"/>
      <c r="CP1067" s="6"/>
      <c r="CQ1067" s="6"/>
      <c r="CR1067" s="6"/>
      <c r="CS1067" s="6"/>
      <c r="CT1067" s="6"/>
      <c r="CU1067" s="6"/>
      <c r="CV1067" s="6"/>
      <c r="CW1067" s="6"/>
      <c r="CX1067" s="6"/>
      <c r="CY1067" s="6"/>
      <c r="CZ1067" s="6"/>
      <c r="DA1067" s="6"/>
      <c r="DB1067" s="6"/>
      <c r="DC1067" s="6"/>
      <c r="DD1067" s="6"/>
      <c r="DE1067" s="6"/>
      <c r="DF1067" s="6"/>
      <c r="DG1067" s="6"/>
      <c r="DH1067" s="6"/>
      <c r="DI1067" s="6"/>
      <c r="DJ1067" s="6"/>
      <c r="DK1067" s="6"/>
      <c r="DL1067" s="6"/>
      <c r="DM1067" s="6"/>
      <c r="DN1067" s="6"/>
      <c r="DO1067" s="6"/>
      <c r="DP1067" s="6"/>
      <c r="DQ1067" s="6"/>
      <c r="DR1067" s="6"/>
      <c r="DS1067" s="6"/>
      <c r="DT1067" s="6"/>
      <c r="DU1067" s="6"/>
      <c r="DV1067" s="6"/>
      <c r="DW1067" s="6"/>
      <c r="DX1067" s="6"/>
      <c r="DY1067" s="6"/>
      <c r="DZ1067" s="6"/>
      <c r="EA1067" s="6"/>
      <c r="EB1067" s="6"/>
      <c r="EC1067" s="6"/>
      <c r="ED1067" s="6"/>
      <c r="EE1067" s="6"/>
    </row>
    <row r="1068" spans="1:135" ht="15.75" customHeight="1" x14ac:dyDescent="0.25">
      <c r="A1068" s="578" t="s">
        <v>4691</v>
      </c>
      <c r="B1068" s="16">
        <v>9664</v>
      </c>
      <c r="C1068" s="52" t="s">
        <v>4690</v>
      </c>
      <c r="D1068" s="10" t="s">
        <v>72</v>
      </c>
      <c r="E1068" s="11" t="s">
        <v>25</v>
      </c>
      <c r="F1068" s="29"/>
      <c r="G1068" s="15"/>
      <c r="H1068" s="206" t="s">
        <v>1154</v>
      </c>
      <c r="I1068" s="18" t="s">
        <v>3820</v>
      </c>
      <c r="J1068" s="24" t="s">
        <v>738</v>
      </c>
      <c r="K1068" s="33" t="s">
        <v>4692</v>
      </c>
      <c r="L1068" s="25" t="str">
        <f>"RUTL-"&amp;RIGHT(K1068,8)</f>
        <v>RUTL-P901FSPJ</v>
      </c>
      <c r="M1068" s="34" t="s">
        <v>40</v>
      </c>
      <c r="N1068" s="32"/>
      <c r="O1068" s="32"/>
      <c r="P1068" s="32"/>
      <c r="Q1068" s="91" t="s">
        <v>4693</v>
      </c>
      <c r="R1068" s="15" t="s">
        <v>235</v>
      </c>
      <c r="S1068" s="40" t="s">
        <v>57</v>
      </c>
      <c r="T1068" s="107" t="s">
        <v>453</v>
      </c>
      <c r="U1068" s="39" t="s">
        <v>297</v>
      </c>
      <c r="V1068" s="44"/>
      <c r="W1068" s="32"/>
      <c r="X1068" s="214"/>
    </row>
    <row r="1069" spans="1:135" ht="15.75" customHeight="1" x14ac:dyDescent="0.25">
      <c r="A1069" s="578" t="s">
        <v>1453</v>
      </c>
      <c r="B1069" s="23">
        <v>12629</v>
      </c>
      <c r="C1069" s="72" t="s">
        <v>1446</v>
      </c>
      <c r="D1069" s="10" t="s">
        <v>24</v>
      </c>
      <c r="E1069" s="28" t="s">
        <v>25</v>
      </c>
      <c r="F1069" s="20"/>
      <c r="G1069" s="12" t="s">
        <v>1270</v>
      </c>
      <c r="H1069" s="53" t="s">
        <v>1273</v>
      </c>
      <c r="I1069" s="18" t="s">
        <v>48</v>
      </c>
      <c r="J1069" s="18" t="s">
        <v>738</v>
      </c>
      <c r="K1069" s="23" t="s">
        <v>1457</v>
      </c>
      <c r="L1069" s="21" t="str">
        <f>"RUTL-"&amp;RIGHT(K1069,8)</f>
        <v>RUTL-P901FSPC</v>
      </c>
      <c r="M1069" s="144" t="s">
        <v>40</v>
      </c>
      <c r="N1069" s="23"/>
      <c r="O1069" s="23"/>
      <c r="P1069" s="39" t="s">
        <v>602</v>
      </c>
      <c r="Q1069" s="23"/>
      <c r="R1069" s="15" t="s">
        <v>56</v>
      </c>
      <c r="S1069" s="37" t="s">
        <v>57</v>
      </c>
      <c r="T1069" s="23" t="s">
        <v>142</v>
      </c>
      <c r="U1069" s="23" t="s">
        <v>1462</v>
      </c>
      <c r="V1069" s="23"/>
      <c r="W1069" s="23"/>
      <c r="X1069" s="325"/>
      <c r="Y1069" s="325"/>
      <c r="Z1069" s="325"/>
      <c r="AA1069" s="325"/>
      <c r="AB1069" s="325"/>
      <c r="AC1069" s="325"/>
      <c r="AD1069" s="325"/>
      <c r="AE1069" s="325"/>
      <c r="AF1069" s="325"/>
      <c r="AG1069" s="325"/>
      <c r="AH1069" s="325"/>
      <c r="AI1069" s="325"/>
      <c r="AJ1069" s="325"/>
      <c r="AK1069" s="325"/>
      <c r="AL1069" s="325"/>
      <c r="AM1069" s="325"/>
      <c r="AN1069" s="325"/>
      <c r="AO1069" s="325"/>
      <c r="AP1069" s="325"/>
      <c r="AQ1069" s="325"/>
      <c r="AR1069" s="325"/>
      <c r="AS1069" s="325"/>
      <c r="AT1069" s="325"/>
      <c r="AU1069" s="325"/>
      <c r="AV1069" s="325"/>
      <c r="AW1069" s="325"/>
      <c r="AX1069" s="325"/>
      <c r="AY1069" s="325"/>
      <c r="AZ1069" s="325"/>
      <c r="BA1069" s="325"/>
      <c r="BB1069" s="325"/>
      <c r="BC1069" s="325"/>
      <c r="BD1069" s="325"/>
      <c r="BE1069" s="325"/>
      <c r="BF1069" s="325"/>
      <c r="BG1069" s="325"/>
      <c r="BH1069" s="325"/>
      <c r="BI1069" s="325"/>
      <c r="BJ1069" s="325"/>
      <c r="BK1069" s="325"/>
      <c r="BL1069" s="325"/>
      <c r="BM1069" s="325"/>
      <c r="BN1069" s="325"/>
      <c r="BO1069" s="325"/>
      <c r="BP1069" s="325"/>
      <c r="BQ1069" s="325"/>
      <c r="BR1069" s="325"/>
      <c r="BS1069" s="325"/>
      <c r="BT1069" s="325"/>
      <c r="BU1069" s="325"/>
      <c r="BV1069" s="325"/>
      <c r="BW1069" s="325"/>
      <c r="BX1069" s="325"/>
      <c r="BY1069" s="325"/>
      <c r="BZ1069" s="325"/>
      <c r="CA1069" s="325"/>
      <c r="CB1069" s="325"/>
      <c r="CC1069" s="325"/>
      <c r="CD1069" s="325"/>
      <c r="CE1069" s="325"/>
      <c r="CF1069" s="325"/>
      <c r="CG1069" s="325"/>
      <c r="CH1069" s="325"/>
      <c r="CI1069" s="325"/>
      <c r="CJ1069" s="325"/>
      <c r="CK1069" s="325"/>
      <c r="CL1069" s="325"/>
      <c r="CM1069" s="325"/>
      <c r="CN1069" s="325"/>
      <c r="CO1069" s="325"/>
      <c r="CP1069" s="325"/>
      <c r="CQ1069" s="325"/>
      <c r="CR1069" s="325"/>
      <c r="CS1069" s="325"/>
      <c r="CT1069" s="325"/>
      <c r="CU1069" s="325"/>
      <c r="CV1069" s="325"/>
      <c r="CW1069" s="325"/>
      <c r="CX1069" s="325"/>
      <c r="CY1069" s="325"/>
      <c r="CZ1069" s="325"/>
      <c r="DA1069" s="325"/>
      <c r="DB1069" s="325"/>
      <c r="DC1069" s="325"/>
      <c r="DD1069" s="325"/>
      <c r="DE1069" s="325"/>
      <c r="DF1069" s="325"/>
      <c r="DG1069" s="325"/>
      <c r="DH1069" s="325"/>
      <c r="DI1069" s="325"/>
      <c r="DJ1069" s="325"/>
      <c r="DK1069" s="325"/>
      <c r="DL1069" s="325"/>
      <c r="DM1069" s="325"/>
      <c r="DN1069" s="325"/>
      <c r="DO1069" s="325"/>
      <c r="DP1069" s="325"/>
      <c r="DQ1069" s="325"/>
      <c r="DR1069" s="325"/>
      <c r="DS1069" s="325"/>
      <c r="DT1069" s="325"/>
      <c r="DU1069" s="325"/>
      <c r="DV1069" s="325"/>
      <c r="DW1069" s="325"/>
      <c r="DX1069" s="325"/>
      <c r="DY1069" s="325"/>
      <c r="DZ1069" s="325"/>
      <c r="EA1069" s="325"/>
      <c r="EB1069" s="325"/>
      <c r="EC1069" s="325"/>
      <c r="ED1069" s="325"/>
      <c r="EE1069" s="325"/>
    </row>
    <row r="1070" spans="1:135" ht="15.75" customHeight="1" thickBot="1" x14ac:dyDescent="0.3">
      <c r="A1070" s="578" t="s">
        <v>1557</v>
      </c>
      <c r="B1070" s="51" t="s">
        <v>1550</v>
      </c>
      <c r="C1070" s="52" t="s">
        <v>1551</v>
      </c>
      <c r="D1070" s="15" t="s">
        <v>1552</v>
      </c>
      <c r="E1070" s="11" t="s">
        <v>25</v>
      </c>
      <c r="F1070" s="20" t="s">
        <v>1553</v>
      </c>
      <c r="G1070" s="15" t="s">
        <v>1554</v>
      </c>
      <c r="H1070" s="17" t="s">
        <v>891</v>
      </c>
      <c r="I1070" s="18" t="s">
        <v>38</v>
      </c>
      <c r="J1070" s="18" t="s">
        <v>1556</v>
      </c>
      <c r="K1070" s="23" t="s">
        <v>1558</v>
      </c>
      <c r="L1070" s="21" t="str">
        <f>"RUTL-"&amp;RIGHT(K1070,8)</f>
        <v>RUTL-PF0LC477</v>
      </c>
      <c r="M1070" s="34" t="s">
        <v>40</v>
      </c>
      <c r="N1070" s="57" t="s">
        <v>664</v>
      </c>
      <c r="O1070" s="23"/>
      <c r="P1070" s="39" t="s">
        <v>90</v>
      </c>
      <c r="Q1070" s="113"/>
      <c r="R1070" s="15" t="s">
        <v>56</v>
      </c>
      <c r="S1070" s="37" t="s">
        <v>57</v>
      </c>
      <c r="T1070" s="87" t="s">
        <v>142</v>
      </c>
      <c r="U1070" s="47" t="s">
        <v>1560</v>
      </c>
      <c r="V1070" s="23"/>
      <c r="W1070" s="23"/>
      <c r="X1070" s="30"/>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5"/>
      <c r="BM1070" s="5"/>
      <c r="BN1070" s="5"/>
      <c r="BO1070" s="5"/>
      <c r="BP1070" s="5"/>
      <c r="BQ1070" s="5"/>
      <c r="BR1070" s="5"/>
      <c r="BS1070" s="5"/>
      <c r="BT1070" s="5"/>
      <c r="BU1070" s="5"/>
      <c r="BV1070" s="5"/>
      <c r="BW1070" s="5"/>
      <c r="BX1070" s="5"/>
      <c r="BY1070" s="5"/>
      <c r="BZ1070" s="5"/>
      <c r="CA1070" s="5"/>
      <c r="CB1070" s="5"/>
      <c r="CC1070" s="5"/>
      <c r="CD1070" s="5"/>
      <c r="CE1070" s="5"/>
      <c r="CF1070" s="5"/>
      <c r="CG1070" s="5"/>
      <c r="CH1070" s="5"/>
      <c r="CI1070" s="5"/>
      <c r="CJ1070" s="5"/>
      <c r="CK1070" s="5"/>
      <c r="CL1070" s="5"/>
      <c r="CM1070" s="5"/>
      <c r="CN1070" s="5"/>
      <c r="CO1070" s="5"/>
      <c r="CP1070" s="5"/>
      <c r="CQ1070" s="5"/>
      <c r="CR1070" s="5"/>
      <c r="CS1070" s="5"/>
      <c r="CT1070" s="5"/>
      <c r="CU1070" s="5"/>
      <c r="CV1070" s="5"/>
      <c r="CW1070" s="5"/>
      <c r="CX1070" s="5"/>
      <c r="CY1070" s="5"/>
      <c r="CZ1070" s="5"/>
      <c r="DA1070" s="5"/>
      <c r="DB1070" s="5"/>
      <c r="DC1070" s="5"/>
      <c r="DD1070" s="5"/>
      <c r="DE1070" s="5"/>
      <c r="DF1070" s="5"/>
      <c r="DG1070" s="5"/>
      <c r="DH1070" s="5"/>
      <c r="DI1070" s="5"/>
      <c r="DJ1070" s="5"/>
      <c r="DK1070" s="5"/>
      <c r="DL1070" s="5"/>
      <c r="DM1070" s="5"/>
      <c r="DN1070" s="5"/>
      <c r="DO1070" s="5"/>
      <c r="DP1070" s="5"/>
      <c r="DQ1070" s="5"/>
      <c r="DR1070" s="5"/>
      <c r="DS1070" s="5"/>
      <c r="DT1070" s="5"/>
      <c r="DU1070" s="5"/>
      <c r="DV1070" s="5"/>
      <c r="DW1070" s="5"/>
      <c r="DX1070" s="5"/>
      <c r="DY1070" s="5"/>
      <c r="DZ1070" s="5"/>
      <c r="EA1070" s="5"/>
      <c r="EB1070" s="5"/>
      <c r="EC1070" s="5"/>
      <c r="ED1070" s="5"/>
      <c r="EE1070" s="5"/>
    </row>
    <row r="1071" spans="1:135" ht="15.75" customHeight="1" thickBot="1" x14ac:dyDescent="0.3">
      <c r="A1071" s="578" t="s">
        <v>4780</v>
      </c>
      <c r="B1071" s="16">
        <v>10085</v>
      </c>
      <c r="C1071" s="455" t="s">
        <v>4776</v>
      </c>
      <c r="D1071" s="10" t="s">
        <v>4777</v>
      </c>
      <c r="E1071" s="28" t="s">
        <v>25</v>
      </c>
      <c r="F1071" s="20" t="s">
        <v>4778</v>
      </c>
      <c r="G1071" s="15" t="s">
        <v>4779</v>
      </c>
      <c r="H1071" s="17" t="s">
        <v>891</v>
      </c>
      <c r="I1071" s="24" t="s">
        <v>48</v>
      </c>
      <c r="J1071" s="24" t="s">
        <v>82</v>
      </c>
      <c r="K1071" s="33" t="s">
        <v>4781</v>
      </c>
      <c r="L1071" s="25" t="str">
        <f>"RUTL-"&amp;RIGHT(K1071,8)</f>
        <v>RUTL-PC0KL0MA</v>
      </c>
      <c r="M1071" s="34" t="s">
        <v>40</v>
      </c>
      <c r="N1071" s="23" t="s">
        <v>54</v>
      </c>
      <c r="O1071" s="23"/>
      <c r="P1071" s="39" t="s">
        <v>90</v>
      </c>
      <c r="Q1071" s="39" t="s">
        <v>4782</v>
      </c>
      <c r="R1071" s="15" t="s">
        <v>56</v>
      </c>
      <c r="S1071" s="40" t="s">
        <v>57</v>
      </c>
      <c r="T1071" s="41" t="s">
        <v>65</v>
      </c>
      <c r="U1071" s="23" t="s">
        <v>4783</v>
      </c>
      <c r="V1071" s="48"/>
      <c r="W1071" s="23"/>
      <c r="X1071" s="329"/>
      <c r="Y1071" s="30"/>
      <c r="Z1071" s="30"/>
      <c r="AA1071" s="30"/>
      <c r="AB1071" s="30"/>
      <c r="AC1071" s="30"/>
      <c r="AD1071" s="30"/>
      <c r="AE1071" s="30"/>
      <c r="AF1071" s="30"/>
      <c r="AG1071" s="30"/>
      <c r="AH1071" s="30"/>
      <c r="AI1071" s="30"/>
      <c r="AJ1071" s="30"/>
      <c r="AK1071" s="30"/>
      <c r="AL1071" s="30"/>
      <c r="AM1071" s="30"/>
      <c r="AN1071" s="30"/>
      <c r="AO1071" s="30"/>
      <c r="AP1071" s="30"/>
      <c r="AQ1071" s="30"/>
      <c r="AR1071" s="30"/>
      <c r="AS1071" s="30"/>
      <c r="AT1071" s="30"/>
      <c r="AU1071" s="30"/>
      <c r="AV1071" s="30"/>
      <c r="AW1071" s="30"/>
      <c r="AX1071" s="30"/>
      <c r="AY1071" s="30"/>
      <c r="AZ1071" s="30"/>
      <c r="BA1071" s="30"/>
      <c r="BB1071" s="30"/>
      <c r="BC1071" s="30"/>
      <c r="BD1071" s="30"/>
      <c r="BE1071" s="30"/>
      <c r="BF1071" s="30"/>
      <c r="BG1071" s="30"/>
      <c r="BH1071" s="30"/>
      <c r="BI1071" s="30"/>
      <c r="BJ1071" s="30"/>
      <c r="BK1071" s="30"/>
      <c r="BL1071" s="30"/>
      <c r="BM1071" s="30"/>
      <c r="BN1071" s="30"/>
      <c r="BO1071" s="30"/>
      <c r="BP1071" s="30"/>
      <c r="BQ1071" s="30"/>
      <c r="BR1071" s="30"/>
      <c r="BS1071" s="30"/>
      <c r="BT1071" s="30"/>
      <c r="BU1071" s="30"/>
      <c r="BV1071" s="30"/>
      <c r="BW1071" s="30"/>
      <c r="BX1071" s="30"/>
      <c r="BY1071" s="30"/>
      <c r="BZ1071" s="30"/>
      <c r="CA1071" s="30"/>
      <c r="CB1071" s="30"/>
      <c r="CC1071" s="30"/>
      <c r="CD1071" s="30"/>
      <c r="CE1071" s="30"/>
      <c r="CF1071" s="30"/>
      <c r="CG1071" s="30"/>
      <c r="CH1071" s="30"/>
      <c r="CI1071" s="30"/>
      <c r="CJ1071" s="30"/>
      <c r="CK1071" s="30"/>
      <c r="CL1071" s="30"/>
      <c r="CM1071" s="30"/>
      <c r="CN1071" s="30"/>
      <c r="CO1071" s="30"/>
      <c r="CP1071" s="30"/>
      <c r="CQ1071" s="30"/>
      <c r="CR1071" s="30"/>
      <c r="CS1071" s="30"/>
      <c r="CT1071" s="30"/>
      <c r="CU1071" s="30"/>
      <c r="CV1071" s="30"/>
      <c r="CW1071" s="30"/>
      <c r="CX1071" s="30"/>
      <c r="CY1071" s="30"/>
      <c r="CZ1071" s="30"/>
      <c r="DA1071" s="30"/>
      <c r="DB1071" s="30"/>
      <c r="DC1071" s="30"/>
      <c r="DD1071" s="30"/>
      <c r="DE1071" s="30"/>
      <c r="DF1071" s="30"/>
      <c r="DG1071" s="30"/>
      <c r="DH1071" s="30"/>
      <c r="DI1071" s="30"/>
      <c r="DJ1071" s="30"/>
      <c r="DK1071" s="30"/>
      <c r="DL1071" s="30"/>
      <c r="DM1071" s="30"/>
      <c r="DN1071" s="30"/>
      <c r="DO1071" s="30"/>
      <c r="DP1071" s="30"/>
      <c r="DQ1071" s="30"/>
      <c r="DR1071" s="30"/>
      <c r="DS1071" s="30"/>
      <c r="DT1071" s="30"/>
      <c r="DU1071" s="30"/>
      <c r="DV1071" s="30"/>
      <c r="DW1071" s="30"/>
      <c r="DX1071" s="30"/>
      <c r="DY1071" s="30"/>
      <c r="DZ1071" s="30"/>
      <c r="EA1071" s="30"/>
      <c r="EB1071" s="30"/>
      <c r="EC1071" s="30"/>
      <c r="ED1071" s="30"/>
      <c r="EE1071" s="30"/>
    </row>
    <row r="1072" spans="1:135" ht="15.75" customHeight="1" thickBot="1" x14ac:dyDescent="0.3">
      <c r="A1072" s="578" t="s">
        <v>1472</v>
      </c>
      <c r="B1072" s="23"/>
      <c r="C1072" s="99" t="s">
        <v>1470</v>
      </c>
      <c r="D1072" s="174" t="s">
        <v>1471</v>
      </c>
      <c r="E1072" s="28" t="s">
        <v>25</v>
      </c>
      <c r="F1072" s="20"/>
      <c r="G1072" s="12" t="s">
        <v>1270</v>
      </c>
      <c r="H1072" s="53" t="s">
        <v>1273</v>
      </c>
      <c r="I1072" s="18" t="s">
        <v>48</v>
      </c>
      <c r="J1072" s="18" t="s">
        <v>82</v>
      </c>
      <c r="K1072" s="253" t="s">
        <v>1479</v>
      </c>
      <c r="L1072" s="21" t="str">
        <f>"RUTL-"&amp;RIGHT(K1072,8)</f>
        <v>RUTL-PC0KL0MB</v>
      </c>
      <c r="M1072" s="144" t="s">
        <v>40</v>
      </c>
      <c r="N1072" s="253"/>
      <c r="O1072" s="253"/>
      <c r="P1072" s="253"/>
      <c r="Q1072" s="253"/>
      <c r="R1072" s="15" t="s">
        <v>56</v>
      </c>
      <c r="S1072" s="37" t="s">
        <v>57</v>
      </c>
      <c r="T1072" s="107" t="s">
        <v>453</v>
      </c>
      <c r="U1072" s="47" t="s">
        <v>1481</v>
      </c>
      <c r="V1072" s="253"/>
      <c r="W1072" s="253"/>
      <c r="X1072" s="71"/>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c r="BR1072" s="5"/>
      <c r="BS1072" s="5"/>
      <c r="BT1072" s="5"/>
      <c r="BU1072" s="5"/>
      <c r="BV1072" s="5"/>
      <c r="BW1072" s="5"/>
      <c r="BX1072" s="5"/>
      <c r="BY1072" s="5"/>
      <c r="BZ1072" s="5"/>
      <c r="CA1072" s="5"/>
      <c r="CB1072" s="5"/>
      <c r="CC1072" s="5"/>
      <c r="CD1072" s="5"/>
      <c r="CE1072" s="5"/>
      <c r="CF1072" s="5"/>
      <c r="CG1072" s="5"/>
      <c r="CH1072" s="5"/>
      <c r="CI1072" s="5"/>
      <c r="CJ1072" s="5"/>
      <c r="CK1072" s="5"/>
      <c r="CL1072" s="5"/>
      <c r="CM1072" s="5"/>
      <c r="CN1072" s="5"/>
      <c r="CO1072" s="5"/>
      <c r="CP1072" s="5"/>
      <c r="CQ1072" s="5"/>
      <c r="CR1072" s="5"/>
      <c r="CS1072" s="5"/>
      <c r="CT1072" s="5"/>
      <c r="CU1072" s="5"/>
      <c r="CV1072" s="5"/>
      <c r="CW1072" s="5"/>
      <c r="CX1072" s="5"/>
      <c r="CY1072" s="5"/>
      <c r="CZ1072" s="5"/>
      <c r="DA1072" s="5"/>
      <c r="DB1072" s="5"/>
      <c r="DC1072" s="5"/>
      <c r="DD1072" s="5"/>
      <c r="DE1072" s="5"/>
      <c r="DF1072" s="5"/>
      <c r="DG1072" s="5"/>
      <c r="DH1072" s="5"/>
      <c r="DI1072" s="5"/>
      <c r="DJ1072" s="5"/>
      <c r="DK1072" s="5"/>
      <c r="DL1072" s="5"/>
      <c r="DM1072" s="5"/>
      <c r="DN1072" s="5"/>
      <c r="DO1072" s="5"/>
      <c r="DP1072" s="5"/>
      <c r="DQ1072" s="5"/>
      <c r="DR1072" s="5"/>
      <c r="DS1072" s="5"/>
      <c r="DT1072" s="5"/>
      <c r="DU1072" s="5"/>
      <c r="DV1072" s="5"/>
      <c r="DW1072" s="5"/>
      <c r="DX1072" s="5"/>
      <c r="DY1072" s="5"/>
      <c r="DZ1072" s="5"/>
      <c r="EA1072" s="5"/>
      <c r="EB1072" s="5"/>
      <c r="EC1072" s="5"/>
      <c r="ED1072" s="5"/>
      <c r="EE1072" s="5"/>
    </row>
    <row r="1073" spans="1:135" ht="15.75" customHeight="1" thickBot="1" x14ac:dyDescent="0.3">
      <c r="A1073" s="578" t="s">
        <v>5699</v>
      </c>
      <c r="B1073" s="8">
        <v>13593</v>
      </c>
      <c r="C1073" s="167" t="s">
        <v>5697</v>
      </c>
      <c r="D1073" s="10" t="s">
        <v>24</v>
      </c>
      <c r="E1073" s="11" t="s">
        <v>25</v>
      </c>
      <c r="F1073" s="29" t="s">
        <v>5698</v>
      </c>
      <c r="G1073" s="15" t="s">
        <v>2794</v>
      </c>
      <c r="H1073" s="313" t="s">
        <v>2182</v>
      </c>
      <c r="I1073" s="24" t="s">
        <v>48</v>
      </c>
      <c r="J1073" s="24" t="s">
        <v>82</v>
      </c>
      <c r="K1073" s="23" t="s">
        <v>5700</v>
      </c>
      <c r="L1073" s="25" t="str">
        <f>"RUTL-"&amp;RIGHT(K1073,8)</f>
        <v>RUTL-PC0KL0M2</v>
      </c>
      <c r="M1073" s="34" t="s">
        <v>40</v>
      </c>
      <c r="N1073" s="90" t="s">
        <v>410</v>
      </c>
      <c r="O1073" s="32"/>
      <c r="P1073" s="39" t="s">
        <v>90</v>
      </c>
      <c r="Q1073" s="63" t="s">
        <v>5701</v>
      </c>
      <c r="R1073" s="15" t="s">
        <v>56</v>
      </c>
      <c r="S1073" s="37" t="s">
        <v>57</v>
      </c>
      <c r="T1073" s="105" t="s">
        <v>148</v>
      </c>
      <c r="U1073" s="32" t="s">
        <v>5702</v>
      </c>
      <c r="V1073" s="32"/>
      <c r="W1073" s="32"/>
      <c r="X1073" s="71"/>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5"/>
      <c r="BN1073" s="5"/>
      <c r="BO1073" s="5"/>
      <c r="BP1073" s="5"/>
      <c r="BQ1073" s="5"/>
      <c r="BR1073" s="5"/>
      <c r="BS1073" s="5"/>
      <c r="BT1073" s="5"/>
      <c r="BU1073" s="5"/>
      <c r="BV1073" s="5"/>
      <c r="BW1073" s="5"/>
      <c r="BX1073" s="5"/>
      <c r="BY1073" s="5"/>
      <c r="BZ1073" s="5"/>
      <c r="CA1073" s="5"/>
      <c r="CB1073" s="5"/>
      <c r="CC1073" s="5"/>
      <c r="CD1073" s="5"/>
      <c r="CE1073" s="5"/>
      <c r="CF1073" s="5"/>
      <c r="CG1073" s="5"/>
      <c r="CH1073" s="5"/>
      <c r="CI1073" s="5"/>
      <c r="CJ1073" s="5"/>
      <c r="CK1073" s="5"/>
      <c r="CL1073" s="5"/>
      <c r="CM1073" s="5"/>
      <c r="CN1073" s="5"/>
      <c r="CO1073" s="5"/>
      <c r="CP1073" s="5"/>
      <c r="CQ1073" s="5"/>
      <c r="CR1073" s="5"/>
      <c r="CS1073" s="5"/>
      <c r="CT1073" s="5"/>
      <c r="CU1073" s="5"/>
      <c r="CV1073" s="5"/>
      <c r="CW1073" s="5"/>
      <c r="CX1073" s="5"/>
      <c r="CY1073" s="5"/>
      <c r="CZ1073" s="5"/>
      <c r="DA1073" s="5"/>
      <c r="DB1073" s="5"/>
      <c r="DC1073" s="5"/>
      <c r="DD1073" s="5"/>
      <c r="DE1073" s="5"/>
      <c r="DF1073" s="5"/>
      <c r="DG1073" s="5"/>
      <c r="DH1073" s="5"/>
      <c r="DI1073" s="5"/>
      <c r="DJ1073" s="5"/>
      <c r="DK1073" s="5"/>
      <c r="DL1073" s="5"/>
      <c r="DM1073" s="5"/>
      <c r="DN1073" s="5"/>
      <c r="DO1073" s="5"/>
      <c r="DP1073" s="5"/>
      <c r="DQ1073" s="5"/>
      <c r="DR1073" s="5"/>
      <c r="DS1073" s="5"/>
      <c r="DT1073" s="5"/>
      <c r="DU1073" s="5"/>
      <c r="DV1073" s="5"/>
      <c r="DW1073" s="5"/>
      <c r="DX1073" s="5"/>
      <c r="DY1073" s="5"/>
      <c r="DZ1073" s="5"/>
      <c r="EA1073" s="5"/>
      <c r="EB1073" s="5"/>
      <c r="EC1073" s="5"/>
      <c r="ED1073" s="5"/>
      <c r="EE1073" s="5"/>
    </row>
    <row r="1074" spans="1:135" ht="15.75" customHeight="1" thickBot="1" x14ac:dyDescent="0.3">
      <c r="A1074" s="578" t="s">
        <v>4533</v>
      </c>
      <c r="B1074" s="16">
        <v>9051</v>
      </c>
      <c r="C1074" s="72" t="s">
        <v>4530</v>
      </c>
      <c r="D1074" s="10" t="s">
        <v>4531</v>
      </c>
      <c r="E1074" s="11" t="s">
        <v>25</v>
      </c>
      <c r="F1074" s="20" t="s">
        <v>4532</v>
      </c>
      <c r="G1074" s="15" t="s">
        <v>2764</v>
      </c>
      <c r="H1074" s="104" t="s">
        <v>349</v>
      </c>
      <c r="I1074" s="18" t="s">
        <v>48</v>
      </c>
      <c r="J1074" s="18" t="s">
        <v>82</v>
      </c>
      <c r="K1074" s="33" t="s">
        <v>4534</v>
      </c>
      <c r="L1074" s="25" t="str">
        <f>"RUTL-"&amp;RIGHT(K1074,8)</f>
        <v>RUTL-PC0KNC8N</v>
      </c>
      <c r="M1074" s="34" t="s">
        <v>40</v>
      </c>
      <c r="N1074" s="23"/>
      <c r="O1074" s="23"/>
      <c r="P1074" s="23"/>
      <c r="Q1074" s="63" t="s">
        <v>4535</v>
      </c>
      <c r="R1074" s="15" t="s">
        <v>56</v>
      </c>
      <c r="S1074" s="37" t="s">
        <v>57</v>
      </c>
      <c r="T1074" s="107" t="s">
        <v>453</v>
      </c>
      <c r="U1074" s="39" t="s">
        <v>3787</v>
      </c>
      <c r="V1074" s="23"/>
      <c r="W1074" s="23"/>
      <c r="X1074" s="71"/>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5"/>
      <c r="BN1074" s="5"/>
      <c r="BO1074" s="5"/>
      <c r="BP1074" s="5"/>
      <c r="BQ1074" s="5"/>
      <c r="BR1074" s="5"/>
      <c r="BS1074" s="5"/>
      <c r="BT1074" s="5"/>
      <c r="BU1074" s="5"/>
      <c r="BV1074" s="5"/>
      <c r="BW1074" s="5"/>
      <c r="BX1074" s="5"/>
      <c r="BY1074" s="5"/>
      <c r="BZ1074" s="5"/>
      <c r="CA1074" s="5"/>
      <c r="CB1074" s="5"/>
      <c r="CC1074" s="5"/>
      <c r="CD1074" s="5"/>
      <c r="CE1074" s="5"/>
      <c r="CF1074" s="5"/>
      <c r="CG1074" s="5"/>
      <c r="CH1074" s="5"/>
      <c r="CI1074" s="5"/>
      <c r="CJ1074" s="5"/>
      <c r="CK1074" s="5"/>
      <c r="CL1074" s="5"/>
      <c r="CM1074" s="5"/>
      <c r="CN1074" s="5"/>
      <c r="CO1074" s="5"/>
      <c r="CP1074" s="5"/>
      <c r="CQ1074" s="5"/>
      <c r="CR1074" s="5"/>
      <c r="CS1074" s="5"/>
      <c r="CT1074" s="5"/>
      <c r="CU1074" s="5"/>
      <c r="CV1074" s="5"/>
      <c r="CW1074" s="5"/>
      <c r="CX1074" s="5"/>
      <c r="CY1074" s="5"/>
      <c r="CZ1074" s="5"/>
      <c r="DA1074" s="5"/>
      <c r="DB1074" s="5"/>
      <c r="DC1074" s="5"/>
      <c r="DD1074" s="5"/>
      <c r="DE1074" s="5"/>
      <c r="DF1074" s="5"/>
      <c r="DG1074" s="5"/>
      <c r="DH1074" s="5"/>
      <c r="DI1074" s="5"/>
      <c r="DJ1074" s="5"/>
      <c r="DK1074" s="5"/>
      <c r="DL1074" s="5"/>
      <c r="DM1074" s="5"/>
      <c r="DN1074" s="5"/>
      <c r="DO1074" s="5"/>
      <c r="DP1074" s="5"/>
      <c r="DQ1074" s="5"/>
      <c r="DR1074" s="5"/>
      <c r="DS1074" s="5"/>
      <c r="DT1074" s="5"/>
      <c r="DU1074" s="5"/>
      <c r="DV1074" s="5"/>
      <c r="DW1074" s="5"/>
      <c r="DX1074" s="5"/>
      <c r="DY1074" s="5"/>
      <c r="DZ1074" s="5"/>
      <c r="EA1074" s="5"/>
      <c r="EB1074" s="5"/>
      <c r="EC1074" s="5"/>
      <c r="ED1074" s="5"/>
      <c r="EE1074" s="5"/>
    </row>
    <row r="1075" spans="1:135" ht="15.75" customHeight="1" thickBot="1" x14ac:dyDescent="0.3">
      <c r="A1075" s="578" t="s">
        <v>7139</v>
      </c>
      <c r="B1075" s="8">
        <v>17633</v>
      </c>
      <c r="C1075" s="72" t="s">
        <v>7137</v>
      </c>
      <c r="D1075" s="10" t="s">
        <v>24</v>
      </c>
      <c r="E1075" s="28" t="s">
        <v>25</v>
      </c>
      <c r="F1075" s="20" t="s">
        <v>7138</v>
      </c>
      <c r="G1075" s="15" t="s">
        <v>1351</v>
      </c>
      <c r="H1075" s="17" t="s">
        <v>891</v>
      </c>
      <c r="I1075" s="18" t="s">
        <v>135</v>
      </c>
      <c r="J1075" s="18" t="s">
        <v>842</v>
      </c>
      <c r="K1075" s="23" t="s">
        <v>7140</v>
      </c>
      <c r="L1075" s="25" t="str">
        <f>"RUTL-"&amp;RIGHT(K1075,8)</f>
        <v>RUTL-PF0W18NK</v>
      </c>
      <c r="M1075" s="34" t="s">
        <v>40</v>
      </c>
      <c r="N1075" s="23" t="s">
        <v>54</v>
      </c>
      <c r="O1075" s="23"/>
      <c r="P1075" s="39" t="s">
        <v>90</v>
      </c>
      <c r="Q1075" s="113"/>
      <c r="R1075" s="15" t="s">
        <v>56</v>
      </c>
      <c r="S1075" s="37" t="s">
        <v>57</v>
      </c>
      <c r="T1075" s="118" t="s">
        <v>65</v>
      </c>
      <c r="U1075" s="23" t="s">
        <v>6155</v>
      </c>
      <c r="V1075" s="23"/>
      <c r="W1075" s="23" t="s">
        <v>441</v>
      </c>
      <c r="X1075" s="66"/>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c r="BW1075" s="5"/>
      <c r="BX1075" s="5"/>
      <c r="BY1075" s="5"/>
      <c r="BZ1075" s="5"/>
      <c r="CA1075" s="5"/>
      <c r="CB1075" s="5"/>
      <c r="CC1075" s="5"/>
      <c r="CD1075" s="5"/>
      <c r="CE1075" s="5"/>
      <c r="CF1075" s="5"/>
      <c r="CG1075" s="5"/>
      <c r="CH1075" s="5"/>
      <c r="CI1075" s="5"/>
      <c r="CJ1075" s="5"/>
      <c r="CK1075" s="5"/>
      <c r="CL1075" s="5"/>
      <c r="CM1075" s="5"/>
      <c r="CN1075" s="5"/>
      <c r="CO1075" s="5"/>
      <c r="CP1075" s="5"/>
      <c r="CQ1075" s="5"/>
      <c r="CR1075" s="5"/>
      <c r="CS1075" s="5"/>
      <c r="CT1075" s="5"/>
      <c r="CU1075" s="5"/>
      <c r="CV1075" s="5"/>
      <c r="CW1075" s="5"/>
      <c r="CX1075" s="5"/>
      <c r="CY1075" s="5"/>
      <c r="CZ1075" s="5"/>
      <c r="DA1075" s="5"/>
      <c r="DB1075" s="5"/>
      <c r="DC1075" s="5"/>
      <c r="DD1075" s="5"/>
      <c r="DE1075" s="5"/>
      <c r="DF1075" s="5"/>
      <c r="DG1075" s="5"/>
      <c r="DH1075" s="5"/>
      <c r="DI1075" s="5"/>
      <c r="DJ1075" s="5"/>
      <c r="DK1075" s="5"/>
      <c r="DL1075" s="5"/>
      <c r="DM1075" s="5"/>
      <c r="DN1075" s="5"/>
      <c r="DO1075" s="5"/>
      <c r="DP1075" s="5"/>
      <c r="DQ1075" s="5"/>
      <c r="DR1075" s="5"/>
      <c r="DS1075" s="5"/>
      <c r="DT1075" s="5"/>
      <c r="DU1075" s="5"/>
      <c r="DV1075" s="5"/>
      <c r="DW1075" s="5"/>
      <c r="DX1075" s="5"/>
      <c r="DY1075" s="5"/>
      <c r="DZ1075" s="5"/>
      <c r="EA1075" s="5"/>
      <c r="EB1075" s="5"/>
      <c r="EC1075" s="5"/>
      <c r="ED1075" s="5"/>
      <c r="EE1075" s="5"/>
    </row>
    <row r="1076" spans="1:135" ht="15.75" customHeight="1" thickBot="1" x14ac:dyDescent="0.3">
      <c r="A1076" s="578" t="s">
        <v>1322</v>
      </c>
      <c r="B1076" s="8">
        <v>539</v>
      </c>
      <c r="C1076" s="72" t="s">
        <v>1312</v>
      </c>
      <c r="D1076" s="15" t="s">
        <v>1315</v>
      </c>
      <c r="E1076" s="11" t="s">
        <v>25</v>
      </c>
      <c r="F1076" s="12" t="s">
        <v>1316</v>
      </c>
      <c r="G1076" s="15" t="s">
        <v>606</v>
      </c>
      <c r="H1076" s="53" t="s">
        <v>1319</v>
      </c>
      <c r="I1076" s="18" t="s">
        <v>117</v>
      </c>
      <c r="J1076" s="18" t="s">
        <v>842</v>
      </c>
      <c r="K1076" s="23" t="s">
        <v>1326</v>
      </c>
      <c r="L1076" s="25" t="str">
        <f>"RUTL-"&amp;RIGHT(K1076,8)</f>
        <v>RUTL-PF10YR5K</v>
      </c>
      <c r="M1076" s="34" t="s">
        <v>40</v>
      </c>
      <c r="N1076" s="23" t="s">
        <v>43</v>
      </c>
      <c r="O1076" s="23"/>
      <c r="P1076" s="39" t="s">
        <v>864</v>
      </c>
      <c r="Q1076" s="113"/>
      <c r="R1076" s="15" t="s">
        <v>1328</v>
      </c>
      <c r="S1076" s="23" t="s">
        <v>1329</v>
      </c>
      <c r="T1076" s="101" t="s">
        <v>96</v>
      </c>
      <c r="U1076" s="23" t="s">
        <v>1331</v>
      </c>
      <c r="V1076" s="23"/>
      <c r="W1076" s="23"/>
      <c r="X1076" s="71"/>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5"/>
      <c r="CK1076" s="5"/>
      <c r="CL1076" s="5"/>
      <c r="CM1076" s="5"/>
      <c r="CN1076" s="5"/>
      <c r="CO1076" s="5"/>
      <c r="CP1076" s="5"/>
      <c r="CQ1076" s="5"/>
      <c r="CR1076" s="5"/>
      <c r="CS1076" s="5"/>
      <c r="CT1076" s="5"/>
      <c r="CU1076" s="5"/>
      <c r="CV1076" s="5"/>
      <c r="CW1076" s="5"/>
      <c r="CX1076" s="5"/>
      <c r="CY1076" s="5"/>
      <c r="CZ1076" s="5"/>
      <c r="DA1076" s="5"/>
      <c r="DB1076" s="5"/>
      <c r="DC1076" s="5"/>
      <c r="DD1076" s="5"/>
      <c r="DE1076" s="5"/>
      <c r="DF1076" s="5"/>
      <c r="DG1076" s="5"/>
      <c r="DH1076" s="5"/>
      <c r="DI1076" s="5"/>
      <c r="DJ1076" s="5"/>
      <c r="DK1076" s="5"/>
      <c r="DL1076" s="5"/>
      <c r="DM1076" s="5"/>
      <c r="DN1076" s="5"/>
      <c r="DO1076" s="5"/>
      <c r="DP1076" s="5"/>
      <c r="DQ1076" s="5"/>
      <c r="DR1076" s="5"/>
      <c r="DS1076" s="5"/>
      <c r="DT1076" s="5"/>
      <c r="DU1076" s="5"/>
      <c r="DV1076" s="5"/>
      <c r="DW1076" s="5"/>
      <c r="DX1076" s="5"/>
      <c r="DY1076" s="5"/>
      <c r="DZ1076" s="5"/>
      <c r="EA1076" s="5"/>
      <c r="EB1076" s="5"/>
      <c r="EC1076" s="5"/>
      <c r="ED1076" s="5"/>
      <c r="EE1076" s="5"/>
    </row>
    <row r="1077" spans="1:135" ht="15.75" customHeight="1" thickBot="1" x14ac:dyDescent="0.3">
      <c r="A1077" s="578" t="s">
        <v>4626</v>
      </c>
      <c r="B1077" s="16">
        <v>9506</v>
      </c>
      <c r="C1077" s="72" t="s">
        <v>4624</v>
      </c>
      <c r="D1077" s="10" t="s">
        <v>24</v>
      </c>
      <c r="E1077" s="11" t="s">
        <v>25</v>
      </c>
      <c r="F1077" s="29" t="s">
        <v>4625</v>
      </c>
      <c r="G1077" s="15" t="s">
        <v>3517</v>
      </c>
      <c r="H1077" s="17" t="s">
        <v>1846</v>
      </c>
      <c r="I1077" s="18" t="s">
        <v>135</v>
      </c>
      <c r="J1077" s="18" t="s">
        <v>842</v>
      </c>
      <c r="K1077" s="33" t="s">
        <v>4627</v>
      </c>
      <c r="L1077" s="25" t="str">
        <f>"RUTL-"&amp;RIGHT(K1077,8)</f>
        <v>RUTL-PF1012XD</v>
      </c>
      <c r="M1077" s="34" t="s">
        <v>40</v>
      </c>
      <c r="N1077" s="23" t="s">
        <v>54</v>
      </c>
      <c r="O1077" s="23"/>
      <c r="P1077" s="90" t="s">
        <v>90</v>
      </c>
      <c r="Q1077" s="63" t="s">
        <v>4628</v>
      </c>
      <c r="R1077" s="15" t="s">
        <v>56</v>
      </c>
      <c r="S1077" s="40" t="s">
        <v>57</v>
      </c>
      <c r="T1077" s="41" t="s">
        <v>65</v>
      </c>
      <c r="U1077" s="39" t="s">
        <v>1803</v>
      </c>
      <c r="V1077" s="23"/>
      <c r="W1077" s="23"/>
      <c r="X1077" s="71"/>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c r="AX1077" s="5"/>
      <c r="AY1077" s="5"/>
      <c r="AZ1077" s="5"/>
      <c r="BA1077" s="5"/>
      <c r="BB1077" s="5"/>
      <c r="BC1077" s="5"/>
      <c r="BD1077" s="5"/>
      <c r="BE1077" s="5"/>
      <c r="BF1077" s="5"/>
      <c r="BG1077" s="5"/>
      <c r="BH1077" s="5"/>
      <c r="BI1077" s="5"/>
      <c r="BJ1077" s="5"/>
      <c r="BK1077" s="5"/>
      <c r="BL1077" s="5"/>
      <c r="BM1077" s="5"/>
      <c r="BN1077" s="5"/>
      <c r="BO1077" s="5"/>
      <c r="BP1077" s="5"/>
      <c r="BQ1077" s="5"/>
      <c r="BR1077" s="5"/>
      <c r="BS1077" s="5"/>
      <c r="BT1077" s="5"/>
      <c r="BU1077" s="5"/>
      <c r="BV1077" s="5"/>
      <c r="BW1077" s="5"/>
      <c r="BX1077" s="5"/>
      <c r="BY1077" s="5"/>
      <c r="BZ1077" s="5"/>
      <c r="CA1077" s="5"/>
      <c r="CB1077" s="5"/>
      <c r="CC1077" s="5"/>
      <c r="CD1077" s="5"/>
      <c r="CE1077" s="5"/>
      <c r="CF1077" s="5"/>
      <c r="CG1077" s="5"/>
      <c r="CH1077" s="5"/>
      <c r="CI1077" s="5"/>
      <c r="CJ1077" s="5"/>
      <c r="CK1077" s="5"/>
      <c r="CL1077" s="5"/>
      <c r="CM1077" s="5"/>
      <c r="CN1077" s="5"/>
      <c r="CO1077" s="5"/>
      <c r="CP1077" s="5"/>
      <c r="CQ1077" s="5"/>
      <c r="CR1077" s="5"/>
      <c r="CS1077" s="5"/>
      <c r="CT1077" s="5"/>
      <c r="CU1077" s="5"/>
      <c r="CV1077" s="5"/>
      <c r="CW1077" s="5"/>
      <c r="CX1077" s="5"/>
      <c r="CY1077" s="5"/>
      <c r="CZ1077" s="5"/>
      <c r="DA1077" s="5"/>
      <c r="DB1077" s="5"/>
      <c r="DC1077" s="5"/>
      <c r="DD1077" s="5"/>
      <c r="DE1077" s="5"/>
      <c r="DF1077" s="5"/>
      <c r="DG1077" s="5"/>
      <c r="DH1077" s="5"/>
      <c r="DI1077" s="5"/>
      <c r="DJ1077" s="5"/>
      <c r="DK1077" s="5"/>
      <c r="DL1077" s="5"/>
      <c r="DM1077" s="5"/>
      <c r="DN1077" s="5"/>
      <c r="DO1077" s="5"/>
      <c r="DP1077" s="5"/>
      <c r="DQ1077" s="5"/>
      <c r="DR1077" s="5"/>
      <c r="DS1077" s="5"/>
      <c r="DT1077" s="5"/>
      <c r="DU1077" s="5"/>
      <c r="DV1077" s="5"/>
      <c r="DW1077" s="5"/>
      <c r="DX1077" s="5"/>
      <c r="DY1077" s="5"/>
      <c r="DZ1077" s="5"/>
      <c r="EA1077" s="5"/>
      <c r="EB1077" s="5"/>
      <c r="EC1077" s="5"/>
      <c r="ED1077" s="5"/>
      <c r="EE1077" s="5"/>
    </row>
    <row r="1078" spans="1:135" ht="27.75" customHeight="1" thickBot="1" x14ac:dyDescent="0.3">
      <c r="A1078" s="578" t="s">
        <v>1527</v>
      </c>
      <c r="B1078" s="442">
        <v>627</v>
      </c>
      <c r="C1078" s="52" t="s">
        <v>1518</v>
      </c>
      <c r="D1078" s="15" t="s">
        <v>1523</v>
      </c>
      <c r="E1078" s="11" t="s">
        <v>25</v>
      </c>
      <c r="F1078" s="12" t="s">
        <v>1524</v>
      </c>
      <c r="G1078" s="15" t="s">
        <v>1525</v>
      </c>
      <c r="H1078" s="17" t="s">
        <v>682</v>
      </c>
      <c r="I1078" s="54" t="s">
        <v>135</v>
      </c>
      <c r="J1078" s="18" t="s">
        <v>842</v>
      </c>
      <c r="K1078" s="23" t="s">
        <v>1529</v>
      </c>
      <c r="L1078" s="25" t="str">
        <f>"RUTL-"&amp;RIGHT(K1078,8)</f>
        <v>RUTL-PF0XKWTE</v>
      </c>
      <c r="M1078" s="34" t="s">
        <v>40</v>
      </c>
      <c r="N1078" s="15" t="s">
        <v>319</v>
      </c>
      <c r="O1078" s="227"/>
      <c r="P1078" s="39" t="s">
        <v>90</v>
      </c>
      <c r="Q1078" s="63" t="s">
        <v>1538</v>
      </c>
      <c r="R1078" s="15" t="s">
        <v>56</v>
      </c>
      <c r="S1078" s="37" t="s">
        <v>57</v>
      </c>
      <c r="T1078" s="105" t="s">
        <v>148</v>
      </c>
      <c r="U1078" s="39" t="s">
        <v>1541</v>
      </c>
      <c r="V1078" s="23"/>
      <c r="W1078" s="23"/>
      <c r="X1078" s="30"/>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c r="CA1078" s="6"/>
      <c r="CB1078" s="6"/>
      <c r="CC1078" s="6"/>
      <c r="CD1078" s="6"/>
      <c r="CE1078" s="6"/>
      <c r="CF1078" s="6"/>
      <c r="CG1078" s="6"/>
      <c r="CH1078" s="6"/>
      <c r="CI1078" s="6"/>
      <c r="CJ1078" s="6"/>
      <c r="CK1078" s="6"/>
      <c r="CL1078" s="6"/>
      <c r="CM1078" s="6"/>
      <c r="CN1078" s="6"/>
      <c r="CO1078" s="6"/>
      <c r="CP1078" s="6"/>
      <c r="CQ1078" s="6"/>
      <c r="CR1078" s="6"/>
      <c r="CS1078" s="6"/>
      <c r="CT1078" s="6"/>
      <c r="CU1078" s="6"/>
      <c r="CV1078" s="6"/>
      <c r="CW1078" s="6"/>
      <c r="CX1078" s="6"/>
      <c r="CY1078" s="6"/>
      <c r="CZ1078" s="6"/>
      <c r="DA1078" s="6"/>
      <c r="DB1078" s="6"/>
      <c r="DC1078" s="6"/>
      <c r="DD1078" s="6"/>
      <c r="DE1078" s="6"/>
      <c r="DF1078" s="6"/>
      <c r="DG1078" s="6"/>
      <c r="DH1078" s="6"/>
      <c r="DI1078" s="6"/>
      <c r="DJ1078" s="6"/>
      <c r="DK1078" s="6"/>
      <c r="DL1078" s="6"/>
      <c r="DM1078" s="6"/>
      <c r="DN1078" s="6"/>
      <c r="DO1078" s="6"/>
      <c r="DP1078" s="6"/>
      <c r="DQ1078" s="6"/>
      <c r="DR1078" s="6"/>
      <c r="DS1078" s="6"/>
      <c r="DT1078" s="6"/>
      <c r="DU1078" s="6"/>
      <c r="DV1078" s="6"/>
      <c r="DW1078" s="6"/>
      <c r="DX1078" s="6"/>
      <c r="DY1078" s="6"/>
      <c r="DZ1078" s="6"/>
      <c r="EA1078" s="6"/>
      <c r="EB1078" s="6"/>
      <c r="EC1078" s="6"/>
      <c r="ED1078" s="6"/>
      <c r="EE1078" s="6"/>
    </row>
    <row r="1079" spans="1:135" ht="15.75" customHeight="1" thickBot="1" x14ac:dyDescent="0.3">
      <c r="A1079" s="578" t="s">
        <v>5722</v>
      </c>
      <c r="B1079" s="8">
        <v>13609</v>
      </c>
      <c r="C1079" s="72" t="s">
        <v>5720</v>
      </c>
      <c r="D1079" s="10" t="s">
        <v>24</v>
      </c>
      <c r="E1079" s="11" t="s">
        <v>25</v>
      </c>
      <c r="F1079" s="20" t="s">
        <v>5721</v>
      </c>
      <c r="G1079" s="15" t="s">
        <v>4912</v>
      </c>
      <c r="H1079" s="119" t="s">
        <v>852</v>
      </c>
      <c r="I1079" s="18" t="s">
        <v>117</v>
      </c>
      <c r="J1079" s="18" t="s">
        <v>842</v>
      </c>
      <c r="K1079" s="23" t="s">
        <v>5723</v>
      </c>
      <c r="L1079" s="25" t="str">
        <f>"RUTL-"&amp;RIGHT(K1079,8)</f>
        <v>RUTL-PF10YPJN</v>
      </c>
      <c r="M1079" s="34" t="s">
        <v>40</v>
      </c>
      <c r="N1079" s="39" t="s">
        <v>414</v>
      </c>
      <c r="O1079" s="23" t="s">
        <v>5724</v>
      </c>
      <c r="P1079" s="39" t="s">
        <v>90</v>
      </c>
      <c r="Q1079" s="63" t="s">
        <v>5725</v>
      </c>
      <c r="R1079" s="15" t="s">
        <v>56</v>
      </c>
      <c r="S1079" s="37" t="s">
        <v>57</v>
      </c>
      <c r="T1079" s="107" t="s">
        <v>2395</v>
      </c>
      <c r="U1079" s="39" t="s">
        <v>5726</v>
      </c>
      <c r="V1079" s="23"/>
      <c r="W1079" s="23"/>
      <c r="X1079" s="71"/>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c r="DA1079" s="5"/>
      <c r="DB1079" s="5"/>
      <c r="DC1079" s="5"/>
      <c r="DD1079" s="5"/>
      <c r="DE1079" s="5"/>
      <c r="DF1079" s="5"/>
      <c r="DG1079" s="5"/>
      <c r="DH1079" s="5"/>
      <c r="DI1079" s="5"/>
      <c r="DJ1079" s="5"/>
      <c r="DK1079" s="5"/>
      <c r="DL1079" s="5"/>
      <c r="DM1079" s="5"/>
      <c r="DN1079" s="5"/>
      <c r="DO1079" s="5"/>
      <c r="DP1079" s="5"/>
      <c r="DQ1079" s="5"/>
      <c r="DR1079" s="5"/>
      <c r="DS1079" s="5"/>
      <c r="DT1079" s="5"/>
      <c r="DU1079" s="5"/>
      <c r="DV1079" s="5"/>
      <c r="DW1079" s="5"/>
      <c r="DX1079" s="5"/>
      <c r="DY1079" s="5"/>
      <c r="DZ1079" s="5"/>
      <c r="EA1079" s="5"/>
      <c r="EB1079" s="5"/>
      <c r="EC1079" s="5"/>
      <c r="ED1079" s="5"/>
      <c r="EE1079" s="5"/>
    </row>
    <row r="1080" spans="1:135" ht="15.75" customHeight="1" thickBot="1" x14ac:dyDescent="0.3">
      <c r="A1080" s="578" t="s">
        <v>1684</v>
      </c>
      <c r="B1080" s="8">
        <v>702</v>
      </c>
      <c r="C1080" s="72" t="s">
        <v>1679</v>
      </c>
      <c r="D1080" s="15" t="s">
        <v>24</v>
      </c>
      <c r="E1080" s="11" t="s">
        <v>25</v>
      </c>
      <c r="F1080" s="20" t="s">
        <v>1682</v>
      </c>
      <c r="G1080" s="15" t="s">
        <v>606</v>
      </c>
      <c r="H1080" s="53" t="s">
        <v>1319</v>
      </c>
      <c r="I1080" s="18" t="s">
        <v>772</v>
      </c>
      <c r="J1080" s="18" t="s">
        <v>842</v>
      </c>
      <c r="K1080" s="23" t="s">
        <v>1685</v>
      </c>
      <c r="L1080" s="25" t="str">
        <f>"RUTL-"&amp;RIGHT(K1080,8)</f>
        <v>RUTL-PF0W18W7</v>
      </c>
      <c r="M1080" s="34" t="s">
        <v>40</v>
      </c>
      <c r="N1080" s="15" t="s">
        <v>319</v>
      </c>
      <c r="O1080" s="227"/>
      <c r="P1080" s="39" t="s">
        <v>90</v>
      </c>
      <c r="Q1080" s="63" t="s">
        <v>1687</v>
      </c>
      <c r="R1080" s="15" t="s">
        <v>56</v>
      </c>
      <c r="S1080" s="40" t="s">
        <v>57</v>
      </c>
      <c r="T1080" s="105" t="s">
        <v>148</v>
      </c>
      <c r="U1080" s="39" t="s">
        <v>1688</v>
      </c>
      <c r="V1080" s="23"/>
      <c r="W1080" s="23"/>
      <c r="X1080" s="71"/>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c r="BS1080" s="5"/>
      <c r="BT1080" s="5"/>
      <c r="BU1080" s="5"/>
      <c r="BV1080" s="5"/>
      <c r="BW1080" s="5"/>
      <c r="BX1080" s="5"/>
      <c r="BY1080" s="5"/>
      <c r="BZ1080" s="5"/>
      <c r="CA1080" s="5"/>
      <c r="CB1080" s="5"/>
      <c r="CC1080" s="5"/>
      <c r="CD1080" s="5"/>
      <c r="CE1080" s="5"/>
      <c r="CF1080" s="5"/>
      <c r="CG1080" s="5"/>
      <c r="CH1080" s="5"/>
      <c r="CI1080" s="5"/>
      <c r="CJ1080" s="5"/>
      <c r="CK1080" s="5"/>
      <c r="CL1080" s="5"/>
      <c r="CM1080" s="5"/>
      <c r="CN1080" s="5"/>
      <c r="CO1080" s="5"/>
      <c r="CP1080" s="5"/>
      <c r="CQ1080" s="5"/>
      <c r="CR1080" s="5"/>
      <c r="CS1080" s="5"/>
      <c r="CT1080" s="5"/>
      <c r="CU1080" s="5"/>
      <c r="CV1080" s="5"/>
      <c r="CW1080" s="5"/>
      <c r="CX1080" s="5"/>
      <c r="CY1080" s="5"/>
      <c r="CZ1080" s="5"/>
      <c r="DA1080" s="5"/>
      <c r="DB1080" s="5"/>
      <c r="DC1080" s="5"/>
      <c r="DD1080" s="5"/>
      <c r="DE1080" s="5"/>
      <c r="DF1080" s="5"/>
      <c r="DG1080" s="5"/>
      <c r="DH1080" s="5"/>
      <c r="DI1080" s="5"/>
      <c r="DJ1080" s="5"/>
      <c r="DK1080" s="5"/>
      <c r="DL1080" s="5"/>
      <c r="DM1080" s="5"/>
      <c r="DN1080" s="5"/>
      <c r="DO1080" s="5"/>
      <c r="DP1080" s="5"/>
      <c r="DQ1080" s="5"/>
      <c r="DR1080" s="5"/>
      <c r="DS1080" s="5"/>
      <c r="DT1080" s="5"/>
      <c r="DU1080" s="5"/>
      <c r="DV1080" s="5"/>
      <c r="DW1080" s="5"/>
      <c r="DX1080" s="5"/>
      <c r="DY1080" s="5"/>
      <c r="DZ1080" s="5"/>
      <c r="EA1080" s="5"/>
      <c r="EB1080" s="5"/>
      <c r="EC1080" s="5"/>
      <c r="ED1080" s="5"/>
      <c r="EE1080" s="5"/>
    </row>
    <row r="1081" spans="1:135" ht="15.75" customHeight="1" thickBot="1" x14ac:dyDescent="0.3">
      <c r="A1081" s="578" t="s">
        <v>5193</v>
      </c>
      <c r="B1081" s="8">
        <v>12237</v>
      </c>
      <c r="C1081" s="337" t="s">
        <v>5191</v>
      </c>
      <c r="D1081" s="10" t="s">
        <v>24</v>
      </c>
      <c r="E1081" s="11" t="s">
        <v>25</v>
      </c>
      <c r="F1081" s="20" t="s">
        <v>5192</v>
      </c>
      <c r="G1081" s="15" t="s">
        <v>2917</v>
      </c>
      <c r="H1081" s="104" t="s">
        <v>3573</v>
      </c>
      <c r="I1081" s="18" t="s">
        <v>3820</v>
      </c>
      <c r="J1081" s="18" t="s">
        <v>330</v>
      </c>
      <c r="K1081" s="23" t="s">
        <v>5194</v>
      </c>
      <c r="L1081" s="25" t="str">
        <f>"RUTL-"&amp;RIGHT(K1081,8)</f>
        <v>RUTL-S4FM3308</v>
      </c>
      <c r="M1081" s="34" t="s">
        <v>40</v>
      </c>
      <c r="N1081" s="23" t="s">
        <v>43</v>
      </c>
      <c r="O1081" s="23"/>
      <c r="P1081" s="39" t="s">
        <v>90</v>
      </c>
      <c r="Q1081" s="113"/>
      <c r="R1081" s="15" t="s">
        <v>56</v>
      </c>
      <c r="S1081" s="37" t="s">
        <v>57</v>
      </c>
      <c r="T1081" s="105" t="s">
        <v>148</v>
      </c>
      <c r="U1081" s="39" t="s">
        <v>5195</v>
      </c>
      <c r="V1081" s="23"/>
      <c r="W1081" s="23"/>
      <c r="X1081" s="71"/>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c r="BR1081" s="5"/>
      <c r="BS1081" s="5"/>
      <c r="BT1081" s="5"/>
      <c r="BU1081" s="5"/>
      <c r="BV1081" s="5"/>
      <c r="BW1081" s="5"/>
      <c r="BX1081" s="5"/>
      <c r="BY1081" s="5"/>
      <c r="BZ1081" s="5"/>
      <c r="CA1081" s="5"/>
      <c r="CB1081" s="5"/>
      <c r="CC1081" s="5"/>
      <c r="CD1081" s="5"/>
      <c r="CE1081" s="5"/>
      <c r="CF1081" s="5"/>
      <c r="CG1081" s="5"/>
      <c r="CH1081" s="5"/>
      <c r="CI1081" s="5"/>
      <c r="CJ1081" s="5"/>
      <c r="CK1081" s="5"/>
      <c r="CL1081" s="5"/>
      <c r="CM1081" s="5"/>
      <c r="CN1081" s="5"/>
      <c r="CO1081" s="5"/>
      <c r="CP1081" s="5"/>
      <c r="CQ1081" s="5"/>
      <c r="CR1081" s="5"/>
      <c r="CS1081" s="5"/>
      <c r="CT1081" s="5"/>
      <c r="CU1081" s="5"/>
      <c r="CV1081" s="5"/>
      <c r="CW1081" s="5"/>
      <c r="CX1081" s="5"/>
      <c r="CY1081" s="5"/>
      <c r="CZ1081" s="5"/>
      <c r="DA1081" s="5"/>
      <c r="DB1081" s="5"/>
      <c r="DC1081" s="5"/>
      <c r="DD1081" s="5"/>
      <c r="DE1081" s="5"/>
      <c r="DF1081" s="5"/>
      <c r="DG1081" s="5"/>
      <c r="DH1081" s="5"/>
      <c r="DI1081" s="5"/>
      <c r="DJ1081" s="5"/>
      <c r="DK1081" s="5"/>
      <c r="DL1081" s="5"/>
      <c r="DM1081" s="5"/>
      <c r="DN1081" s="5"/>
      <c r="DO1081" s="5"/>
      <c r="DP1081" s="5"/>
      <c r="DQ1081" s="5"/>
      <c r="DR1081" s="5"/>
      <c r="DS1081" s="5"/>
      <c r="DT1081" s="5"/>
      <c r="DU1081" s="5"/>
      <c r="DV1081" s="5"/>
      <c r="DW1081" s="5"/>
      <c r="DX1081" s="5"/>
      <c r="DY1081" s="5"/>
      <c r="DZ1081" s="5"/>
      <c r="EA1081" s="5"/>
      <c r="EB1081" s="5"/>
      <c r="EC1081" s="5"/>
      <c r="ED1081" s="5"/>
      <c r="EE1081" s="5"/>
    </row>
    <row r="1082" spans="1:135" ht="51" customHeight="1" thickBot="1" x14ac:dyDescent="0.3">
      <c r="A1082" s="578" t="s">
        <v>332</v>
      </c>
      <c r="B1082" s="120" t="s">
        <v>318</v>
      </c>
      <c r="C1082" s="72" t="s">
        <v>322</v>
      </c>
      <c r="D1082" s="121" t="s">
        <v>24</v>
      </c>
      <c r="E1082" s="122" t="s">
        <v>25</v>
      </c>
      <c r="F1082" s="20" t="s">
        <v>326</v>
      </c>
      <c r="G1082" s="15" t="s">
        <v>327</v>
      </c>
      <c r="H1082" s="104" t="s">
        <v>329</v>
      </c>
      <c r="I1082" s="18" t="s">
        <v>48</v>
      </c>
      <c r="J1082" s="18" t="s">
        <v>330</v>
      </c>
      <c r="K1082" s="23" t="s">
        <v>336</v>
      </c>
      <c r="L1082" s="127" t="str">
        <f>"RUTL-"&amp;RIGHT(K1082,8)</f>
        <v>RUTL-PC0MYXTZ</v>
      </c>
      <c r="M1082" s="129" t="s">
        <v>40</v>
      </c>
      <c r="N1082" s="130"/>
      <c r="O1082" s="132"/>
      <c r="P1082" s="39" t="s">
        <v>90</v>
      </c>
      <c r="Q1082" s="132"/>
      <c r="R1082" s="121" t="s">
        <v>56</v>
      </c>
      <c r="S1082" s="133" t="s">
        <v>180</v>
      </c>
      <c r="T1082" s="137" t="s">
        <v>364</v>
      </c>
      <c r="U1082" s="138" t="s">
        <v>377</v>
      </c>
      <c r="V1082" s="124"/>
      <c r="W1082" s="124"/>
      <c r="X1082" s="71"/>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c r="CA1082" s="6"/>
      <c r="CB1082" s="6"/>
      <c r="CC1082" s="6"/>
      <c r="CD1082" s="6"/>
      <c r="CE1082" s="6"/>
      <c r="CF1082" s="6"/>
      <c r="CG1082" s="6"/>
      <c r="CH1082" s="6"/>
      <c r="CI1082" s="6"/>
      <c r="CJ1082" s="6"/>
      <c r="CK1082" s="6"/>
      <c r="CL1082" s="6"/>
      <c r="CM1082" s="6"/>
      <c r="CN1082" s="6"/>
      <c r="CO1082" s="6"/>
      <c r="CP1082" s="6"/>
      <c r="CQ1082" s="6"/>
      <c r="CR1082" s="6"/>
      <c r="CS1082" s="6"/>
      <c r="CT1082" s="6"/>
      <c r="CU1082" s="6"/>
      <c r="CV1082" s="6"/>
      <c r="CW1082" s="6"/>
      <c r="CX1082" s="6"/>
      <c r="CY1082" s="6"/>
      <c r="CZ1082" s="6"/>
      <c r="DA1082" s="6"/>
      <c r="DB1082" s="6"/>
      <c r="DC1082" s="6"/>
      <c r="DD1082" s="6"/>
      <c r="DE1082" s="6"/>
      <c r="DF1082" s="6"/>
      <c r="DG1082" s="6"/>
      <c r="DH1082" s="6"/>
      <c r="DI1082" s="6"/>
      <c r="DJ1082" s="6"/>
      <c r="DK1082" s="6"/>
      <c r="DL1082" s="6"/>
      <c r="DM1082" s="6"/>
      <c r="DN1082" s="6"/>
      <c r="DO1082" s="6"/>
      <c r="DP1082" s="6"/>
      <c r="DQ1082" s="6"/>
      <c r="DR1082" s="6"/>
      <c r="DS1082" s="6"/>
      <c r="DT1082" s="6"/>
      <c r="DU1082" s="6"/>
      <c r="DV1082" s="6"/>
      <c r="DW1082" s="6"/>
      <c r="DX1082" s="6"/>
      <c r="DY1082" s="6"/>
      <c r="DZ1082" s="6"/>
      <c r="EA1082" s="6"/>
      <c r="EB1082" s="6"/>
      <c r="EC1082" s="6"/>
      <c r="ED1082" s="6"/>
      <c r="EE1082" s="6"/>
    </row>
    <row r="1083" spans="1:135" ht="27.75" customHeight="1" thickBot="1" x14ac:dyDescent="0.3">
      <c r="A1083" s="578" t="s">
        <v>3722</v>
      </c>
      <c r="B1083" s="8">
        <v>5393</v>
      </c>
      <c r="C1083" s="72" t="s">
        <v>3719</v>
      </c>
      <c r="D1083" s="155" t="s">
        <v>493</v>
      </c>
      <c r="E1083" s="11" t="s">
        <v>25</v>
      </c>
      <c r="F1083" s="20" t="s">
        <v>3720</v>
      </c>
      <c r="G1083" s="15" t="s">
        <v>3721</v>
      </c>
      <c r="H1083" s="147" t="s">
        <v>1882</v>
      </c>
      <c r="I1083" s="18" t="s">
        <v>48</v>
      </c>
      <c r="J1083" s="18" t="s">
        <v>330</v>
      </c>
      <c r="K1083" s="499" t="s">
        <v>3723</v>
      </c>
      <c r="L1083" s="25" t="str">
        <f>"RUTL-"&amp;RIGHT(K1083,8)</f>
        <v>RUTL-S4FM3423</v>
      </c>
      <c r="M1083" s="34" t="s">
        <v>40</v>
      </c>
      <c r="N1083" s="15" t="s">
        <v>319</v>
      </c>
      <c r="O1083" s="227"/>
      <c r="P1083" s="39" t="s">
        <v>90</v>
      </c>
      <c r="Q1083" s="113"/>
      <c r="R1083" s="15" t="s">
        <v>56</v>
      </c>
      <c r="S1083" s="37" t="s">
        <v>57</v>
      </c>
      <c r="T1083" s="105" t="s">
        <v>148</v>
      </c>
      <c r="U1083" s="39" t="s">
        <v>3724</v>
      </c>
      <c r="V1083" s="242"/>
      <c r="W1083" s="23"/>
      <c r="X1083" s="71"/>
      <c r="Y1083" s="30"/>
      <c r="Z1083" s="30"/>
      <c r="AA1083" s="30"/>
      <c r="AB1083" s="30"/>
      <c r="AC1083" s="30"/>
      <c r="AD1083" s="30"/>
      <c r="AE1083" s="30"/>
      <c r="AF1083" s="30"/>
      <c r="AG1083" s="30"/>
      <c r="AH1083" s="30"/>
      <c r="AI1083" s="30"/>
      <c r="AJ1083" s="30"/>
      <c r="AK1083" s="30"/>
      <c r="AL1083" s="30"/>
      <c r="AM1083" s="30"/>
      <c r="AN1083" s="30"/>
      <c r="AO1083" s="30"/>
      <c r="AP1083" s="30"/>
      <c r="AQ1083" s="30"/>
      <c r="AR1083" s="30"/>
      <c r="AS1083" s="30"/>
      <c r="AT1083" s="30"/>
      <c r="AU1083" s="30"/>
      <c r="AV1083" s="30"/>
      <c r="AW1083" s="30"/>
      <c r="AX1083" s="30"/>
      <c r="AY1083" s="30"/>
      <c r="AZ1083" s="30"/>
      <c r="BA1083" s="30"/>
      <c r="BB1083" s="30"/>
      <c r="BC1083" s="30"/>
      <c r="BD1083" s="30"/>
      <c r="BE1083" s="30"/>
      <c r="BF1083" s="30"/>
      <c r="BG1083" s="30"/>
      <c r="BH1083" s="30"/>
      <c r="BI1083" s="30"/>
      <c r="BJ1083" s="30"/>
      <c r="BK1083" s="30"/>
      <c r="BL1083" s="30"/>
      <c r="BM1083" s="30"/>
      <c r="BN1083" s="30"/>
      <c r="BO1083" s="30"/>
      <c r="BP1083" s="30"/>
      <c r="BQ1083" s="30"/>
      <c r="BR1083" s="30"/>
      <c r="BS1083" s="30"/>
      <c r="BT1083" s="30"/>
      <c r="BU1083" s="30"/>
      <c r="BV1083" s="30"/>
      <c r="BW1083" s="30"/>
      <c r="BX1083" s="30"/>
      <c r="BY1083" s="30"/>
      <c r="BZ1083" s="30"/>
      <c r="CA1083" s="30"/>
      <c r="CB1083" s="30"/>
      <c r="CC1083" s="30"/>
      <c r="CD1083" s="30"/>
      <c r="CE1083" s="30"/>
      <c r="CF1083" s="30"/>
      <c r="CG1083" s="30"/>
      <c r="CH1083" s="30"/>
      <c r="CI1083" s="30"/>
      <c r="CJ1083" s="30"/>
      <c r="CK1083" s="30"/>
      <c r="CL1083" s="30"/>
      <c r="CM1083" s="30"/>
      <c r="CN1083" s="30"/>
      <c r="CO1083" s="30"/>
      <c r="CP1083" s="30"/>
      <c r="CQ1083" s="30"/>
      <c r="CR1083" s="30"/>
      <c r="CS1083" s="30"/>
      <c r="CT1083" s="30"/>
      <c r="CU1083" s="30"/>
      <c r="CV1083" s="30"/>
      <c r="CW1083" s="30"/>
      <c r="CX1083" s="30"/>
      <c r="CY1083" s="30"/>
      <c r="CZ1083" s="30"/>
      <c r="DA1083" s="30"/>
      <c r="DB1083" s="30"/>
      <c r="DC1083" s="30"/>
      <c r="DD1083" s="30"/>
      <c r="DE1083" s="30"/>
      <c r="DF1083" s="30"/>
      <c r="DG1083" s="30"/>
      <c r="DH1083" s="30"/>
      <c r="DI1083" s="30"/>
      <c r="DJ1083" s="30"/>
      <c r="DK1083" s="30"/>
      <c r="DL1083" s="30"/>
      <c r="DM1083" s="30"/>
      <c r="DN1083" s="30"/>
      <c r="DO1083" s="30"/>
      <c r="DP1083" s="30"/>
      <c r="DQ1083" s="30"/>
      <c r="DR1083" s="30"/>
      <c r="DS1083" s="30"/>
      <c r="DT1083" s="30"/>
      <c r="DU1083" s="30"/>
      <c r="DV1083" s="30"/>
      <c r="DW1083" s="30"/>
      <c r="DX1083" s="30"/>
      <c r="DY1083" s="30"/>
      <c r="DZ1083" s="30"/>
      <c r="EA1083" s="30"/>
      <c r="EB1083" s="30"/>
      <c r="EC1083" s="30"/>
      <c r="ED1083" s="30"/>
      <c r="EE1083" s="30"/>
    </row>
    <row r="1084" spans="1:135" ht="15.75" customHeight="1" thickBot="1" x14ac:dyDescent="0.3">
      <c r="A1084" s="578" t="s">
        <v>371</v>
      </c>
      <c r="B1084" s="8">
        <v>125</v>
      </c>
      <c r="C1084" s="72" t="s">
        <v>366</v>
      </c>
      <c r="D1084" s="134" t="s">
        <v>367</v>
      </c>
      <c r="E1084" s="11" t="s">
        <v>25</v>
      </c>
      <c r="F1084" s="20" t="s">
        <v>368</v>
      </c>
      <c r="G1084" s="15" t="s">
        <v>369</v>
      </c>
      <c r="H1084" s="119" t="s">
        <v>370</v>
      </c>
      <c r="I1084" s="18" t="s">
        <v>48</v>
      </c>
      <c r="J1084" s="18" t="s">
        <v>82</v>
      </c>
      <c r="K1084" s="23" t="s">
        <v>373</v>
      </c>
      <c r="L1084" s="25" t="str">
        <f>"RUTL-"&amp;RIGHT(K1084,8)</f>
        <v>RUTL-PC0KL0LH</v>
      </c>
      <c r="M1084" s="34" t="s">
        <v>40</v>
      </c>
      <c r="N1084" s="23"/>
      <c r="O1084" s="23"/>
      <c r="P1084" s="39" t="s">
        <v>90</v>
      </c>
      <c r="Q1084" s="63" t="s">
        <v>374</v>
      </c>
      <c r="R1084" s="15" t="s">
        <v>235</v>
      </c>
      <c r="S1084" s="37" t="s">
        <v>57</v>
      </c>
      <c r="T1084" s="23"/>
      <c r="U1084" s="23">
        <v>2018</v>
      </c>
      <c r="V1084" s="23"/>
      <c r="W1084" s="23"/>
      <c r="X1084" s="230"/>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c r="CA1084" s="6"/>
      <c r="CB1084" s="6"/>
      <c r="CC1084" s="6"/>
      <c r="CD1084" s="6"/>
      <c r="CE1084" s="6"/>
      <c r="CF1084" s="6"/>
      <c r="CG1084" s="6"/>
      <c r="CH1084" s="6"/>
      <c r="CI1084" s="6"/>
      <c r="CJ1084" s="6"/>
      <c r="CK1084" s="6"/>
      <c r="CL1084" s="6"/>
      <c r="CM1084" s="6"/>
      <c r="CN1084" s="6"/>
      <c r="CO1084" s="6"/>
      <c r="CP1084" s="6"/>
      <c r="CQ1084" s="6"/>
      <c r="CR1084" s="6"/>
      <c r="CS1084" s="6"/>
      <c r="CT1084" s="6"/>
      <c r="CU1084" s="6"/>
      <c r="CV1084" s="6"/>
      <c r="CW1084" s="6"/>
      <c r="CX1084" s="6"/>
      <c r="CY1084" s="6"/>
      <c r="CZ1084" s="6"/>
      <c r="DA1084" s="6"/>
      <c r="DB1084" s="6"/>
      <c r="DC1084" s="6"/>
      <c r="DD1084" s="6"/>
      <c r="DE1084" s="6"/>
      <c r="DF1084" s="6"/>
      <c r="DG1084" s="6"/>
      <c r="DH1084" s="6"/>
      <c r="DI1084" s="6"/>
      <c r="DJ1084" s="6"/>
      <c r="DK1084" s="6"/>
      <c r="DL1084" s="6"/>
      <c r="DM1084" s="6"/>
      <c r="DN1084" s="6"/>
      <c r="DO1084" s="6"/>
      <c r="DP1084" s="6"/>
      <c r="DQ1084" s="6"/>
      <c r="DR1084" s="6"/>
      <c r="DS1084" s="6"/>
      <c r="DT1084" s="6"/>
      <c r="DU1084" s="6"/>
      <c r="DV1084" s="6"/>
      <c r="DW1084" s="6"/>
      <c r="DX1084" s="6"/>
      <c r="DY1084" s="6"/>
      <c r="DZ1084" s="6"/>
      <c r="EA1084" s="6"/>
      <c r="EB1084" s="6"/>
      <c r="EC1084" s="6"/>
      <c r="ED1084" s="6"/>
      <c r="EE1084" s="6"/>
    </row>
    <row r="1085" spans="1:135" ht="42.75" customHeight="1" x14ac:dyDescent="0.25">
      <c r="A1085" s="578" t="s">
        <v>3412</v>
      </c>
      <c r="B1085" s="8">
        <v>3736</v>
      </c>
      <c r="C1085" s="167" t="s">
        <v>3409</v>
      </c>
      <c r="D1085" s="15" t="s">
        <v>3288</v>
      </c>
      <c r="E1085" s="11" t="s">
        <v>25</v>
      </c>
      <c r="F1085" s="20" t="s">
        <v>3410</v>
      </c>
      <c r="G1085" s="15" t="s">
        <v>3411</v>
      </c>
      <c r="H1085" s="173" t="s">
        <v>81</v>
      </c>
      <c r="I1085" s="54" t="s">
        <v>48</v>
      </c>
      <c r="J1085" s="18" t="s">
        <v>404</v>
      </c>
      <c r="K1085" s="33" t="s">
        <v>3413</v>
      </c>
      <c r="L1085" s="25" t="str">
        <f>"RUTL-"&amp;RIGHT(K1085,8)</f>
        <v>RUTL-YJ009HNZ</v>
      </c>
      <c r="M1085" s="34" t="s">
        <v>40</v>
      </c>
      <c r="N1085" s="39" t="s">
        <v>410</v>
      </c>
      <c r="O1085" s="23"/>
      <c r="P1085" s="23"/>
      <c r="Q1085" s="113"/>
      <c r="R1085" s="15" t="s">
        <v>235</v>
      </c>
      <c r="S1085" s="23"/>
      <c r="T1085" s="23"/>
      <c r="U1085" s="39" t="s">
        <v>3414</v>
      </c>
      <c r="V1085" s="44">
        <v>43171</v>
      </c>
      <c r="W1085" s="23"/>
      <c r="X1085" s="252"/>
      <c r="Y1085" s="252"/>
      <c r="Z1085" s="252"/>
      <c r="AA1085" s="252"/>
      <c r="AB1085" s="252"/>
      <c r="AC1085" s="252"/>
      <c r="AD1085" s="252"/>
      <c r="AE1085" s="252"/>
      <c r="AF1085" s="252"/>
      <c r="AG1085" s="252"/>
      <c r="AH1085" s="252"/>
      <c r="AI1085" s="252"/>
      <c r="AJ1085" s="252"/>
      <c r="AK1085" s="252"/>
      <c r="AL1085" s="252"/>
      <c r="AM1085" s="252"/>
      <c r="AN1085" s="252"/>
      <c r="AO1085" s="252"/>
      <c r="AP1085" s="252"/>
      <c r="AQ1085" s="252"/>
      <c r="AR1085" s="252"/>
      <c r="AS1085" s="252"/>
      <c r="AT1085" s="252"/>
      <c r="AU1085" s="252"/>
      <c r="AV1085" s="252"/>
      <c r="AW1085" s="252"/>
      <c r="AX1085" s="252"/>
      <c r="AY1085" s="252"/>
      <c r="AZ1085" s="252"/>
      <c r="BA1085" s="252"/>
      <c r="BB1085" s="252"/>
      <c r="BC1085" s="252"/>
      <c r="BD1085" s="252"/>
      <c r="BE1085" s="252"/>
      <c r="BF1085" s="252"/>
      <c r="BG1085" s="252"/>
      <c r="BH1085" s="252"/>
      <c r="BI1085" s="252"/>
      <c r="BJ1085" s="252"/>
      <c r="BK1085" s="252"/>
      <c r="BL1085" s="252"/>
      <c r="BM1085" s="252"/>
      <c r="BN1085" s="252"/>
      <c r="BO1085" s="252"/>
      <c r="BP1085" s="252"/>
      <c r="BQ1085" s="252"/>
      <c r="BR1085" s="252"/>
      <c r="BS1085" s="252"/>
      <c r="BT1085" s="252"/>
      <c r="BU1085" s="252"/>
      <c r="BV1085" s="252"/>
      <c r="BW1085" s="252"/>
      <c r="BX1085" s="252"/>
      <c r="BY1085" s="252"/>
      <c r="BZ1085" s="252"/>
      <c r="CA1085" s="252"/>
      <c r="CB1085" s="252"/>
      <c r="CC1085" s="252"/>
      <c r="CD1085" s="252"/>
      <c r="CE1085" s="252"/>
      <c r="CF1085" s="252"/>
      <c r="CG1085" s="252"/>
      <c r="CH1085" s="252"/>
      <c r="CI1085" s="252"/>
      <c r="CJ1085" s="252"/>
      <c r="CK1085" s="252"/>
      <c r="CL1085" s="252"/>
      <c r="CM1085" s="252"/>
      <c r="CN1085" s="252"/>
      <c r="CO1085" s="252"/>
      <c r="CP1085" s="252"/>
      <c r="CQ1085" s="252"/>
      <c r="CR1085" s="252"/>
      <c r="CS1085" s="252"/>
      <c r="CT1085" s="252"/>
      <c r="CU1085" s="252"/>
      <c r="CV1085" s="252"/>
      <c r="CW1085" s="252"/>
      <c r="CX1085" s="252"/>
      <c r="CY1085" s="252"/>
      <c r="CZ1085" s="252"/>
      <c r="DA1085" s="252"/>
      <c r="DB1085" s="252"/>
      <c r="DC1085" s="252"/>
      <c r="DD1085" s="252"/>
      <c r="DE1085" s="252"/>
      <c r="DF1085" s="252"/>
      <c r="DG1085" s="252"/>
      <c r="DH1085" s="252"/>
      <c r="DI1085" s="252"/>
      <c r="DJ1085" s="252"/>
      <c r="DK1085" s="252"/>
      <c r="DL1085" s="252"/>
      <c r="DM1085" s="252"/>
      <c r="DN1085" s="252"/>
      <c r="DO1085" s="252"/>
      <c r="DP1085" s="252"/>
      <c r="DQ1085" s="252"/>
      <c r="DR1085" s="252"/>
      <c r="DS1085" s="252"/>
      <c r="DT1085" s="252"/>
      <c r="DU1085" s="252"/>
      <c r="DV1085" s="252"/>
      <c r="DW1085" s="252"/>
      <c r="DX1085" s="252"/>
      <c r="DY1085" s="252"/>
      <c r="DZ1085" s="252"/>
      <c r="EA1085" s="252"/>
      <c r="EB1085" s="252"/>
      <c r="EC1085" s="252"/>
      <c r="ED1085" s="252"/>
      <c r="EE1085" s="252"/>
    </row>
    <row r="1086" spans="1:135" ht="27.75" customHeight="1" thickBot="1" x14ac:dyDescent="0.3">
      <c r="A1086" s="578" t="s">
        <v>7038</v>
      </c>
      <c r="B1086" s="51">
        <v>17240</v>
      </c>
      <c r="C1086" s="52" t="s">
        <v>7034</v>
      </c>
      <c r="D1086" s="10" t="s">
        <v>7035</v>
      </c>
      <c r="E1086" s="28" t="s">
        <v>25</v>
      </c>
      <c r="F1086" s="378" t="s">
        <v>7036</v>
      </c>
      <c r="G1086" s="15" t="s">
        <v>7037</v>
      </c>
      <c r="H1086" s="17" t="s">
        <v>891</v>
      </c>
      <c r="I1086" s="142" t="s">
        <v>48</v>
      </c>
      <c r="J1086" s="18" t="s">
        <v>404</v>
      </c>
      <c r="K1086" s="23" t="s">
        <v>7039</v>
      </c>
      <c r="L1086" s="25" t="str">
        <f>"RUTL-"&amp;RIGHT(K1086,8)</f>
        <v>RUTL-YJ009HQA</v>
      </c>
      <c r="M1086" s="34" t="s">
        <v>40</v>
      </c>
      <c r="N1086" s="23" t="s">
        <v>54</v>
      </c>
      <c r="O1086" s="23"/>
      <c r="P1086" s="39" t="s">
        <v>90</v>
      </c>
      <c r="Q1086" s="39" t="s">
        <v>7040</v>
      </c>
      <c r="R1086" s="15" t="s">
        <v>56</v>
      </c>
      <c r="S1086" s="37" t="s">
        <v>57</v>
      </c>
      <c r="T1086" s="53" t="s">
        <v>453</v>
      </c>
      <c r="U1086" s="39" t="s">
        <v>7041</v>
      </c>
      <c r="V1086" s="44">
        <v>43171</v>
      </c>
      <c r="W1086" s="23"/>
      <c r="X1086" s="30"/>
      <c r="Y1086" s="30"/>
      <c r="Z1086" s="30"/>
      <c r="AA1086" s="30"/>
      <c r="AB1086" s="30"/>
      <c r="AC1086" s="30"/>
      <c r="AD1086" s="30"/>
      <c r="AE1086" s="30"/>
      <c r="AF1086" s="30"/>
      <c r="AG1086" s="30"/>
      <c r="AH1086" s="30"/>
      <c r="AI1086" s="30"/>
      <c r="AJ1086" s="30"/>
      <c r="AK1086" s="30"/>
      <c r="AL1086" s="30"/>
      <c r="AM1086" s="30"/>
      <c r="AN1086" s="30"/>
      <c r="AO1086" s="30"/>
      <c r="AP1086" s="30"/>
      <c r="AQ1086" s="30"/>
      <c r="AR1086" s="30"/>
      <c r="AS1086" s="30"/>
      <c r="AT1086" s="30"/>
      <c r="AU1086" s="30"/>
      <c r="AV1086" s="30"/>
      <c r="AW1086" s="30"/>
      <c r="AX1086" s="30"/>
      <c r="AY1086" s="30"/>
      <c r="AZ1086" s="30"/>
      <c r="BA1086" s="30"/>
      <c r="BB1086" s="30"/>
      <c r="BC1086" s="30"/>
      <c r="BD1086" s="30"/>
      <c r="BE1086" s="30"/>
      <c r="BF1086" s="30"/>
      <c r="BG1086" s="30"/>
      <c r="BH1086" s="30"/>
      <c r="BI1086" s="30"/>
      <c r="BJ1086" s="30"/>
      <c r="BK1086" s="30"/>
      <c r="BL1086" s="30"/>
      <c r="BM1086" s="30"/>
      <c r="BN1086" s="30"/>
      <c r="BO1086" s="30"/>
      <c r="BP1086" s="30"/>
      <c r="BQ1086" s="30"/>
      <c r="BR1086" s="30"/>
      <c r="BS1086" s="30"/>
      <c r="BT1086" s="30"/>
      <c r="BU1086" s="30"/>
      <c r="BV1086" s="30"/>
      <c r="BW1086" s="30"/>
      <c r="BX1086" s="30"/>
      <c r="BY1086" s="30"/>
      <c r="BZ1086" s="30"/>
      <c r="CA1086" s="30"/>
      <c r="CB1086" s="30"/>
      <c r="CC1086" s="30"/>
      <c r="CD1086" s="30"/>
      <c r="CE1086" s="30"/>
      <c r="CF1086" s="30"/>
      <c r="CG1086" s="30"/>
      <c r="CH1086" s="30"/>
      <c r="CI1086" s="30"/>
      <c r="CJ1086" s="30"/>
      <c r="CK1086" s="30"/>
      <c r="CL1086" s="30"/>
      <c r="CM1086" s="30"/>
      <c r="CN1086" s="30"/>
      <c r="CO1086" s="30"/>
      <c r="CP1086" s="30"/>
      <c r="CQ1086" s="30"/>
      <c r="CR1086" s="30"/>
      <c r="CS1086" s="30"/>
      <c r="CT1086" s="30"/>
      <c r="CU1086" s="30"/>
      <c r="CV1086" s="30"/>
      <c r="CW1086" s="30"/>
      <c r="CX1086" s="30"/>
      <c r="CY1086" s="30"/>
      <c r="CZ1086" s="30"/>
      <c r="DA1086" s="30"/>
      <c r="DB1086" s="30"/>
      <c r="DC1086" s="30"/>
      <c r="DD1086" s="30"/>
      <c r="DE1086" s="30"/>
      <c r="DF1086" s="30"/>
      <c r="DG1086" s="30"/>
      <c r="DH1086" s="30"/>
      <c r="DI1086" s="30"/>
      <c r="DJ1086" s="30"/>
      <c r="DK1086" s="30"/>
      <c r="DL1086" s="30"/>
      <c r="DM1086" s="30"/>
      <c r="DN1086" s="30"/>
      <c r="DO1086" s="30"/>
      <c r="DP1086" s="30"/>
      <c r="DQ1086" s="30"/>
      <c r="DR1086" s="30"/>
      <c r="DS1086" s="30"/>
      <c r="DT1086" s="30"/>
      <c r="DU1086" s="30"/>
      <c r="DV1086" s="30"/>
      <c r="DW1086" s="30"/>
      <c r="DX1086" s="30"/>
      <c r="DY1086" s="30"/>
      <c r="DZ1086" s="30"/>
      <c r="EA1086" s="30"/>
      <c r="EB1086" s="30"/>
      <c r="EC1086" s="30"/>
      <c r="ED1086" s="30"/>
      <c r="EE1086" s="30"/>
    </row>
    <row r="1087" spans="1:135" ht="19.5" thickBot="1" x14ac:dyDescent="0.3">
      <c r="A1087" s="578" t="s">
        <v>406</v>
      </c>
      <c r="B1087" s="8">
        <v>140</v>
      </c>
      <c r="C1087" s="72" t="s">
        <v>394</v>
      </c>
      <c r="D1087" s="15" t="s">
        <v>395</v>
      </c>
      <c r="E1087" s="11" t="s">
        <v>25</v>
      </c>
      <c r="F1087" s="20" t="s">
        <v>396</v>
      </c>
      <c r="G1087" s="15" t="s">
        <v>397</v>
      </c>
      <c r="H1087" s="143" t="s">
        <v>398</v>
      </c>
      <c r="I1087" s="18" t="s">
        <v>48</v>
      </c>
      <c r="J1087" s="18" t="s">
        <v>404</v>
      </c>
      <c r="K1087" s="23" t="s">
        <v>409</v>
      </c>
      <c r="L1087" s="25" t="str">
        <f>"RUTL-"&amp;RIGHT(K1087,8)</f>
        <v>RUTL-YJ009HNY</v>
      </c>
      <c r="M1087" s="34" t="s">
        <v>40</v>
      </c>
      <c r="N1087" s="39" t="s">
        <v>410</v>
      </c>
      <c r="O1087" s="23"/>
      <c r="P1087" s="39" t="s">
        <v>90</v>
      </c>
      <c r="Q1087" s="63" t="s">
        <v>411</v>
      </c>
      <c r="R1087" s="15" t="s">
        <v>235</v>
      </c>
      <c r="S1087" s="57" t="s">
        <v>296</v>
      </c>
      <c r="T1087" s="23"/>
      <c r="U1087" s="23">
        <v>2018</v>
      </c>
      <c r="V1087" s="115">
        <v>43171</v>
      </c>
      <c r="W1087" s="23"/>
      <c r="X1087" s="71"/>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c r="BW1087" s="5"/>
      <c r="BX1087" s="5"/>
      <c r="BY1087" s="5"/>
      <c r="BZ1087" s="5"/>
      <c r="CA1087" s="5"/>
      <c r="CB1087" s="5"/>
      <c r="CC1087" s="5"/>
      <c r="CD1087" s="5"/>
      <c r="CE1087" s="5"/>
      <c r="CF1087" s="5"/>
      <c r="CG1087" s="5"/>
      <c r="CH1087" s="5"/>
      <c r="CI1087" s="5"/>
      <c r="CJ1087" s="5"/>
      <c r="CK1087" s="5"/>
      <c r="CL1087" s="5"/>
      <c r="CM1087" s="5"/>
      <c r="CN1087" s="5"/>
      <c r="CO1087" s="5"/>
      <c r="CP1087" s="5"/>
      <c r="CQ1087" s="5"/>
      <c r="CR1087" s="5"/>
      <c r="CS1087" s="5"/>
      <c r="CT1087" s="5"/>
      <c r="CU1087" s="5"/>
      <c r="CV1087" s="5"/>
      <c r="CW1087" s="5"/>
      <c r="CX1087" s="5"/>
      <c r="CY1087" s="5"/>
      <c r="CZ1087" s="5"/>
      <c r="DA1087" s="5"/>
      <c r="DB1087" s="5"/>
      <c r="DC1087" s="5"/>
      <c r="DD1087" s="5"/>
      <c r="DE1087" s="5"/>
      <c r="DF1087" s="5"/>
      <c r="DG1087" s="5"/>
      <c r="DH1087" s="5"/>
      <c r="DI1087" s="5"/>
      <c r="DJ1087" s="5"/>
      <c r="DK1087" s="5"/>
      <c r="DL1087" s="5"/>
      <c r="DM1087" s="5"/>
      <c r="DN1087" s="5"/>
      <c r="DO1087" s="5"/>
      <c r="DP1087" s="5"/>
      <c r="DQ1087" s="5"/>
      <c r="DR1087" s="5"/>
      <c r="DS1087" s="5"/>
      <c r="DT1087" s="5"/>
      <c r="DU1087" s="5"/>
      <c r="DV1087" s="5"/>
      <c r="DW1087" s="5"/>
      <c r="DX1087" s="5"/>
      <c r="DY1087" s="5"/>
      <c r="DZ1087" s="5"/>
      <c r="EA1087" s="5"/>
      <c r="EB1087" s="5"/>
      <c r="EC1087" s="5"/>
      <c r="ED1087" s="5"/>
      <c r="EE1087" s="5"/>
    </row>
    <row r="1088" spans="1:135" ht="15.75" customHeight="1" thickBot="1" x14ac:dyDescent="0.3">
      <c r="A1088" s="578" t="s">
        <v>426</v>
      </c>
      <c r="B1088" s="8">
        <v>141</v>
      </c>
      <c r="C1088" s="231" t="s">
        <v>422</v>
      </c>
      <c r="D1088" s="15" t="s">
        <v>423</v>
      </c>
      <c r="E1088" s="11" t="s">
        <v>25</v>
      </c>
      <c r="F1088" s="20" t="s">
        <v>424</v>
      </c>
      <c r="G1088" s="59" t="s">
        <v>425</v>
      </c>
      <c r="H1088" s="108" t="s">
        <v>225</v>
      </c>
      <c r="I1088" s="142" t="s">
        <v>48</v>
      </c>
      <c r="J1088" s="18" t="s">
        <v>404</v>
      </c>
      <c r="K1088" s="340" t="s">
        <v>427</v>
      </c>
      <c r="L1088" s="25" t="str">
        <f>"RUTL-"&amp;RIGHT(K1088,8)</f>
        <v>RUTL-YJ009HNG</v>
      </c>
      <c r="M1088" s="34" t="s">
        <v>40</v>
      </c>
      <c r="N1088" s="39" t="s">
        <v>319</v>
      </c>
      <c r="O1088" s="23"/>
      <c r="P1088" s="39" t="s">
        <v>90</v>
      </c>
      <c r="Q1088" s="63" t="s">
        <v>428</v>
      </c>
      <c r="R1088" s="15" t="s">
        <v>235</v>
      </c>
      <c r="S1088" s="41" t="s">
        <v>296</v>
      </c>
      <c r="T1088" s="23"/>
      <c r="U1088" s="23">
        <v>2018</v>
      </c>
      <c r="V1088" s="558">
        <v>43171</v>
      </c>
      <c r="W1088" s="23"/>
      <c r="X1088" s="71"/>
      <c r="Y1088" s="30"/>
      <c r="Z1088" s="30"/>
      <c r="AA1088" s="30"/>
      <c r="AB1088" s="30"/>
      <c r="AC1088" s="30"/>
      <c r="AD1088" s="30"/>
      <c r="AE1088" s="30"/>
      <c r="AF1088" s="30"/>
      <c r="AG1088" s="30"/>
      <c r="AH1088" s="30"/>
      <c r="AI1088" s="30"/>
      <c r="AJ1088" s="30"/>
      <c r="AK1088" s="30"/>
      <c r="AL1088" s="30"/>
      <c r="AM1088" s="30"/>
      <c r="AN1088" s="30"/>
      <c r="AO1088" s="30"/>
      <c r="AP1088" s="30"/>
      <c r="AQ1088" s="30"/>
      <c r="AR1088" s="30"/>
      <c r="AS1088" s="30"/>
      <c r="AT1088" s="30"/>
      <c r="AU1088" s="30"/>
      <c r="AV1088" s="30"/>
      <c r="AW1088" s="30"/>
      <c r="AX1088" s="30"/>
      <c r="AY1088" s="30"/>
      <c r="AZ1088" s="30"/>
      <c r="BA1088" s="30"/>
      <c r="BB1088" s="30"/>
      <c r="BC1088" s="30"/>
      <c r="BD1088" s="30"/>
      <c r="BE1088" s="30"/>
      <c r="BF1088" s="30"/>
      <c r="BG1088" s="30"/>
      <c r="BH1088" s="30"/>
      <c r="BI1088" s="30"/>
      <c r="BJ1088" s="30"/>
      <c r="BK1088" s="30"/>
      <c r="BL1088" s="30"/>
      <c r="BM1088" s="30"/>
      <c r="BN1088" s="30"/>
      <c r="BO1088" s="30"/>
      <c r="BP1088" s="30"/>
      <c r="BQ1088" s="30"/>
      <c r="BR1088" s="30"/>
      <c r="BS1088" s="30"/>
      <c r="BT1088" s="30"/>
      <c r="BU1088" s="30"/>
      <c r="BV1088" s="30"/>
      <c r="BW1088" s="30"/>
      <c r="BX1088" s="30"/>
      <c r="BY1088" s="30"/>
      <c r="BZ1088" s="30"/>
      <c r="CA1088" s="30"/>
      <c r="CB1088" s="30"/>
      <c r="CC1088" s="30"/>
      <c r="CD1088" s="30"/>
      <c r="CE1088" s="30"/>
      <c r="CF1088" s="30"/>
      <c r="CG1088" s="30"/>
      <c r="CH1088" s="30"/>
      <c r="CI1088" s="30"/>
      <c r="CJ1088" s="30"/>
      <c r="CK1088" s="30"/>
      <c r="CL1088" s="30"/>
      <c r="CM1088" s="30"/>
      <c r="CN1088" s="30"/>
      <c r="CO1088" s="30"/>
      <c r="CP1088" s="30"/>
      <c r="CQ1088" s="30"/>
      <c r="CR1088" s="30"/>
      <c r="CS1088" s="30"/>
      <c r="CT1088" s="30"/>
      <c r="CU1088" s="30"/>
      <c r="CV1088" s="30"/>
      <c r="CW1088" s="30"/>
      <c r="CX1088" s="30"/>
      <c r="CY1088" s="30"/>
      <c r="CZ1088" s="30"/>
      <c r="DA1088" s="30"/>
      <c r="DB1088" s="30"/>
      <c r="DC1088" s="30"/>
      <c r="DD1088" s="30"/>
      <c r="DE1088" s="30"/>
      <c r="DF1088" s="30"/>
      <c r="DG1088" s="30"/>
      <c r="DH1088" s="30"/>
      <c r="DI1088" s="30"/>
      <c r="DJ1088" s="30"/>
      <c r="DK1088" s="30"/>
      <c r="DL1088" s="30"/>
      <c r="DM1088" s="30"/>
      <c r="DN1088" s="30"/>
      <c r="DO1088" s="30"/>
      <c r="DP1088" s="30"/>
      <c r="DQ1088" s="30"/>
      <c r="DR1088" s="30"/>
      <c r="DS1088" s="30"/>
      <c r="DT1088" s="30"/>
      <c r="DU1088" s="30"/>
      <c r="DV1088" s="30"/>
      <c r="DW1088" s="30"/>
      <c r="DX1088" s="30"/>
      <c r="DY1088" s="30"/>
      <c r="DZ1088" s="30"/>
      <c r="EA1088" s="30"/>
      <c r="EB1088" s="30"/>
      <c r="EC1088" s="30"/>
      <c r="ED1088" s="30"/>
      <c r="EE1088" s="30"/>
    </row>
    <row r="1089" spans="1:135" ht="15.75" customHeight="1" x14ac:dyDescent="0.25">
      <c r="A1089" s="578" t="s">
        <v>5384</v>
      </c>
      <c r="B1089" s="16">
        <v>12720</v>
      </c>
      <c r="C1089" s="72" t="s">
        <v>5381</v>
      </c>
      <c r="D1089" s="15" t="s">
        <v>5382</v>
      </c>
      <c r="E1089" s="11" t="s">
        <v>25</v>
      </c>
      <c r="F1089" s="29" t="s">
        <v>5383</v>
      </c>
      <c r="G1089" s="15" t="s">
        <v>1566</v>
      </c>
      <c r="H1089" s="206" t="s">
        <v>682</v>
      </c>
      <c r="I1089" s="24" t="s">
        <v>48</v>
      </c>
      <c r="J1089" s="24" t="s">
        <v>330</v>
      </c>
      <c r="K1089" s="23" t="s">
        <v>5385</v>
      </c>
      <c r="L1089" s="25" t="str">
        <f>"RUTL-"&amp;RIGHT(K1089,8)</f>
        <v>RUTL-S4FM3407</v>
      </c>
      <c r="M1089" s="34" t="s">
        <v>40</v>
      </c>
      <c r="N1089" s="32"/>
      <c r="O1089" s="32"/>
      <c r="P1089" s="90" t="s">
        <v>90</v>
      </c>
      <c r="Q1089" s="91" t="s">
        <v>5386</v>
      </c>
      <c r="R1089" s="15" t="s">
        <v>56</v>
      </c>
      <c r="S1089" s="37" t="s">
        <v>57</v>
      </c>
      <c r="T1089" s="101" t="s">
        <v>96</v>
      </c>
      <c r="U1089" s="39" t="s">
        <v>5387</v>
      </c>
      <c r="V1089" s="32"/>
      <c r="W1089" s="32"/>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c r="CA1089" s="6"/>
      <c r="CB1089" s="6"/>
      <c r="CC1089" s="6"/>
      <c r="CD1089" s="6"/>
      <c r="CE1089" s="6"/>
      <c r="CF1089" s="6"/>
      <c r="CG1089" s="6"/>
      <c r="CH1089" s="6"/>
      <c r="CI1089" s="6"/>
      <c r="CJ1089" s="6"/>
      <c r="CK1089" s="6"/>
      <c r="CL1089" s="6"/>
      <c r="CM1089" s="6"/>
      <c r="CN1089" s="6"/>
      <c r="CO1089" s="6"/>
      <c r="CP1089" s="6"/>
      <c r="CQ1089" s="6"/>
      <c r="CR1089" s="6"/>
      <c r="CS1089" s="6"/>
      <c r="CT1089" s="6"/>
      <c r="CU1089" s="6"/>
      <c r="CV1089" s="6"/>
      <c r="CW1089" s="6"/>
      <c r="CX1089" s="6"/>
      <c r="CY1089" s="6"/>
      <c r="CZ1089" s="6"/>
      <c r="DA1089" s="6"/>
      <c r="DB1089" s="6"/>
      <c r="DC1089" s="6"/>
      <c r="DD1089" s="6"/>
      <c r="DE1089" s="6"/>
      <c r="DF1089" s="6"/>
      <c r="DG1089" s="6"/>
      <c r="DH1089" s="6"/>
      <c r="DI1089" s="6"/>
      <c r="DJ1089" s="6"/>
      <c r="DK1089" s="6"/>
      <c r="DL1089" s="6"/>
      <c r="DM1089" s="6"/>
      <c r="DN1089" s="6"/>
      <c r="DO1089" s="6"/>
      <c r="DP1089" s="6"/>
      <c r="DQ1089" s="6"/>
      <c r="DR1089" s="6"/>
      <c r="DS1089" s="6"/>
      <c r="DT1089" s="6"/>
      <c r="DU1089" s="6"/>
      <c r="DV1089" s="6"/>
      <c r="DW1089" s="6"/>
      <c r="DX1089" s="6"/>
      <c r="DY1089" s="6"/>
      <c r="DZ1089" s="6"/>
      <c r="EA1089" s="6"/>
      <c r="EB1089" s="6"/>
      <c r="EC1089" s="6"/>
      <c r="ED1089" s="6"/>
      <c r="EE1089" s="6"/>
    </row>
    <row r="1090" spans="1:135" ht="15.75" customHeight="1" thickBot="1" x14ac:dyDescent="0.3">
      <c r="A1090" s="578" t="s">
        <v>1499</v>
      </c>
      <c r="B1090" s="23">
        <v>2837</v>
      </c>
      <c r="C1090" s="99" t="s">
        <v>1491</v>
      </c>
      <c r="D1090" s="15" t="s">
        <v>24</v>
      </c>
      <c r="E1090" s="28" t="s">
        <v>25</v>
      </c>
      <c r="F1090" s="20" t="s">
        <v>1494</v>
      </c>
      <c r="G1090" s="12" t="s">
        <v>1495</v>
      </c>
      <c r="H1090" s="53" t="s">
        <v>1273</v>
      </c>
      <c r="I1090" s="18" t="s">
        <v>48</v>
      </c>
      <c r="J1090" s="18" t="s">
        <v>330</v>
      </c>
      <c r="K1090" s="23" t="s">
        <v>1500</v>
      </c>
      <c r="L1090" s="21" t="str">
        <f>"RUTL-"&amp;RIGHT(K1090,8)</f>
        <v>RUTL-S4FM3370</v>
      </c>
      <c r="M1090" s="144" t="s">
        <v>40</v>
      </c>
      <c r="N1090" s="39" t="s">
        <v>414</v>
      </c>
      <c r="O1090" s="39" t="s">
        <v>1504</v>
      </c>
      <c r="P1090" s="39" t="s">
        <v>90</v>
      </c>
      <c r="Q1090" s="39" t="s">
        <v>1506</v>
      </c>
      <c r="R1090" s="15" t="s">
        <v>56</v>
      </c>
      <c r="S1090" s="37" t="s">
        <v>57</v>
      </c>
      <c r="T1090" s="108" t="s">
        <v>142</v>
      </c>
      <c r="U1090" s="47" t="s">
        <v>1508</v>
      </c>
      <c r="V1090" s="23"/>
      <c r="W1090" s="23"/>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c r="CA1090" s="6"/>
      <c r="CB1090" s="6"/>
      <c r="CC1090" s="6"/>
      <c r="CD1090" s="6"/>
      <c r="CE1090" s="6"/>
      <c r="CF1090" s="6"/>
      <c r="CG1090" s="6"/>
      <c r="CH1090" s="6"/>
      <c r="CI1090" s="6"/>
      <c r="CJ1090" s="6"/>
      <c r="CK1090" s="6"/>
      <c r="CL1090" s="6"/>
      <c r="CM1090" s="6"/>
      <c r="CN1090" s="6"/>
      <c r="CO1090" s="6"/>
      <c r="CP1090" s="6"/>
      <c r="CQ1090" s="6"/>
      <c r="CR1090" s="6"/>
      <c r="CS1090" s="6"/>
      <c r="CT1090" s="6"/>
      <c r="CU1090" s="6"/>
      <c r="CV1090" s="6"/>
      <c r="CW1090" s="6"/>
      <c r="CX1090" s="6"/>
      <c r="CY1090" s="6"/>
      <c r="CZ1090" s="6"/>
      <c r="DA1090" s="6"/>
      <c r="DB1090" s="6"/>
      <c r="DC1090" s="6"/>
      <c r="DD1090" s="6"/>
      <c r="DE1090" s="6"/>
      <c r="DF1090" s="6"/>
      <c r="DG1090" s="6"/>
      <c r="DH1090" s="6"/>
      <c r="DI1090" s="6"/>
      <c r="DJ1090" s="6"/>
      <c r="DK1090" s="6"/>
      <c r="DL1090" s="6"/>
      <c r="DM1090" s="6"/>
      <c r="DN1090" s="6"/>
      <c r="DO1090" s="6"/>
      <c r="DP1090" s="6"/>
      <c r="DQ1090" s="6"/>
      <c r="DR1090" s="6"/>
      <c r="DS1090" s="6"/>
      <c r="DT1090" s="6"/>
      <c r="DU1090" s="6"/>
      <c r="DV1090" s="6"/>
      <c r="DW1090" s="6"/>
      <c r="DX1090" s="6"/>
      <c r="DY1090" s="6"/>
      <c r="DZ1090" s="6"/>
      <c r="EA1090" s="6"/>
      <c r="EB1090" s="6"/>
      <c r="EC1090" s="6"/>
      <c r="ED1090" s="6"/>
      <c r="EE1090" s="6"/>
    </row>
    <row r="1091" spans="1:135" ht="79.5" customHeight="1" thickBot="1" x14ac:dyDescent="0.3">
      <c r="A1091" s="578" t="s">
        <v>2993</v>
      </c>
      <c r="B1091" s="8">
        <v>2274</v>
      </c>
      <c r="C1091" s="72" t="s">
        <v>2990</v>
      </c>
      <c r="D1091" s="10" t="s">
        <v>2991</v>
      </c>
      <c r="E1091" s="11" t="s">
        <v>25</v>
      </c>
      <c r="F1091" s="12" t="s">
        <v>2992</v>
      </c>
      <c r="G1091" s="15" t="s">
        <v>983</v>
      </c>
      <c r="H1091" s="18" t="s">
        <v>1398</v>
      </c>
      <c r="I1091" s="18" t="s">
        <v>48</v>
      </c>
      <c r="J1091" s="18" t="s">
        <v>330</v>
      </c>
      <c r="K1091" s="33" t="s">
        <v>2994</v>
      </c>
      <c r="L1091" s="25" t="str">
        <f>"RUTL-"&amp;RIGHT(K1091,8)</f>
        <v>RUTL-S4FM3313</v>
      </c>
      <c r="M1091" s="34" t="s">
        <v>40</v>
      </c>
      <c r="N1091" s="15" t="s">
        <v>319</v>
      </c>
      <c r="O1091" s="23"/>
      <c r="P1091" s="175"/>
      <c r="Q1091" s="63" t="s">
        <v>2995</v>
      </c>
      <c r="R1091" s="15" t="s">
        <v>235</v>
      </c>
      <c r="S1091" s="23"/>
      <c r="T1091" s="23"/>
      <c r="U1091" s="23" t="s">
        <v>2996</v>
      </c>
      <c r="V1091" s="23"/>
      <c r="W1091" s="21"/>
      <c r="X1091" s="264"/>
    </row>
    <row r="1092" spans="1:135" ht="15.75" customHeight="1" thickBot="1" x14ac:dyDescent="0.3">
      <c r="A1092" s="578" t="s">
        <v>6776</v>
      </c>
      <c r="B1092" s="51">
        <v>16762</v>
      </c>
      <c r="C1092" s="52" t="s">
        <v>6774</v>
      </c>
      <c r="D1092" s="10" t="s">
        <v>72</v>
      </c>
      <c r="E1092" s="11" t="s">
        <v>25</v>
      </c>
      <c r="F1092" s="20" t="s">
        <v>6775</v>
      </c>
      <c r="G1092" s="15" t="s">
        <v>1796</v>
      </c>
      <c r="H1092" s="17" t="s">
        <v>1846</v>
      </c>
      <c r="I1092" s="18" t="s">
        <v>48</v>
      </c>
      <c r="J1092" s="18" t="s">
        <v>330</v>
      </c>
      <c r="K1092" s="23" t="s">
        <v>6777</v>
      </c>
      <c r="L1092" s="25" t="str">
        <f>"RUTL-"&amp;RIGHT(K1092,8)</f>
        <v>RUTL-S4FM3373</v>
      </c>
      <c r="M1092" s="34" t="s">
        <v>40</v>
      </c>
      <c r="N1092" s="23" t="s">
        <v>6778</v>
      </c>
      <c r="O1092" s="23"/>
      <c r="P1092" s="39" t="s">
        <v>90</v>
      </c>
      <c r="Q1092" s="63" t="s">
        <v>6779</v>
      </c>
      <c r="R1092" s="15" t="s">
        <v>56</v>
      </c>
      <c r="S1092" s="37" t="s">
        <v>57</v>
      </c>
      <c r="T1092" s="107" t="s">
        <v>453</v>
      </c>
      <c r="U1092" s="39" t="s">
        <v>6780</v>
      </c>
      <c r="V1092" s="23"/>
      <c r="W1092" s="23"/>
      <c r="X1092" s="71"/>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c r="BW1092" s="5"/>
      <c r="BX1092" s="5"/>
      <c r="BY1092" s="5"/>
      <c r="BZ1092" s="5"/>
      <c r="CA1092" s="5"/>
      <c r="CB1092" s="5"/>
      <c r="CC1092" s="5"/>
      <c r="CD1092" s="5"/>
      <c r="CE1092" s="5"/>
      <c r="CF1092" s="5"/>
      <c r="CG1092" s="5"/>
      <c r="CH1092" s="5"/>
      <c r="CI1092" s="5"/>
      <c r="CJ1092" s="5"/>
      <c r="CK1092" s="5"/>
      <c r="CL1092" s="5"/>
      <c r="CM1092" s="5"/>
      <c r="CN1092" s="5"/>
      <c r="CO1092" s="5"/>
      <c r="CP1092" s="5"/>
      <c r="CQ1092" s="5"/>
      <c r="CR1092" s="5"/>
      <c r="CS1092" s="5"/>
      <c r="CT1092" s="5"/>
      <c r="CU1092" s="5"/>
      <c r="CV1092" s="5"/>
      <c r="CW1092" s="5"/>
      <c r="CX1092" s="5"/>
      <c r="CY1092" s="5"/>
      <c r="CZ1092" s="5"/>
      <c r="DA1092" s="5"/>
      <c r="DB1092" s="5"/>
      <c r="DC1092" s="5"/>
      <c r="DD1092" s="5"/>
      <c r="DE1092" s="5"/>
      <c r="DF1092" s="5"/>
      <c r="DG1092" s="5"/>
      <c r="DH1092" s="5"/>
      <c r="DI1092" s="5"/>
      <c r="DJ1092" s="5"/>
      <c r="DK1092" s="5"/>
      <c r="DL1092" s="5"/>
      <c r="DM1092" s="5"/>
      <c r="DN1092" s="5"/>
      <c r="DO1092" s="5"/>
      <c r="DP1092" s="5"/>
      <c r="DQ1092" s="5"/>
      <c r="DR1092" s="5"/>
      <c r="DS1092" s="5"/>
      <c r="DT1092" s="5"/>
      <c r="DU1092" s="5"/>
      <c r="DV1092" s="5"/>
      <c r="DW1092" s="5"/>
      <c r="DX1092" s="5"/>
      <c r="DY1092" s="5"/>
      <c r="DZ1092" s="5"/>
      <c r="EA1092" s="5"/>
      <c r="EB1092" s="5"/>
      <c r="EC1092" s="5"/>
      <c r="ED1092" s="5"/>
      <c r="EE1092" s="5"/>
    </row>
    <row r="1093" spans="1:135" ht="37.5" x14ac:dyDescent="0.25">
      <c r="A1093" s="578" t="s">
        <v>3827</v>
      </c>
      <c r="B1093" s="438">
        <v>6000</v>
      </c>
      <c r="C1093" s="72" t="s">
        <v>3824</v>
      </c>
      <c r="D1093" s="10" t="s">
        <v>3825</v>
      </c>
      <c r="E1093" s="11" t="s">
        <v>25</v>
      </c>
      <c r="F1093" s="20" t="s">
        <v>3826</v>
      </c>
      <c r="G1093" s="15" t="s">
        <v>443</v>
      </c>
      <c r="H1093" s="104" t="s">
        <v>3573</v>
      </c>
      <c r="I1093" s="18" t="s">
        <v>3820</v>
      </c>
      <c r="J1093" s="18" t="s">
        <v>330</v>
      </c>
      <c r="K1093" s="33" t="s">
        <v>3828</v>
      </c>
      <c r="L1093" s="25" t="str">
        <f>"RUTL-"&amp;RIGHT(K1093,8)</f>
        <v>RUTL-S4FM3324</v>
      </c>
      <c r="M1093" s="34" t="s">
        <v>40</v>
      </c>
      <c r="N1093" s="23"/>
      <c r="O1093" s="23"/>
      <c r="P1093" s="23"/>
      <c r="Q1093" s="63" t="s">
        <v>3829</v>
      </c>
      <c r="R1093" s="15" t="s">
        <v>235</v>
      </c>
      <c r="S1093" s="23"/>
      <c r="T1093" s="23"/>
      <c r="U1093" s="23" t="s">
        <v>3216</v>
      </c>
      <c r="V1093" s="23"/>
      <c r="W1093" s="2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3"/>
      <c r="AX1093" s="13"/>
      <c r="AY1093" s="13"/>
      <c r="AZ1093" s="13"/>
      <c r="BA1093" s="13"/>
      <c r="BB1093" s="13"/>
      <c r="BC1093" s="13"/>
      <c r="BD1093" s="13"/>
      <c r="BE1093" s="13"/>
      <c r="BF1093" s="13"/>
      <c r="BG1093" s="13"/>
      <c r="BH1093" s="13"/>
      <c r="BI1093" s="13"/>
      <c r="BJ1093" s="13"/>
      <c r="BK1093" s="13"/>
      <c r="BL1093" s="13"/>
      <c r="BM1093" s="13"/>
      <c r="BN1093" s="13"/>
      <c r="BO1093" s="13"/>
      <c r="BP1093" s="13"/>
      <c r="BQ1093" s="13"/>
      <c r="BR1093" s="13"/>
      <c r="BS1093" s="13"/>
      <c r="BT1093" s="13"/>
      <c r="BU1093" s="13"/>
      <c r="BV1093" s="13"/>
      <c r="BW1093" s="13"/>
      <c r="BX1093" s="13"/>
      <c r="BY1093" s="13"/>
      <c r="BZ1093" s="13"/>
      <c r="CA1093" s="13"/>
      <c r="CB1093" s="13"/>
      <c r="CC1093" s="13"/>
      <c r="CD1093" s="13"/>
      <c r="CE1093" s="13"/>
      <c r="CF1093" s="13"/>
      <c r="CG1093" s="13"/>
      <c r="CH1093" s="13"/>
      <c r="CI1093" s="13"/>
      <c r="CJ1093" s="13"/>
      <c r="CK1093" s="13"/>
      <c r="CL1093" s="13"/>
      <c r="CM1093" s="13"/>
      <c r="CN1093" s="13"/>
      <c r="CO1093" s="13"/>
      <c r="CP1093" s="13"/>
      <c r="CQ1093" s="13"/>
      <c r="CR1093" s="13"/>
      <c r="CS1093" s="13"/>
      <c r="CT1093" s="13"/>
      <c r="CU1093" s="13"/>
      <c r="CV1093" s="13"/>
      <c r="CW1093" s="13"/>
      <c r="CX1093" s="13"/>
      <c r="CY1093" s="13"/>
      <c r="CZ1093" s="13"/>
      <c r="DA1093" s="13"/>
      <c r="DB1093" s="13"/>
      <c r="DC1093" s="13"/>
      <c r="DD1093" s="13"/>
      <c r="DE1093" s="13"/>
      <c r="DF1093" s="13"/>
      <c r="DG1093" s="13"/>
      <c r="DH1093" s="13"/>
      <c r="DI1093" s="13"/>
      <c r="DJ1093" s="13"/>
      <c r="DK1093" s="13"/>
      <c r="DL1093" s="13"/>
      <c r="DM1093" s="13"/>
      <c r="DN1093" s="13"/>
      <c r="DO1093" s="13"/>
      <c r="DP1093" s="13"/>
      <c r="DQ1093" s="13"/>
      <c r="DR1093" s="13"/>
      <c r="DS1093" s="13"/>
      <c r="DT1093" s="13"/>
      <c r="DU1093" s="13"/>
      <c r="DV1093" s="13"/>
      <c r="DW1093" s="13"/>
      <c r="DX1093" s="13"/>
      <c r="DY1093" s="13"/>
      <c r="DZ1093" s="13"/>
      <c r="EA1093" s="13"/>
      <c r="EB1093" s="13"/>
      <c r="EC1093" s="13"/>
      <c r="ED1093" s="13"/>
      <c r="EE1093" s="13"/>
    </row>
    <row r="1094" spans="1:135" ht="72" customHeight="1" thickBot="1" x14ac:dyDescent="0.3">
      <c r="A1094" s="578" t="s">
        <v>4058</v>
      </c>
      <c r="B1094" s="438">
        <v>7089</v>
      </c>
      <c r="C1094" s="72" t="s">
        <v>4056</v>
      </c>
      <c r="D1094" s="15" t="s">
        <v>24</v>
      </c>
      <c r="E1094" s="11" t="s">
        <v>25</v>
      </c>
      <c r="F1094" s="20" t="s">
        <v>4057</v>
      </c>
      <c r="G1094" s="15" t="s">
        <v>755</v>
      </c>
      <c r="H1094" s="119" t="s">
        <v>1071</v>
      </c>
      <c r="I1094" s="24" t="s">
        <v>48</v>
      </c>
      <c r="J1094" s="24" t="s">
        <v>330</v>
      </c>
      <c r="K1094" s="33" t="s">
        <v>4059</v>
      </c>
      <c r="L1094" s="25" t="str">
        <f>"RUTL-"&amp;RIGHT(K1094,8)</f>
        <v>RUTL-PC0QUZC3</v>
      </c>
      <c r="M1094" s="34" t="s">
        <v>40</v>
      </c>
      <c r="N1094" s="32" t="s">
        <v>54</v>
      </c>
      <c r="O1094" s="32"/>
      <c r="P1094" s="90" t="s">
        <v>90</v>
      </c>
      <c r="Q1094" s="100"/>
      <c r="R1094" s="15" t="s">
        <v>56</v>
      </c>
      <c r="S1094" s="40" t="s">
        <v>57</v>
      </c>
      <c r="T1094" s="107" t="s">
        <v>453</v>
      </c>
      <c r="U1094" s="39" t="s">
        <v>4060</v>
      </c>
      <c r="V1094" s="32"/>
      <c r="W1094" s="32"/>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c r="CA1094" s="6"/>
      <c r="CB1094" s="6"/>
      <c r="CC1094" s="6"/>
      <c r="CD1094" s="6"/>
      <c r="CE1094" s="6"/>
      <c r="CF1094" s="6"/>
      <c r="CG1094" s="6"/>
      <c r="CH1094" s="6"/>
      <c r="CI1094" s="6"/>
      <c r="CJ1094" s="6"/>
      <c r="CK1094" s="6"/>
      <c r="CL1094" s="6"/>
      <c r="CM1094" s="6"/>
      <c r="CN1094" s="6"/>
      <c r="CO1094" s="6"/>
      <c r="CP1094" s="6"/>
      <c r="CQ1094" s="6"/>
      <c r="CR1094" s="6"/>
      <c r="CS1094" s="6"/>
      <c r="CT1094" s="6"/>
      <c r="CU1094" s="6"/>
      <c r="CV1094" s="6"/>
      <c r="CW1094" s="6"/>
      <c r="CX1094" s="6"/>
      <c r="CY1094" s="6"/>
      <c r="CZ1094" s="6"/>
      <c r="DA1094" s="6"/>
      <c r="DB1094" s="6"/>
      <c r="DC1094" s="6"/>
      <c r="DD1094" s="6"/>
      <c r="DE1094" s="6"/>
      <c r="DF1094" s="6"/>
      <c r="DG1094" s="6"/>
      <c r="DH1094" s="6"/>
      <c r="DI1094" s="6"/>
      <c r="DJ1094" s="6"/>
      <c r="DK1094" s="6"/>
      <c r="DL1094" s="6"/>
      <c r="DM1094" s="6"/>
      <c r="DN1094" s="6"/>
      <c r="DO1094" s="6"/>
      <c r="DP1094" s="6"/>
      <c r="DQ1094" s="6"/>
      <c r="DR1094" s="6"/>
      <c r="DS1094" s="6"/>
      <c r="DT1094" s="6"/>
      <c r="DU1094" s="6"/>
      <c r="DV1094" s="6"/>
      <c r="DW1094" s="6"/>
      <c r="DX1094" s="6"/>
      <c r="DY1094" s="6"/>
      <c r="DZ1094" s="6"/>
      <c r="EA1094" s="6"/>
      <c r="EB1094" s="6"/>
      <c r="EC1094" s="6"/>
      <c r="ED1094" s="6"/>
      <c r="EE1094" s="6"/>
    </row>
    <row r="1095" spans="1:135" ht="78" customHeight="1" thickBot="1" x14ac:dyDescent="0.3">
      <c r="A1095" s="578" t="s">
        <v>7574</v>
      </c>
      <c r="B1095" s="445" t="s">
        <v>7545</v>
      </c>
      <c r="C1095" s="99" t="s">
        <v>7570</v>
      </c>
      <c r="D1095" s="10" t="s">
        <v>4777</v>
      </c>
      <c r="E1095" s="28" t="s">
        <v>25</v>
      </c>
      <c r="F1095" s="20" t="s">
        <v>7571</v>
      </c>
      <c r="G1095" s="12" t="s">
        <v>7572</v>
      </c>
      <c r="H1095" s="104" t="s">
        <v>7573</v>
      </c>
      <c r="I1095" s="24" t="s">
        <v>48</v>
      </c>
      <c r="J1095" s="24" t="s">
        <v>330</v>
      </c>
      <c r="K1095" s="106" t="s">
        <v>7575</v>
      </c>
      <c r="L1095" s="33" t="str">
        <f>"RUTL-"&amp;RIGHT(K1095,8)</f>
        <v>RUTL-PC0QUZBZ</v>
      </c>
      <c r="M1095" s="109"/>
      <c r="N1095" s="23"/>
      <c r="O1095" s="23"/>
      <c r="P1095" s="39" t="s">
        <v>90</v>
      </c>
      <c r="Q1095" s="39" t="s">
        <v>7576</v>
      </c>
      <c r="R1095" s="15" t="s">
        <v>56</v>
      </c>
      <c r="S1095" s="37" t="s">
        <v>57</v>
      </c>
      <c r="T1095" s="35" t="s">
        <v>65</v>
      </c>
      <c r="U1095" s="23" t="s">
        <v>7577</v>
      </c>
      <c r="V1095" s="82"/>
      <c r="W1095" s="23"/>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c r="CA1095" s="6"/>
      <c r="CB1095" s="6"/>
      <c r="CC1095" s="6"/>
      <c r="CD1095" s="6"/>
      <c r="CE1095" s="6"/>
      <c r="CF1095" s="6"/>
      <c r="CG1095" s="6"/>
      <c r="CH1095" s="6"/>
      <c r="CI1095" s="6"/>
      <c r="CJ1095" s="6"/>
      <c r="CK1095" s="6"/>
      <c r="CL1095" s="6"/>
      <c r="CM1095" s="6"/>
      <c r="CN1095" s="6"/>
      <c r="CO1095" s="6"/>
      <c r="CP1095" s="6"/>
      <c r="CQ1095" s="6"/>
      <c r="CR1095" s="6"/>
      <c r="CS1095" s="6"/>
      <c r="CT1095" s="6"/>
      <c r="CU1095" s="6"/>
      <c r="CV1095" s="6"/>
      <c r="CW1095" s="6"/>
      <c r="CX1095" s="6"/>
      <c r="CY1095" s="6"/>
      <c r="CZ1095" s="6"/>
      <c r="DA1095" s="6"/>
      <c r="DB1095" s="6"/>
      <c r="DC1095" s="6"/>
      <c r="DD1095" s="6"/>
      <c r="DE1095" s="6"/>
      <c r="DF1095" s="6"/>
      <c r="DG1095" s="6"/>
      <c r="DH1095" s="6"/>
      <c r="DI1095" s="6"/>
      <c r="DJ1095" s="6"/>
      <c r="DK1095" s="6"/>
      <c r="DL1095" s="6"/>
      <c r="DM1095" s="6"/>
      <c r="DN1095" s="6"/>
      <c r="DO1095" s="6"/>
      <c r="DP1095" s="6"/>
      <c r="DQ1095" s="6"/>
      <c r="DR1095" s="6"/>
      <c r="DS1095" s="6"/>
      <c r="DT1095" s="6"/>
      <c r="DU1095" s="6"/>
      <c r="DV1095" s="6"/>
      <c r="DW1095" s="6"/>
      <c r="DX1095" s="6"/>
      <c r="DY1095" s="6"/>
      <c r="DZ1095" s="6"/>
      <c r="EA1095" s="6"/>
      <c r="EB1095" s="6"/>
      <c r="EC1095" s="6"/>
      <c r="ED1095" s="6"/>
      <c r="EE1095" s="6"/>
    </row>
    <row r="1096" spans="1:135" ht="37.5" customHeight="1" x14ac:dyDescent="0.25">
      <c r="A1096" s="578" t="s">
        <v>4727</v>
      </c>
      <c r="B1096" s="8">
        <v>9772</v>
      </c>
      <c r="C1096" s="72" t="s">
        <v>4724</v>
      </c>
      <c r="D1096" s="10" t="s">
        <v>24</v>
      </c>
      <c r="E1096" s="11" t="s">
        <v>25</v>
      </c>
      <c r="F1096" s="20" t="s">
        <v>4725</v>
      </c>
      <c r="G1096" s="15" t="s">
        <v>4726</v>
      </c>
      <c r="H1096" s="119" t="s">
        <v>811</v>
      </c>
      <c r="I1096" s="18" t="s">
        <v>48</v>
      </c>
      <c r="J1096" s="18" t="s">
        <v>330</v>
      </c>
      <c r="K1096" s="33" t="s">
        <v>4728</v>
      </c>
      <c r="L1096" s="25" t="str">
        <f>"RUTL-"&amp;RIGHT(K1096,8)</f>
        <v>RUTL-S4FM3339</v>
      </c>
      <c r="M1096" s="34" t="s">
        <v>40</v>
      </c>
      <c r="N1096" s="23" t="s">
        <v>43</v>
      </c>
      <c r="O1096" s="23"/>
      <c r="P1096" s="39" t="s">
        <v>90</v>
      </c>
      <c r="Q1096" s="63" t="s">
        <v>4729</v>
      </c>
      <c r="R1096" s="15" t="s">
        <v>56</v>
      </c>
      <c r="S1096" s="37" t="s">
        <v>57</v>
      </c>
      <c r="T1096" s="105" t="s">
        <v>148</v>
      </c>
      <c r="U1096" s="39" t="s">
        <v>667</v>
      </c>
      <c r="V1096" s="23"/>
      <c r="W1096" s="2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3"/>
      <c r="AY1096" s="13"/>
      <c r="AZ1096" s="13"/>
      <c r="BA1096" s="13"/>
      <c r="BB1096" s="13"/>
      <c r="BC1096" s="13"/>
      <c r="BD1096" s="13"/>
      <c r="BE1096" s="13"/>
      <c r="BF1096" s="13"/>
      <c r="BG1096" s="13"/>
      <c r="BH1096" s="13"/>
      <c r="BI1096" s="13"/>
      <c r="BJ1096" s="13"/>
      <c r="BK1096" s="13"/>
      <c r="BL1096" s="13"/>
      <c r="BM1096" s="13"/>
      <c r="BN1096" s="13"/>
      <c r="BO1096" s="13"/>
      <c r="BP1096" s="13"/>
      <c r="BQ1096" s="13"/>
      <c r="BR1096" s="13"/>
      <c r="BS1096" s="13"/>
      <c r="BT1096" s="13"/>
      <c r="BU1096" s="13"/>
      <c r="BV1096" s="13"/>
      <c r="BW1096" s="13"/>
      <c r="BX1096" s="13"/>
      <c r="BY1096" s="13"/>
      <c r="BZ1096" s="13"/>
      <c r="CA1096" s="13"/>
      <c r="CB1096" s="13"/>
      <c r="CC1096" s="13"/>
      <c r="CD1096" s="13"/>
      <c r="CE1096" s="13"/>
      <c r="CF1096" s="13"/>
      <c r="CG1096" s="13"/>
      <c r="CH1096" s="13"/>
      <c r="CI1096" s="13"/>
      <c r="CJ1096" s="13"/>
      <c r="CK1096" s="13"/>
      <c r="CL1096" s="13"/>
      <c r="CM1096" s="13"/>
      <c r="CN1096" s="13"/>
      <c r="CO1096" s="13"/>
      <c r="CP1096" s="13"/>
      <c r="CQ1096" s="13"/>
      <c r="CR1096" s="13"/>
      <c r="CS1096" s="13"/>
      <c r="CT1096" s="13"/>
      <c r="CU1096" s="13"/>
      <c r="CV1096" s="13"/>
      <c r="CW1096" s="13"/>
      <c r="CX1096" s="13"/>
      <c r="CY1096" s="13"/>
      <c r="CZ1096" s="13"/>
      <c r="DA1096" s="13"/>
      <c r="DB1096" s="13"/>
      <c r="DC1096" s="13"/>
      <c r="DD1096" s="13"/>
      <c r="DE1096" s="13"/>
      <c r="DF1096" s="13"/>
      <c r="DG1096" s="13"/>
      <c r="DH1096" s="13"/>
      <c r="DI1096" s="13"/>
      <c r="DJ1096" s="13"/>
      <c r="DK1096" s="13"/>
      <c r="DL1096" s="13"/>
      <c r="DM1096" s="13"/>
      <c r="DN1096" s="13"/>
      <c r="DO1096" s="13"/>
      <c r="DP1096" s="13"/>
      <c r="DQ1096" s="13"/>
      <c r="DR1096" s="13"/>
      <c r="DS1096" s="13"/>
      <c r="DT1096" s="13"/>
      <c r="DU1096" s="13"/>
      <c r="DV1096" s="13"/>
      <c r="DW1096" s="13"/>
      <c r="DX1096" s="13"/>
      <c r="DY1096" s="13"/>
      <c r="DZ1096" s="13"/>
      <c r="EA1096" s="13"/>
      <c r="EB1096" s="13"/>
      <c r="EC1096" s="13"/>
      <c r="ED1096" s="13"/>
      <c r="EE1096" s="13"/>
    </row>
    <row r="1097" spans="1:135" ht="63" customHeight="1" x14ac:dyDescent="0.25">
      <c r="A1097" s="578" t="s">
        <v>7420</v>
      </c>
      <c r="B1097" s="435">
        <v>18628</v>
      </c>
      <c r="C1097" s="72" t="s">
        <v>7416</v>
      </c>
      <c r="D1097" s="10" t="s">
        <v>7417</v>
      </c>
      <c r="E1097" s="28" t="s">
        <v>25</v>
      </c>
      <c r="F1097" s="12" t="s">
        <v>7418</v>
      </c>
      <c r="G1097" s="15" t="s">
        <v>7419</v>
      </c>
      <c r="H1097" s="97" t="s">
        <v>1071</v>
      </c>
      <c r="I1097" s="18" t="s">
        <v>48</v>
      </c>
      <c r="J1097" s="18" t="s">
        <v>330</v>
      </c>
      <c r="K1097" s="23" t="s">
        <v>7421</v>
      </c>
      <c r="L1097" s="21" t="str">
        <f>"RUTL-"&amp;RIGHT(K1097,8)</f>
        <v>RUTL-S4FM3369</v>
      </c>
      <c r="M1097" s="34" t="s">
        <v>40</v>
      </c>
      <c r="N1097" s="23" t="s">
        <v>43</v>
      </c>
      <c r="O1097" s="23"/>
      <c r="P1097" s="39" t="s">
        <v>90</v>
      </c>
      <c r="Q1097" s="39" t="s">
        <v>7422</v>
      </c>
      <c r="R1097" s="15" t="s">
        <v>56</v>
      </c>
      <c r="S1097" s="40" t="s">
        <v>57</v>
      </c>
      <c r="T1097" s="183" t="s">
        <v>675</v>
      </c>
      <c r="U1097" s="23" t="s">
        <v>7423</v>
      </c>
      <c r="V1097" s="23"/>
      <c r="W1097" s="2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3"/>
      <c r="AY1097" s="13"/>
      <c r="AZ1097" s="13"/>
      <c r="BA1097" s="13"/>
      <c r="BB1097" s="13"/>
      <c r="BC1097" s="13"/>
      <c r="BD1097" s="13"/>
      <c r="BE1097" s="13"/>
      <c r="BF1097" s="13"/>
      <c r="BG1097" s="13"/>
      <c r="BH1097" s="13"/>
      <c r="BI1097" s="13"/>
      <c r="BJ1097" s="13"/>
      <c r="BK1097" s="13"/>
      <c r="BL1097" s="13"/>
      <c r="BM1097" s="13"/>
      <c r="BN1097" s="13"/>
      <c r="BO1097" s="13"/>
      <c r="BP1097" s="13"/>
      <c r="BQ1097" s="13"/>
      <c r="BR1097" s="13"/>
      <c r="BS1097" s="13"/>
      <c r="BT1097" s="13"/>
      <c r="BU1097" s="13"/>
      <c r="BV1097" s="13"/>
      <c r="BW1097" s="13"/>
      <c r="BX1097" s="13"/>
      <c r="BY1097" s="13"/>
      <c r="BZ1097" s="13"/>
      <c r="CA1097" s="13"/>
      <c r="CB1097" s="13"/>
      <c r="CC1097" s="13"/>
      <c r="CD1097" s="13"/>
      <c r="CE1097" s="13"/>
      <c r="CF1097" s="13"/>
      <c r="CG1097" s="13"/>
      <c r="CH1097" s="13"/>
      <c r="CI1097" s="13"/>
      <c r="CJ1097" s="13"/>
      <c r="CK1097" s="13"/>
      <c r="CL1097" s="13"/>
      <c r="CM1097" s="13"/>
      <c r="CN1097" s="13"/>
      <c r="CO1097" s="13"/>
      <c r="CP1097" s="13"/>
      <c r="CQ1097" s="13"/>
      <c r="CR1097" s="13"/>
      <c r="CS1097" s="13"/>
      <c r="CT1097" s="13"/>
      <c r="CU1097" s="13"/>
      <c r="CV1097" s="13"/>
      <c r="CW1097" s="13"/>
      <c r="CX1097" s="13"/>
      <c r="CY1097" s="13"/>
      <c r="CZ1097" s="13"/>
      <c r="DA1097" s="13"/>
      <c r="DB1097" s="13"/>
      <c r="DC1097" s="13"/>
      <c r="DD1097" s="13"/>
      <c r="DE1097" s="13"/>
      <c r="DF1097" s="13"/>
      <c r="DG1097" s="13"/>
      <c r="DH1097" s="13"/>
      <c r="DI1097" s="13"/>
      <c r="DJ1097" s="13"/>
      <c r="DK1097" s="13"/>
      <c r="DL1097" s="13"/>
      <c r="DM1097" s="13"/>
      <c r="DN1097" s="13"/>
      <c r="DO1097" s="13"/>
      <c r="DP1097" s="13"/>
      <c r="DQ1097" s="13"/>
      <c r="DR1097" s="13"/>
      <c r="DS1097" s="13"/>
      <c r="DT1097" s="13"/>
      <c r="DU1097" s="13"/>
      <c r="DV1097" s="13"/>
      <c r="DW1097" s="13"/>
      <c r="DX1097" s="13"/>
      <c r="DY1097" s="13"/>
      <c r="DZ1097" s="13"/>
      <c r="EA1097" s="13"/>
      <c r="EB1097" s="13"/>
      <c r="EC1097" s="13"/>
      <c r="ED1097" s="13"/>
      <c r="EE1097" s="13"/>
    </row>
    <row r="1098" spans="1:135" ht="63" x14ac:dyDescent="0.25">
      <c r="A1098" s="578" t="s">
        <v>1516</v>
      </c>
      <c r="B1098" s="23"/>
      <c r="C1098" s="99" t="s">
        <v>1514</v>
      </c>
      <c r="D1098" s="15" t="s">
        <v>24</v>
      </c>
      <c r="E1098" s="28" t="s">
        <v>25</v>
      </c>
      <c r="F1098" s="20" t="s">
        <v>1515</v>
      </c>
      <c r="G1098" s="12" t="s">
        <v>1270</v>
      </c>
      <c r="H1098" s="53" t="s">
        <v>1273</v>
      </c>
      <c r="I1098" s="18" t="s">
        <v>48</v>
      </c>
      <c r="J1098" s="18" t="s">
        <v>330</v>
      </c>
      <c r="K1098" s="23" t="s">
        <v>1517</v>
      </c>
      <c r="L1098" s="21" t="str">
        <f>"RUTL-"&amp;RIGHT(K1098,8)</f>
        <v>RUTL-S4FM3405</v>
      </c>
      <c r="M1098" s="144" t="s">
        <v>40</v>
      </c>
      <c r="N1098" s="23"/>
      <c r="O1098" s="23"/>
      <c r="P1098" s="39" t="s">
        <v>90</v>
      </c>
      <c r="Q1098" s="23"/>
      <c r="R1098" s="15" t="s">
        <v>56</v>
      </c>
      <c r="S1098" s="37" t="s">
        <v>57</v>
      </c>
      <c r="T1098" s="107" t="s">
        <v>1390</v>
      </c>
      <c r="U1098" s="21" t="s">
        <v>1539</v>
      </c>
      <c r="V1098" s="23"/>
      <c r="W1098" s="2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3"/>
      <c r="AY1098" s="13"/>
      <c r="AZ1098" s="13"/>
      <c r="BA1098" s="13"/>
      <c r="BB1098" s="13"/>
      <c r="BC1098" s="13"/>
      <c r="BD1098" s="13"/>
      <c r="BE1098" s="13"/>
      <c r="BF1098" s="13"/>
      <c r="BG1098" s="13"/>
      <c r="BH1098" s="13"/>
      <c r="BI1098" s="13"/>
      <c r="BJ1098" s="13"/>
      <c r="BK1098" s="13"/>
      <c r="BL1098" s="13"/>
      <c r="BM1098" s="13"/>
      <c r="BN1098" s="13"/>
      <c r="BO1098" s="13"/>
      <c r="BP1098" s="13"/>
      <c r="BQ1098" s="13"/>
      <c r="BR1098" s="13"/>
      <c r="BS1098" s="13"/>
      <c r="BT1098" s="13"/>
      <c r="BU1098" s="13"/>
      <c r="BV1098" s="13"/>
      <c r="BW1098" s="13"/>
      <c r="BX1098" s="13"/>
      <c r="BY1098" s="13"/>
      <c r="BZ1098" s="13"/>
      <c r="CA1098" s="13"/>
      <c r="CB1098" s="13"/>
      <c r="CC1098" s="13"/>
      <c r="CD1098" s="13"/>
      <c r="CE1098" s="13"/>
      <c r="CF1098" s="13"/>
      <c r="CG1098" s="13"/>
      <c r="CH1098" s="13"/>
      <c r="CI1098" s="13"/>
      <c r="CJ1098" s="13"/>
      <c r="CK1098" s="13"/>
      <c r="CL1098" s="13"/>
      <c r="CM1098" s="13"/>
      <c r="CN1098" s="13"/>
      <c r="CO1098" s="13"/>
      <c r="CP1098" s="13"/>
      <c r="CQ1098" s="13"/>
      <c r="CR1098" s="13"/>
      <c r="CS1098" s="13"/>
      <c r="CT1098" s="13"/>
      <c r="CU1098" s="13"/>
      <c r="CV1098" s="13"/>
      <c r="CW1098" s="13"/>
      <c r="CX1098" s="13"/>
      <c r="CY1098" s="13"/>
      <c r="CZ1098" s="13"/>
      <c r="DA1098" s="13"/>
      <c r="DB1098" s="13"/>
      <c r="DC1098" s="13"/>
      <c r="DD1098" s="13"/>
      <c r="DE1098" s="13"/>
      <c r="DF1098" s="13"/>
      <c r="DG1098" s="13"/>
      <c r="DH1098" s="13"/>
      <c r="DI1098" s="13"/>
      <c r="DJ1098" s="13"/>
      <c r="DK1098" s="13"/>
      <c r="DL1098" s="13"/>
      <c r="DM1098" s="13"/>
      <c r="DN1098" s="13"/>
      <c r="DO1098" s="13"/>
      <c r="DP1098" s="13"/>
      <c r="DQ1098" s="13"/>
      <c r="DR1098" s="13"/>
      <c r="DS1098" s="13"/>
      <c r="DT1098" s="13"/>
      <c r="DU1098" s="13"/>
      <c r="DV1098" s="13"/>
      <c r="DW1098" s="13"/>
      <c r="DX1098" s="13"/>
      <c r="DY1098" s="13"/>
      <c r="DZ1098" s="13"/>
      <c r="EA1098" s="13"/>
      <c r="EB1098" s="13"/>
      <c r="EC1098" s="13"/>
      <c r="ED1098" s="13"/>
      <c r="EE1098" s="13"/>
    </row>
    <row r="1099" spans="1:135" ht="37.5" x14ac:dyDescent="0.25">
      <c r="A1099" s="578" t="s">
        <v>1653</v>
      </c>
      <c r="B1099" s="8">
        <v>681</v>
      </c>
      <c r="C1099" s="268" t="s">
        <v>1641</v>
      </c>
      <c r="D1099" s="10" t="s">
        <v>24</v>
      </c>
      <c r="E1099" s="11" t="s">
        <v>25</v>
      </c>
      <c r="F1099" s="20" t="s">
        <v>1650</v>
      </c>
      <c r="G1099" s="15" t="s">
        <v>983</v>
      </c>
      <c r="H1099" s="143" t="s">
        <v>398</v>
      </c>
      <c r="I1099" s="18" t="s">
        <v>48</v>
      </c>
      <c r="J1099" s="18" t="s">
        <v>330</v>
      </c>
      <c r="K1099" s="23" t="s">
        <v>1655</v>
      </c>
      <c r="L1099" s="25" t="str">
        <f>"RUTL-"&amp;RIGHT(K1099,8)</f>
        <v>RUTL-S4FM3417</v>
      </c>
      <c r="M1099" s="34" t="s">
        <v>40</v>
      </c>
      <c r="N1099" s="23"/>
      <c r="O1099" s="23"/>
      <c r="P1099" s="23"/>
      <c r="Q1099" s="63" t="s">
        <v>1659</v>
      </c>
      <c r="R1099" s="15" t="s">
        <v>56</v>
      </c>
      <c r="S1099" s="37" t="s">
        <v>57</v>
      </c>
      <c r="T1099" s="105" t="s">
        <v>148</v>
      </c>
      <c r="U1099" s="39" t="s">
        <v>1661</v>
      </c>
      <c r="V1099" s="23"/>
      <c r="W1099" s="2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3"/>
      <c r="AX1099" s="13"/>
      <c r="AY1099" s="13"/>
      <c r="AZ1099" s="13"/>
      <c r="BA1099" s="13"/>
      <c r="BB1099" s="13"/>
      <c r="BC1099" s="13"/>
      <c r="BD1099" s="13"/>
      <c r="BE1099" s="13"/>
      <c r="BF1099" s="13"/>
      <c r="BG1099" s="13"/>
      <c r="BH1099" s="13"/>
      <c r="BI1099" s="13"/>
      <c r="BJ1099" s="13"/>
      <c r="BK1099" s="13"/>
      <c r="BL1099" s="13"/>
      <c r="BM1099" s="13"/>
      <c r="BN1099" s="13"/>
      <c r="BO1099" s="13"/>
      <c r="BP1099" s="13"/>
      <c r="BQ1099" s="13"/>
      <c r="BR1099" s="13"/>
      <c r="BS1099" s="13"/>
      <c r="BT1099" s="13"/>
      <c r="BU1099" s="13"/>
      <c r="BV1099" s="13"/>
      <c r="BW1099" s="13"/>
      <c r="BX1099" s="13"/>
      <c r="BY1099" s="13"/>
      <c r="BZ1099" s="13"/>
      <c r="CA1099" s="13"/>
      <c r="CB1099" s="13"/>
      <c r="CC1099" s="13"/>
      <c r="CD1099" s="13"/>
      <c r="CE1099" s="13"/>
      <c r="CF1099" s="13"/>
      <c r="CG1099" s="13"/>
      <c r="CH1099" s="13"/>
      <c r="CI1099" s="13"/>
      <c r="CJ1099" s="13"/>
      <c r="CK1099" s="13"/>
      <c r="CL1099" s="13"/>
      <c r="CM1099" s="13"/>
      <c r="CN1099" s="13"/>
      <c r="CO1099" s="13"/>
      <c r="CP1099" s="13"/>
      <c r="CQ1099" s="13"/>
      <c r="CR1099" s="13"/>
      <c r="CS1099" s="13"/>
      <c r="CT1099" s="13"/>
      <c r="CU1099" s="13"/>
      <c r="CV1099" s="13"/>
      <c r="CW1099" s="13"/>
      <c r="CX1099" s="13"/>
      <c r="CY1099" s="13"/>
      <c r="CZ1099" s="13"/>
      <c r="DA1099" s="13"/>
      <c r="DB1099" s="13"/>
      <c r="DC1099" s="13"/>
      <c r="DD1099" s="13"/>
      <c r="DE1099" s="13"/>
      <c r="DF1099" s="13"/>
      <c r="DG1099" s="13"/>
      <c r="DH1099" s="13"/>
      <c r="DI1099" s="13"/>
      <c r="DJ1099" s="13"/>
      <c r="DK1099" s="13"/>
      <c r="DL1099" s="13"/>
      <c r="DM1099" s="13"/>
      <c r="DN1099" s="13"/>
      <c r="DO1099" s="13"/>
      <c r="DP1099" s="13"/>
      <c r="DQ1099" s="13"/>
      <c r="DR1099" s="13"/>
      <c r="DS1099" s="13"/>
      <c r="DT1099" s="13"/>
      <c r="DU1099" s="13"/>
      <c r="DV1099" s="13"/>
      <c r="DW1099" s="13"/>
      <c r="DX1099" s="13"/>
      <c r="DY1099" s="13"/>
      <c r="DZ1099" s="13"/>
      <c r="EA1099" s="13"/>
      <c r="EB1099" s="13"/>
      <c r="EC1099" s="13"/>
      <c r="ED1099" s="13"/>
      <c r="EE1099" s="13"/>
    </row>
    <row r="1100" spans="1:135" ht="31.5" x14ac:dyDescent="0.25">
      <c r="A1100" s="578" t="s">
        <v>4161</v>
      </c>
      <c r="B1100" s="8">
        <v>7406</v>
      </c>
      <c r="C1100" s="167" t="s">
        <v>4158</v>
      </c>
      <c r="D1100" s="15" t="s">
        <v>24</v>
      </c>
      <c r="E1100" s="11" t="s">
        <v>25</v>
      </c>
      <c r="F1100" s="20" t="s">
        <v>4159</v>
      </c>
      <c r="G1100" s="15" t="s">
        <v>4160</v>
      </c>
      <c r="H1100" s="143" t="s">
        <v>398</v>
      </c>
      <c r="I1100" s="18" t="s">
        <v>48</v>
      </c>
      <c r="J1100" s="18" t="s">
        <v>330</v>
      </c>
      <c r="K1100" s="33" t="s">
        <v>4162</v>
      </c>
      <c r="L1100" s="25" t="str">
        <f>"RUTL-"&amp;RIGHT(K1100,8)</f>
        <v>RUTL-S4FM3442</v>
      </c>
      <c r="M1100" s="34" t="s">
        <v>40</v>
      </c>
      <c r="N1100" s="23"/>
      <c r="O1100" s="23"/>
      <c r="P1100" s="23"/>
      <c r="Q1100" s="243" t="s">
        <v>4163</v>
      </c>
      <c r="R1100" s="15" t="s">
        <v>235</v>
      </c>
      <c r="S1100" s="37" t="s">
        <v>57</v>
      </c>
      <c r="T1100" s="53" t="s">
        <v>1581</v>
      </c>
      <c r="U1100" s="39" t="s">
        <v>4164</v>
      </c>
      <c r="V1100" s="23"/>
      <c r="W1100" s="2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3"/>
      <c r="AX1100" s="13"/>
      <c r="AY1100" s="13"/>
      <c r="AZ1100" s="13"/>
      <c r="BA1100" s="13"/>
      <c r="BB1100" s="13"/>
      <c r="BC1100" s="13"/>
      <c r="BD1100" s="13"/>
      <c r="BE1100" s="13"/>
      <c r="BF1100" s="13"/>
      <c r="BG1100" s="13"/>
      <c r="BH1100" s="13"/>
      <c r="BI1100" s="13"/>
      <c r="BJ1100" s="13"/>
      <c r="BK1100" s="13"/>
      <c r="BL1100" s="13"/>
      <c r="BM1100" s="13"/>
      <c r="BN1100" s="13"/>
      <c r="BO1100" s="13"/>
      <c r="BP1100" s="13"/>
      <c r="BQ1100" s="13"/>
      <c r="BR1100" s="13"/>
      <c r="BS1100" s="13"/>
      <c r="BT1100" s="13"/>
      <c r="BU1100" s="13"/>
      <c r="BV1100" s="13"/>
      <c r="BW1100" s="13"/>
      <c r="BX1100" s="13"/>
      <c r="BY1100" s="13"/>
      <c r="BZ1100" s="13"/>
      <c r="CA1100" s="13"/>
      <c r="CB1100" s="13"/>
      <c r="CC1100" s="13"/>
      <c r="CD1100" s="13"/>
      <c r="CE1100" s="13"/>
      <c r="CF1100" s="13"/>
      <c r="CG1100" s="13"/>
      <c r="CH1100" s="13"/>
      <c r="CI1100" s="13"/>
      <c r="CJ1100" s="13"/>
      <c r="CK1100" s="13"/>
      <c r="CL1100" s="13"/>
      <c r="CM1100" s="13"/>
      <c r="CN1100" s="13"/>
      <c r="CO1100" s="13"/>
      <c r="CP1100" s="13"/>
      <c r="CQ1100" s="13"/>
      <c r="CR1100" s="13"/>
      <c r="CS1100" s="13"/>
      <c r="CT1100" s="13"/>
      <c r="CU1100" s="13"/>
      <c r="CV1100" s="13"/>
      <c r="CW1100" s="13"/>
      <c r="CX1100" s="13"/>
      <c r="CY1100" s="13"/>
      <c r="CZ1100" s="13"/>
      <c r="DA1100" s="13"/>
      <c r="DB1100" s="13"/>
      <c r="DC1100" s="13"/>
      <c r="DD1100" s="13"/>
      <c r="DE1100" s="13"/>
      <c r="DF1100" s="13"/>
      <c r="DG1100" s="13"/>
      <c r="DH1100" s="13"/>
      <c r="DI1100" s="13"/>
      <c r="DJ1100" s="13"/>
      <c r="DK1100" s="13"/>
      <c r="DL1100" s="13"/>
      <c r="DM1100" s="13"/>
      <c r="DN1100" s="13"/>
      <c r="DO1100" s="13"/>
      <c r="DP1100" s="13"/>
      <c r="DQ1100" s="13"/>
      <c r="DR1100" s="13"/>
      <c r="DS1100" s="13"/>
      <c r="DT1100" s="13"/>
      <c r="DU1100" s="13"/>
      <c r="DV1100" s="13"/>
      <c r="DW1100" s="13"/>
      <c r="DX1100" s="13"/>
      <c r="DY1100" s="13"/>
      <c r="DZ1100" s="13"/>
      <c r="EA1100" s="13"/>
      <c r="EB1100" s="13"/>
      <c r="EC1100" s="13"/>
      <c r="ED1100" s="13"/>
      <c r="EE1100" s="13"/>
    </row>
    <row r="1101" spans="1:135" ht="18.75" x14ac:dyDescent="0.25">
      <c r="A1101" s="578" t="s">
        <v>3575</v>
      </c>
      <c r="B1101" s="51">
        <v>4440</v>
      </c>
      <c r="C1101" s="72" t="s">
        <v>3570</v>
      </c>
      <c r="D1101" s="10" t="s">
        <v>3571</v>
      </c>
      <c r="E1101" s="11" t="s">
        <v>25</v>
      </c>
      <c r="F1101" s="12" t="s">
        <v>3572</v>
      </c>
      <c r="G1101" s="15" t="s">
        <v>443</v>
      </c>
      <c r="H1101" s="104" t="s">
        <v>3573</v>
      </c>
      <c r="I1101" s="24" t="s">
        <v>3574</v>
      </c>
      <c r="J1101" s="24" t="s">
        <v>330</v>
      </c>
      <c r="K1101" s="33" t="s">
        <v>3576</v>
      </c>
      <c r="L1101" s="25" t="str">
        <f>"RUTL-"&amp;RIGHT(K1101,8)</f>
        <v>RUTL-S4FM3436</v>
      </c>
      <c r="M1101" s="34" t="s">
        <v>40</v>
      </c>
      <c r="N1101" s="23" t="s">
        <v>54</v>
      </c>
      <c r="O1101" s="23"/>
      <c r="P1101" s="39" t="s">
        <v>90</v>
      </c>
      <c r="Q1101" s="113"/>
      <c r="R1101" s="15" t="s">
        <v>56</v>
      </c>
      <c r="S1101" s="40" t="s">
        <v>57</v>
      </c>
      <c r="T1101" s="107" t="s">
        <v>453</v>
      </c>
      <c r="U1101" s="39" t="s">
        <v>2463</v>
      </c>
      <c r="V1101" s="23"/>
      <c r="W1101" s="2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3"/>
      <c r="AX1101" s="13"/>
      <c r="AY1101" s="13"/>
      <c r="AZ1101" s="13"/>
      <c r="BA1101" s="13"/>
      <c r="BB1101" s="13"/>
      <c r="BC1101" s="13"/>
      <c r="BD1101" s="13"/>
      <c r="BE1101" s="13"/>
      <c r="BF1101" s="13"/>
      <c r="BG1101" s="13"/>
      <c r="BH1101" s="13"/>
      <c r="BI1101" s="13"/>
      <c r="BJ1101" s="13"/>
      <c r="BK1101" s="13"/>
      <c r="BL1101" s="13"/>
      <c r="BM1101" s="13"/>
      <c r="BN1101" s="13"/>
      <c r="BO1101" s="13"/>
      <c r="BP1101" s="13"/>
      <c r="BQ1101" s="13"/>
      <c r="BR1101" s="13"/>
      <c r="BS1101" s="13"/>
      <c r="BT1101" s="13"/>
      <c r="BU1101" s="13"/>
      <c r="BV1101" s="13"/>
      <c r="BW1101" s="13"/>
      <c r="BX1101" s="13"/>
      <c r="BY1101" s="13"/>
      <c r="BZ1101" s="13"/>
      <c r="CA1101" s="13"/>
      <c r="CB1101" s="13"/>
      <c r="CC1101" s="13"/>
      <c r="CD1101" s="13"/>
      <c r="CE1101" s="13"/>
      <c r="CF1101" s="13"/>
      <c r="CG1101" s="13"/>
      <c r="CH1101" s="13"/>
      <c r="CI1101" s="13"/>
      <c r="CJ1101" s="13"/>
      <c r="CK1101" s="13"/>
      <c r="CL1101" s="13"/>
      <c r="CM1101" s="13"/>
      <c r="CN1101" s="13"/>
      <c r="CO1101" s="13"/>
      <c r="CP1101" s="13"/>
      <c r="CQ1101" s="13"/>
      <c r="CR1101" s="13"/>
      <c r="CS1101" s="13"/>
      <c r="CT1101" s="13"/>
      <c r="CU1101" s="13"/>
      <c r="CV1101" s="13"/>
      <c r="CW1101" s="13"/>
      <c r="CX1101" s="13"/>
      <c r="CY1101" s="13"/>
      <c r="CZ1101" s="13"/>
      <c r="DA1101" s="13"/>
      <c r="DB1101" s="13"/>
      <c r="DC1101" s="13"/>
      <c r="DD1101" s="13"/>
      <c r="DE1101" s="13"/>
      <c r="DF1101" s="13"/>
      <c r="DG1101" s="13"/>
      <c r="DH1101" s="13"/>
      <c r="DI1101" s="13"/>
      <c r="DJ1101" s="13"/>
      <c r="DK1101" s="13"/>
      <c r="DL1101" s="13"/>
      <c r="DM1101" s="13"/>
      <c r="DN1101" s="13"/>
      <c r="DO1101" s="13"/>
      <c r="DP1101" s="13"/>
      <c r="DQ1101" s="13"/>
      <c r="DR1101" s="13"/>
      <c r="DS1101" s="13"/>
      <c r="DT1101" s="13"/>
      <c r="DU1101" s="13"/>
      <c r="DV1101" s="13"/>
      <c r="DW1101" s="13"/>
      <c r="DX1101" s="13"/>
      <c r="DY1101" s="13"/>
      <c r="DZ1101" s="13"/>
      <c r="EA1101" s="13"/>
      <c r="EB1101" s="13"/>
      <c r="EC1101" s="13"/>
      <c r="ED1101" s="13"/>
      <c r="EE1101" s="13"/>
    </row>
    <row r="1102" spans="1:135" ht="31.5" x14ac:dyDescent="0.25">
      <c r="A1102" s="578" t="s">
        <v>2796</v>
      </c>
      <c r="B1102" s="8">
        <v>1724</v>
      </c>
      <c r="C1102" s="167" t="s">
        <v>2791</v>
      </c>
      <c r="D1102" s="15" t="s">
        <v>24</v>
      </c>
      <c r="E1102" s="11" t="s">
        <v>25</v>
      </c>
      <c r="F1102" s="20" t="s">
        <v>2793</v>
      </c>
      <c r="G1102" s="15" t="s">
        <v>2794</v>
      </c>
      <c r="H1102" s="313" t="s">
        <v>2182</v>
      </c>
      <c r="I1102" s="18" t="s">
        <v>48</v>
      </c>
      <c r="J1102" s="18" t="s">
        <v>330</v>
      </c>
      <c r="K1102" s="33" t="s">
        <v>2797</v>
      </c>
      <c r="L1102" s="25" t="str">
        <f>"RUTL-"&amp;RIGHT(K1102,8)</f>
        <v>RUTL-S4FM3335</v>
      </c>
      <c r="M1102" s="34" t="s">
        <v>40</v>
      </c>
      <c r="N1102" s="15" t="s">
        <v>319</v>
      </c>
      <c r="O1102" s="175"/>
      <c r="P1102" s="23"/>
      <c r="Q1102" s="63" t="s">
        <v>2799</v>
      </c>
      <c r="R1102" s="15" t="s">
        <v>235</v>
      </c>
      <c r="S1102" s="37" t="s">
        <v>57</v>
      </c>
      <c r="T1102" s="23"/>
      <c r="U1102" s="96" t="s">
        <v>2800</v>
      </c>
      <c r="V1102" s="23"/>
      <c r="W1102" s="2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3"/>
      <c r="AX1102" s="13"/>
      <c r="AY1102" s="13"/>
      <c r="AZ1102" s="13"/>
      <c r="BA1102" s="13"/>
      <c r="BB1102" s="13"/>
      <c r="BC1102" s="13"/>
      <c r="BD1102" s="13"/>
      <c r="BE1102" s="13"/>
      <c r="BF1102" s="13"/>
      <c r="BG1102" s="13"/>
      <c r="BH1102" s="13"/>
      <c r="BI1102" s="13"/>
      <c r="BJ1102" s="13"/>
      <c r="BK1102" s="13"/>
      <c r="BL1102" s="13"/>
      <c r="BM1102" s="13"/>
      <c r="BN1102" s="13"/>
      <c r="BO1102" s="13"/>
      <c r="BP1102" s="13"/>
      <c r="BQ1102" s="13"/>
      <c r="BR1102" s="13"/>
      <c r="BS1102" s="13"/>
      <c r="BT1102" s="13"/>
      <c r="BU1102" s="13"/>
      <c r="BV1102" s="13"/>
      <c r="BW1102" s="13"/>
      <c r="BX1102" s="13"/>
      <c r="BY1102" s="13"/>
      <c r="BZ1102" s="13"/>
      <c r="CA1102" s="13"/>
      <c r="CB1102" s="13"/>
      <c r="CC1102" s="13"/>
      <c r="CD1102" s="13"/>
      <c r="CE1102" s="13"/>
      <c r="CF1102" s="13"/>
      <c r="CG1102" s="13"/>
      <c r="CH1102" s="13"/>
      <c r="CI1102" s="13"/>
      <c r="CJ1102" s="13"/>
      <c r="CK1102" s="13"/>
      <c r="CL1102" s="13"/>
      <c r="CM1102" s="13"/>
      <c r="CN1102" s="13"/>
      <c r="CO1102" s="13"/>
      <c r="CP1102" s="13"/>
      <c r="CQ1102" s="13"/>
      <c r="CR1102" s="13"/>
      <c r="CS1102" s="13"/>
      <c r="CT1102" s="13"/>
      <c r="CU1102" s="13"/>
      <c r="CV1102" s="13"/>
      <c r="CW1102" s="13"/>
      <c r="CX1102" s="13"/>
      <c r="CY1102" s="13"/>
      <c r="CZ1102" s="13"/>
      <c r="DA1102" s="13"/>
      <c r="DB1102" s="13"/>
      <c r="DC1102" s="13"/>
      <c r="DD1102" s="13"/>
      <c r="DE1102" s="13"/>
      <c r="DF1102" s="13"/>
      <c r="DG1102" s="13"/>
      <c r="DH1102" s="13"/>
      <c r="DI1102" s="13"/>
      <c r="DJ1102" s="13"/>
      <c r="DK1102" s="13"/>
      <c r="DL1102" s="13"/>
      <c r="DM1102" s="13"/>
      <c r="DN1102" s="13"/>
      <c r="DO1102" s="13"/>
      <c r="DP1102" s="13"/>
      <c r="DQ1102" s="13"/>
      <c r="DR1102" s="13"/>
      <c r="DS1102" s="13"/>
      <c r="DT1102" s="13"/>
      <c r="DU1102" s="13"/>
      <c r="DV1102" s="13"/>
      <c r="DW1102" s="13"/>
      <c r="DX1102" s="13"/>
      <c r="DY1102" s="13"/>
      <c r="DZ1102" s="13"/>
      <c r="EA1102" s="13"/>
      <c r="EB1102" s="13"/>
      <c r="EC1102" s="13"/>
      <c r="ED1102" s="13"/>
      <c r="EE1102" s="13"/>
    </row>
    <row r="1103" spans="1:135" ht="31.5" x14ac:dyDescent="0.25">
      <c r="A1103" s="578" t="s">
        <v>2265</v>
      </c>
      <c r="B1103" s="120" t="s">
        <v>2257</v>
      </c>
      <c r="C1103" s="52" t="s">
        <v>2259</v>
      </c>
      <c r="D1103" s="15" t="s">
        <v>24</v>
      </c>
      <c r="E1103" s="122" t="s">
        <v>25</v>
      </c>
      <c r="F1103" s="20" t="s">
        <v>2261</v>
      </c>
      <c r="G1103" s="15" t="s">
        <v>2262</v>
      </c>
      <c r="H1103" s="17" t="s">
        <v>470</v>
      </c>
      <c r="I1103" s="18" t="s">
        <v>48</v>
      </c>
      <c r="J1103" s="18" t="s">
        <v>330</v>
      </c>
      <c r="K1103" s="124" t="s">
        <v>2266</v>
      </c>
      <c r="L1103" s="127" t="str">
        <f>"RUTL-"&amp;RIGHT(K1103,8)</f>
        <v>RUTL-S4FM3362</v>
      </c>
      <c r="M1103" s="129" t="s">
        <v>40</v>
      </c>
      <c r="N1103" s="14" t="s">
        <v>43</v>
      </c>
      <c r="O1103" s="124"/>
      <c r="P1103" s="39" t="s">
        <v>90</v>
      </c>
      <c r="Q1103" s="188" t="s">
        <v>2267</v>
      </c>
      <c r="R1103" s="121" t="s">
        <v>56</v>
      </c>
      <c r="S1103" s="283" t="s">
        <v>57</v>
      </c>
      <c r="T1103" s="137" t="s">
        <v>453</v>
      </c>
      <c r="U1103" s="47" t="s">
        <v>2268</v>
      </c>
      <c r="V1103" s="124"/>
      <c r="W1103" s="124"/>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c r="AY1103" s="13"/>
      <c r="AZ1103" s="13"/>
      <c r="BA1103" s="13"/>
      <c r="BB1103" s="13"/>
      <c r="BC1103" s="13"/>
      <c r="BD1103" s="13"/>
      <c r="BE1103" s="13"/>
      <c r="BF1103" s="13"/>
      <c r="BG1103" s="13"/>
      <c r="BH1103" s="13"/>
      <c r="BI1103" s="13"/>
      <c r="BJ1103" s="13"/>
      <c r="BK1103" s="13"/>
      <c r="BL1103" s="13"/>
      <c r="BM1103" s="13"/>
      <c r="BN1103" s="13"/>
      <c r="BO1103" s="13"/>
      <c r="BP1103" s="13"/>
      <c r="BQ1103" s="13"/>
      <c r="BR1103" s="13"/>
      <c r="BS1103" s="13"/>
      <c r="BT1103" s="13"/>
      <c r="BU1103" s="13"/>
      <c r="BV1103" s="13"/>
      <c r="BW1103" s="13"/>
      <c r="BX1103" s="13"/>
      <c r="BY1103" s="13"/>
      <c r="BZ1103" s="13"/>
      <c r="CA1103" s="13"/>
      <c r="CB1103" s="13"/>
      <c r="CC1103" s="13"/>
      <c r="CD1103" s="13"/>
      <c r="CE1103" s="13"/>
      <c r="CF1103" s="13"/>
      <c r="CG1103" s="13"/>
      <c r="CH1103" s="13"/>
      <c r="CI1103" s="13"/>
      <c r="CJ1103" s="13"/>
      <c r="CK1103" s="13"/>
      <c r="CL1103" s="13"/>
      <c r="CM1103" s="13"/>
      <c r="CN1103" s="13"/>
      <c r="CO1103" s="13"/>
      <c r="CP1103" s="13"/>
      <c r="CQ1103" s="13"/>
      <c r="CR1103" s="13"/>
      <c r="CS1103" s="13"/>
      <c r="CT1103" s="13"/>
      <c r="CU1103" s="13"/>
      <c r="CV1103" s="13"/>
      <c r="CW1103" s="13"/>
      <c r="CX1103" s="13"/>
      <c r="CY1103" s="13"/>
      <c r="CZ1103" s="13"/>
      <c r="DA1103" s="13"/>
      <c r="DB1103" s="13"/>
      <c r="DC1103" s="13"/>
      <c r="DD1103" s="13"/>
      <c r="DE1103" s="13"/>
      <c r="DF1103" s="13"/>
      <c r="DG1103" s="13"/>
      <c r="DH1103" s="13"/>
      <c r="DI1103" s="13"/>
      <c r="DJ1103" s="13"/>
      <c r="DK1103" s="13"/>
      <c r="DL1103" s="13"/>
      <c r="DM1103" s="13"/>
      <c r="DN1103" s="13"/>
      <c r="DO1103" s="13"/>
      <c r="DP1103" s="13"/>
      <c r="DQ1103" s="13"/>
      <c r="DR1103" s="13"/>
      <c r="DS1103" s="13"/>
      <c r="DT1103" s="13"/>
      <c r="DU1103" s="13"/>
      <c r="DV1103" s="13"/>
      <c r="DW1103" s="13"/>
      <c r="DX1103" s="13"/>
      <c r="DY1103" s="13"/>
      <c r="DZ1103" s="13"/>
      <c r="EA1103" s="13"/>
      <c r="EB1103" s="13"/>
      <c r="EC1103" s="13"/>
      <c r="ED1103" s="13"/>
      <c r="EE1103" s="13"/>
    </row>
    <row r="1104" spans="1:135" ht="18.75" x14ac:dyDescent="0.25">
      <c r="A1104" s="578" t="s">
        <v>3522</v>
      </c>
      <c r="B1104" s="8">
        <v>4220</v>
      </c>
      <c r="C1104" s="167" t="s">
        <v>3520</v>
      </c>
      <c r="D1104" s="15" t="s">
        <v>24</v>
      </c>
      <c r="E1104" s="11" t="s">
        <v>25</v>
      </c>
      <c r="F1104" s="20" t="s">
        <v>3521</v>
      </c>
      <c r="G1104" s="15" t="s">
        <v>1486</v>
      </c>
      <c r="H1104" s="18" t="s">
        <v>2210</v>
      </c>
      <c r="I1104" s="18" t="s">
        <v>48</v>
      </c>
      <c r="J1104" s="18" t="s">
        <v>330</v>
      </c>
      <c r="K1104" s="33" t="s">
        <v>3523</v>
      </c>
      <c r="L1104" s="25" t="str">
        <f>"RUTL-"&amp;RIGHT(K1104,8)</f>
        <v>RUTL-S4FM3337</v>
      </c>
      <c r="M1104" s="34" t="s">
        <v>40</v>
      </c>
      <c r="N1104" s="23"/>
      <c r="O1104" s="23"/>
      <c r="P1104" s="23"/>
      <c r="Q1104" s="63" t="s">
        <v>3524</v>
      </c>
      <c r="R1104" s="15" t="s">
        <v>235</v>
      </c>
      <c r="S1104" s="23"/>
      <c r="T1104" s="23"/>
      <c r="U1104" s="23" t="s">
        <v>3525</v>
      </c>
      <c r="V1104" s="23"/>
      <c r="W1104" s="2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c r="AY1104" s="13"/>
      <c r="AZ1104" s="13"/>
      <c r="BA1104" s="13"/>
      <c r="BB1104" s="13"/>
      <c r="BC1104" s="13"/>
      <c r="BD1104" s="13"/>
      <c r="BE1104" s="13"/>
      <c r="BF1104" s="13"/>
      <c r="BG1104" s="13"/>
      <c r="BH1104" s="13"/>
      <c r="BI1104" s="13"/>
      <c r="BJ1104" s="13"/>
      <c r="BK1104" s="13"/>
      <c r="BL1104" s="13"/>
      <c r="BM1104" s="13"/>
      <c r="BN1104" s="13"/>
      <c r="BO1104" s="13"/>
      <c r="BP1104" s="13"/>
      <c r="BQ1104" s="13"/>
      <c r="BR1104" s="13"/>
      <c r="BS1104" s="13"/>
      <c r="BT1104" s="13"/>
      <c r="BU1104" s="13"/>
      <c r="BV1104" s="13"/>
      <c r="BW1104" s="13"/>
      <c r="BX1104" s="13"/>
      <c r="BY1104" s="13"/>
      <c r="BZ1104" s="13"/>
      <c r="CA1104" s="13"/>
      <c r="CB1104" s="13"/>
      <c r="CC1104" s="13"/>
      <c r="CD1104" s="13"/>
      <c r="CE1104" s="13"/>
      <c r="CF1104" s="13"/>
      <c r="CG1104" s="13"/>
      <c r="CH1104" s="13"/>
      <c r="CI1104" s="13"/>
      <c r="CJ1104" s="13"/>
      <c r="CK1104" s="13"/>
      <c r="CL1104" s="13"/>
      <c r="CM1104" s="13"/>
      <c r="CN1104" s="13"/>
      <c r="CO1104" s="13"/>
      <c r="CP1104" s="13"/>
      <c r="CQ1104" s="13"/>
      <c r="CR1104" s="13"/>
      <c r="CS1104" s="13"/>
      <c r="CT1104" s="13"/>
      <c r="CU1104" s="13"/>
      <c r="CV1104" s="13"/>
      <c r="CW1104" s="13"/>
      <c r="CX1104" s="13"/>
      <c r="CY1104" s="13"/>
      <c r="CZ1104" s="13"/>
      <c r="DA1104" s="13"/>
      <c r="DB1104" s="13"/>
      <c r="DC1104" s="13"/>
      <c r="DD1104" s="13"/>
      <c r="DE1104" s="13"/>
      <c r="DF1104" s="13"/>
      <c r="DG1104" s="13"/>
      <c r="DH1104" s="13"/>
      <c r="DI1104" s="13"/>
      <c r="DJ1104" s="13"/>
      <c r="DK1104" s="13"/>
      <c r="DL1104" s="13"/>
      <c r="DM1104" s="13"/>
      <c r="DN1104" s="13"/>
      <c r="DO1104" s="13"/>
      <c r="DP1104" s="13"/>
      <c r="DQ1104" s="13"/>
      <c r="DR1104" s="13"/>
      <c r="DS1104" s="13"/>
      <c r="DT1104" s="13"/>
      <c r="DU1104" s="13"/>
      <c r="DV1104" s="13"/>
      <c r="DW1104" s="13"/>
      <c r="DX1104" s="13"/>
      <c r="DY1104" s="13"/>
      <c r="DZ1104" s="13"/>
      <c r="EA1104" s="13"/>
      <c r="EB1104" s="13"/>
      <c r="EC1104" s="13"/>
      <c r="ED1104" s="13"/>
      <c r="EE1104" s="13"/>
    </row>
    <row r="1105" spans="1:135" ht="94.5" x14ac:dyDescent="0.25">
      <c r="A1105" s="578" t="s">
        <v>7611</v>
      </c>
      <c r="B1105" s="428" t="s">
        <v>7609</v>
      </c>
      <c r="C1105" s="99" t="s">
        <v>7610</v>
      </c>
      <c r="D1105" s="10" t="s">
        <v>24</v>
      </c>
      <c r="E1105" s="28" t="s">
        <v>25</v>
      </c>
      <c r="F1105" s="20"/>
      <c r="G1105" s="12" t="s">
        <v>1270</v>
      </c>
      <c r="H1105" s="53" t="s">
        <v>1273</v>
      </c>
      <c r="I1105" s="18" t="s">
        <v>48</v>
      </c>
      <c r="J1105" s="18" t="s">
        <v>330</v>
      </c>
      <c r="K1105" s="23" t="s">
        <v>7612</v>
      </c>
      <c r="L1105" s="21" t="str">
        <f>"RUTL-"&amp;RIGHT(K1105,8)</f>
        <v>RUTL-S4FM3305</v>
      </c>
      <c r="M1105" s="144" t="s">
        <v>40</v>
      </c>
      <c r="N1105" s="23"/>
      <c r="O1105" s="23"/>
      <c r="P1105" s="23"/>
      <c r="Q1105" s="23" t="s">
        <v>7613</v>
      </c>
      <c r="R1105" s="15" t="s">
        <v>235</v>
      </c>
      <c r="S1105" s="23"/>
      <c r="T1105" s="107" t="s">
        <v>1753</v>
      </c>
      <c r="U1105" s="23" t="s">
        <v>7614</v>
      </c>
      <c r="V1105" s="23"/>
      <c r="W1105" s="2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3"/>
      <c r="AX1105" s="13"/>
      <c r="AY1105" s="13"/>
      <c r="AZ1105" s="13"/>
      <c r="BA1105" s="13"/>
      <c r="BB1105" s="13"/>
      <c r="BC1105" s="13"/>
      <c r="BD1105" s="13"/>
      <c r="BE1105" s="13"/>
      <c r="BF1105" s="13"/>
      <c r="BG1105" s="13"/>
      <c r="BH1105" s="13"/>
      <c r="BI1105" s="13"/>
      <c r="BJ1105" s="13"/>
      <c r="BK1105" s="13"/>
      <c r="BL1105" s="13"/>
      <c r="BM1105" s="13"/>
      <c r="BN1105" s="13"/>
      <c r="BO1105" s="13"/>
      <c r="BP1105" s="13"/>
      <c r="BQ1105" s="13"/>
      <c r="BR1105" s="13"/>
      <c r="BS1105" s="13"/>
      <c r="BT1105" s="13"/>
      <c r="BU1105" s="13"/>
      <c r="BV1105" s="13"/>
      <c r="BW1105" s="13"/>
      <c r="BX1105" s="13"/>
      <c r="BY1105" s="13"/>
      <c r="BZ1105" s="13"/>
      <c r="CA1105" s="13"/>
      <c r="CB1105" s="13"/>
      <c r="CC1105" s="13"/>
      <c r="CD1105" s="13"/>
      <c r="CE1105" s="13"/>
      <c r="CF1105" s="13"/>
      <c r="CG1105" s="13"/>
      <c r="CH1105" s="13"/>
      <c r="CI1105" s="13"/>
      <c r="CJ1105" s="13"/>
      <c r="CK1105" s="13"/>
      <c r="CL1105" s="13"/>
      <c r="CM1105" s="13"/>
      <c r="CN1105" s="13"/>
      <c r="CO1105" s="13"/>
      <c r="CP1105" s="13"/>
      <c r="CQ1105" s="13"/>
      <c r="CR1105" s="13"/>
      <c r="CS1105" s="13"/>
      <c r="CT1105" s="13"/>
      <c r="CU1105" s="13"/>
      <c r="CV1105" s="13"/>
      <c r="CW1105" s="13"/>
      <c r="CX1105" s="13"/>
      <c r="CY1105" s="13"/>
      <c r="CZ1105" s="13"/>
      <c r="DA1105" s="13"/>
      <c r="DB1105" s="13"/>
      <c r="DC1105" s="13"/>
      <c r="DD1105" s="13"/>
      <c r="DE1105" s="13"/>
      <c r="DF1105" s="13"/>
      <c r="DG1105" s="13"/>
      <c r="DH1105" s="13"/>
      <c r="DI1105" s="13"/>
      <c r="DJ1105" s="13"/>
      <c r="DK1105" s="13"/>
      <c r="DL1105" s="13"/>
      <c r="DM1105" s="13"/>
      <c r="DN1105" s="13"/>
      <c r="DO1105" s="13"/>
      <c r="DP1105" s="13"/>
      <c r="DQ1105" s="13"/>
      <c r="DR1105" s="13"/>
      <c r="DS1105" s="13"/>
      <c r="DT1105" s="13"/>
      <c r="DU1105" s="13"/>
      <c r="DV1105" s="13"/>
      <c r="DW1105" s="13"/>
      <c r="DX1105" s="13"/>
      <c r="DY1105" s="13"/>
      <c r="DZ1105" s="13"/>
      <c r="EA1105" s="13"/>
      <c r="EB1105" s="13"/>
      <c r="EC1105" s="13"/>
      <c r="ED1105" s="13"/>
      <c r="EE1105" s="13"/>
    </row>
    <row r="1106" spans="1:135" ht="31.5" x14ac:dyDescent="0.25">
      <c r="A1106" s="578" t="s">
        <v>1735</v>
      </c>
      <c r="B1106" s="120" t="s">
        <v>1727</v>
      </c>
      <c r="C1106" s="72" t="s">
        <v>1729</v>
      </c>
      <c r="D1106" s="15" t="s">
        <v>24</v>
      </c>
      <c r="E1106" s="11" t="s">
        <v>25</v>
      </c>
      <c r="F1106" s="20"/>
      <c r="G1106" s="15" t="s">
        <v>1733</v>
      </c>
      <c r="H1106" s="17" t="s">
        <v>682</v>
      </c>
      <c r="I1106" s="18" t="s">
        <v>48</v>
      </c>
      <c r="J1106" s="18" t="s">
        <v>330</v>
      </c>
      <c r="K1106" s="124" t="s">
        <v>1741</v>
      </c>
      <c r="L1106" s="127" t="str">
        <f>"RUTL-"&amp;RIGHT(K1106,8)</f>
        <v>RUTL-S4FM3303</v>
      </c>
      <c r="M1106" s="150" t="s">
        <v>40</v>
      </c>
      <c r="N1106" s="14" t="s">
        <v>43</v>
      </c>
      <c r="O1106" s="14"/>
      <c r="P1106" s="39" t="s">
        <v>90</v>
      </c>
      <c r="Q1106" s="14"/>
      <c r="R1106" s="121" t="s">
        <v>56</v>
      </c>
      <c r="S1106" s="151" t="s">
        <v>57</v>
      </c>
      <c r="T1106" s="153" t="s">
        <v>148</v>
      </c>
      <c r="U1106" s="14" t="s">
        <v>1742</v>
      </c>
      <c r="V1106" s="14"/>
      <c r="W1106" s="14"/>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3"/>
      <c r="AX1106" s="13"/>
      <c r="AY1106" s="13"/>
      <c r="AZ1106" s="13"/>
      <c r="BA1106" s="13"/>
      <c r="BB1106" s="13"/>
      <c r="BC1106" s="13"/>
      <c r="BD1106" s="13"/>
      <c r="BE1106" s="13"/>
      <c r="BF1106" s="13"/>
      <c r="BG1106" s="13"/>
      <c r="BH1106" s="13"/>
      <c r="BI1106" s="13"/>
      <c r="BJ1106" s="13"/>
      <c r="BK1106" s="13"/>
      <c r="BL1106" s="13"/>
      <c r="BM1106" s="13"/>
      <c r="BN1106" s="13"/>
      <c r="BO1106" s="13"/>
      <c r="BP1106" s="13"/>
      <c r="BQ1106" s="13"/>
      <c r="BR1106" s="13"/>
      <c r="BS1106" s="13"/>
      <c r="BT1106" s="13"/>
      <c r="BU1106" s="13"/>
      <c r="BV1106" s="13"/>
      <c r="BW1106" s="13"/>
      <c r="BX1106" s="13"/>
      <c r="BY1106" s="13"/>
      <c r="BZ1106" s="13"/>
      <c r="CA1106" s="13"/>
      <c r="CB1106" s="13"/>
      <c r="CC1106" s="13"/>
      <c r="CD1106" s="13"/>
      <c r="CE1106" s="13"/>
      <c r="CF1106" s="13"/>
      <c r="CG1106" s="13"/>
      <c r="CH1106" s="13"/>
      <c r="CI1106" s="13"/>
      <c r="CJ1106" s="13"/>
      <c r="CK1106" s="13"/>
      <c r="CL1106" s="13"/>
      <c r="CM1106" s="13"/>
      <c r="CN1106" s="13"/>
      <c r="CO1106" s="13"/>
      <c r="CP1106" s="13"/>
      <c r="CQ1106" s="13"/>
      <c r="CR1106" s="13"/>
      <c r="CS1106" s="13"/>
      <c r="CT1106" s="13"/>
      <c r="CU1106" s="13"/>
      <c r="CV1106" s="13"/>
      <c r="CW1106" s="13"/>
      <c r="CX1106" s="13"/>
      <c r="CY1106" s="13"/>
      <c r="CZ1106" s="13"/>
      <c r="DA1106" s="13"/>
      <c r="DB1106" s="13"/>
      <c r="DC1106" s="13"/>
      <c r="DD1106" s="13"/>
      <c r="DE1106" s="13"/>
      <c r="DF1106" s="13"/>
      <c r="DG1106" s="13"/>
      <c r="DH1106" s="13"/>
      <c r="DI1106" s="13"/>
      <c r="DJ1106" s="13"/>
      <c r="DK1106" s="13"/>
      <c r="DL1106" s="13"/>
      <c r="DM1106" s="13"/>
      <c r="DN1106" s="13"/>
      <c r="DO1106" s="13"/>
      <c r="DP1106" s="13"/>
      <c r="DQ1106" s="13"/>
      <c r="DR1106" s="13"/>
      <c r="DS1106" s="13"/>
      <c r="DT1106" s="13"/>
      <c r="DU1106" s="13"/>
      <c r="DV1106" s="13"/>
      <c r="DW1106" s="13"/>
      <c r="DX1106" s="13"/>
      <c r="DY1106" s="13"/>
      <c r="DZ1106" s="13"/>
      <c r="EA1106" s="13"/>
      <c r="EB1106" s="13"/>
      <c r="EC1106" s="13"/>
      <c r="ED1106" s="13"/>
      <c r="EE1106" s="13"/>
    </row>
    <row r="1107" spans="1:135" ht="31.5" x14ac:dyDescent="0.25">
      <c r="A1107" s="578" t="s">
        <v>1085</v>
      </c>
      <c r="B1107" s="23"/>
      <c r="C1107" s="99" t="s">
        <v>1082</v>
      </c>
      <c r="D1107" s="15" t="s">
        <v>1065</v>
      </c>
      <c r="E1107" s="69"/>
      <c r="F1107" s="12" t="s">
        <v>1082</v>
      </c>
      <c r="G1107" s="23"/>
      <c r="H1107" s="17" t="s">
        <v>1084</v>
      </c>
      <c r="I1107" s="18" t="s">
        <v>48</v>
      </c>
      <c r="J1107" s="18" t="s">
        <v>330</v>
      </c>
      <c r="K1107" s="23" t="s">
        <v>1088</v>
      </c>
      <c r="L1107" s="21" t="str">
        <f>"RUTL-"&amp;RIGHT(K1107,8)</f>
        <v>RUTL-S4FM3379</v>
      </c>
      <c r="M1107" s="23"/>
      <c r="N1107" s="23"/>
      <c r="O1107" s="23"/>
      <c r="P1107" s="23"/>
      <c r="Q1107" s="23"/>
      <c r="R1107" s="23"/>
      <c r="S1107" s="23"/>
      <c r="T1107" s="23"/>
      <c r="U1107" s="23"/>
      <c r="V1107" s="23"/>
      <c r="W1107" s="2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3"/>
      <c r="AY1107" s="13"/>
      <c r="AZ1107" s="13"/>
      <c r="BA1107" s="13"/>
      <c r="BB1107" s="13"/>
      <c r="BC1107" s="13"/>
      <c r="BD1107" s="13"/>
      <c r="BE1107" s="13"/>
      <c r="BF1107" s="13"/>
      <c r="BG1107" s="13"/>
      <c r="BH1107" s="13"/>
      <c r="BI1107" s="13"/>
      <c r="BJ1107" s="13"/>
      <c r="BK1107" s="13"/>
      <c r="BL1107" s="13"/>
      <c r="BM1107" s="13"/>
      <c r="BN1107" s="13"/>
      <c r="BO1107" s="13"/>
      <c r="BP1107" s="13"/>
      <c r="BQ1107" s="13"/>
      <c r="BR1107" s="13"/>
      <c r="BS1107" s="13"/>
      <c r="BT1107" s="13"/>
      <c r="BU1107" s="13"/>
      <c r="BV1107" s="13"/>
      <c r="BW1107" s="13"/>
      <c r="BX1107" s="13"/>
      <c r="BY1107" s="13"/>
      <c r="BZ1107" s="13"/>
      <c r="CA1107" s="13"/>
      <c r="CB1107" s="13"/>
      <c r="CC1107" s="13"/>
      <c r="CD1107" s="13"/>
      <c r="CE1107" s="13"/>
      <c r="CF1107" s="13"/>
      <c r="CG1107" s="13"/>
      <c r="CH1107" s="13"/>
      <c r="CI1107" s="13"/>
      <c r="CJ1107" s="13"/>
      <c r="CK1107" s="13"/>
      <c r="CL1107" s="13"/>
      <c r="CM1107" s="13"/>
      <c r="CN1107" s="13"/>
      <c r="CO1107" s="13"/>
      <c r="CP1107" s="13"/>
      <c r="CQ1107" s="13"/>
      <c r="CR1107" s="13"/>
      <c r="CS1107" s="13"/>
      <c r="CT1107" s="13"/>
      <c r="CU1107" s="13"/>
      <c r="CV1107" s="13"/>
      <c r="CW1107" s="13"/>
      <c r="CX1107" s="13"/>
      <c r="CY1107" s="13"/>
      <c r="CZ1107" s="13"/>
      <c r="DA1107" s="13"/>
      <c r="DB1107" s="13"/>
      <c r="DC1107" s="13"/>
      <c r="DD1107" s="13"/>
      <c r="DE1107" s="13"/>
      <c r="DF1107" s="13"/>
      <c r="DG1107" s="13"/>
      <c r="DH1107" s="13"/>
      <c r="DI1107" s="13"/>
      <c r="DJ1107" s="13"/>
      <c r="DK1107" s="13"/>
      <c r="DL1107" s="13"/>
      <c r="DM1107" s="13"/>
      <c r="DN1107" s="13"/>
      <c r="DO1107" s="13"/>
      <c r="DP1107" s="13"/>
      <c r="DQ1107" s="13"/>
      <c r="DR1107" s="13"/>
      <c r="DS1107" s="13"/>
      <c r="DT1107" s="13"/>
      <c r="DU1107" s="13"/>
      <c r="DV1107" s="13"/>
      <c r="DW1107" s="13"/>
      <c r="DX1107" s="13"/>
      <c r="DY1107" s="13"/>
      <c r="DZ1107" s="13"/>
      <c r="EA1107" s="13"/>
      <c r="EB1107" s="13"/>
      <c r="EC1107" s="13"/>
      <c r="ED1107" s="13"/>
      <c r="EE1107" s="13"/>
    </row>
    <row r="1108" spans="1:135" ht="47.25" x14ac:dyDescent="0.25">
      <c r="A1108" s="578" t="s">
        <v>1054</v>
      </c>
      <c r="B1108" s="23"/>
      <c r="C1108" s="99" t="s">
        <v>1053</v>
      </c>
      <c r="D1108" s="15" t="s">
        <v>24</v>
      </c>
      <c r="E1108" s="23"/>
      <c r="F1108" s="23"/>
      <c r="G1108" s="23"/>
      <c r="H1108" s="17" t="s">
        <v>682</v>
      </c>
      <c r="I1108" s="18" t="s">
        <v>48</v>
      </c>
      <c r="J1108" s="18" t="s">
        <v>330</v>
      </c>
      <c r="K1108" s="23" t="s">
        <v>1055</v>
      </c>
      <c r="L1108" s="21" t="str">
        <f>"RUTL-"&amp;RIGHT(K1108,8)</f>
        <v>RUTL-S4FM3319</v>
      </c>
      <c r="M1108" s="23"/>
      <c r="N1108" s="23"/>
      <c r="O1108" s="23"/>
      <c r="P1108" s="23"/>
      <c r="Q1108" s="23"/>
      <c r="R1108" s="23"/>
      <c r="S1108" s="23"/>
      <c r="T1108" s="108" t="s">
        <v>273</v>
      </c>
      <c r="U1108" s="23" t="s">
        <v>1056</v>
      </c>
      <c r="V1108" s="23"/>
      <c r="W1108" s="2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3"/>
      <c r="AY1108" s="13"/>
      <c r="AZ1108" s="13"/>
      <c r="BA1108" s="13"/>
      <c r="BB1108" s="13"/>
      <c r="BC1108" s="13"/>
      <c r="BD1108" s="13"/>
      <c r="BE1108" s="13"/>
      <c r="BF1108" s="13"/>
      <c r="BG1108" s="13"/>
      <c r="BH1108" s="13"/>
      <c r="BI1108" s="13"/>
      <c r="BJ1108" s="13"/>
      <c r="BK1108" s="13"/>
      <c r="BL1108" s="13"/>
      <c r="BM1108" s="13"/>
      <c r="BN1108" s="13"/>
      <c r="BO1108" s="13"/>
      <c r="BP1108" s="13"/>
      <c r="BQ1108" s="13"/>
      <c r="BR1108" s="13"/>
      <c r="BS1108" s="13"/>
      <c r="BT1108" s="13"/>
      <c r="BU1108" s="13"/>
      <c r="BV1108" s="13"/>
      <c r="BW1108" s="13"/>
      <c r="BX1108" s="13"/>
      <c r="BY1108" s="13"/>
      <c r="BZ1108" s="13"/>
      <c r="CA1108" s="13"/>
      <c r="CB1108" s="13"/>
      <c r="CC1108" s="13"/>
      <c r="CD1108" s="13"/>
      <c r="CE1108" s="13"/>
      <c r="CF1108" s="13"/>
      <c r="CG1108" s="13"/>
      <c r="CH1108" s="13"/>
      <c r="CI1108" s="13"/>
      <c r="CJ1108" s="13"/>
      <c r="CK1108" s="13"/>
      <c r="CL1108" s="13"/>
      <c r="CM1108" s="13"/>
      <c r="CN1108" s="13"/>
      <c r="CO1108" s="13"/>
      <c r="CP1108" s="13"/>
      <c r="CQ1108" s="13"/>
      <c r="CR1108" s="13"/>
      <c r="CS1108" s="13"/>
      <c r="CT1108" s="13"/>
      <c r="CU1108" s="13"/>
      <c r="CV1108" s="13"/>
      <c r="CW1108" s="13"/>
      <c r="CX1108" s="13"/>
      <c r="CY1108" s="13"/>
      <c r="CZ1108" s="13"/>
      <c r="DA1108" s="13"/>
      <c r="DB1108" s="13"/>
      <c r="DC1108" s="13"/>
      <c r="DD1108" s="13"/>
      <c r="DE1108" s="13"/>
      <c r="DF1108" s="13"/>
      <c r="DG1108" s="13"/>
      <c r="DH1108" s="13"/>
      <c r="DI1108" s="13"/>
      <c r="DJ1108" s="13"/>
      <c r="DK1108" s="13"/>
      <c r="DL1108" s="13"/>
      <c r="DM1108" s="13"/>
      <c r="DN1108" s="13"/>
      <c r="DO1108" s="13"/>
      <c r="DP1108" s="13"/>
      <c r="DQ1108" s="13"/>
      <c r="DR1108" s="13"/>
      <c r="DS1108" s="13"/>
      <c r="DT1108" s="13"/>
      <c r="DU1108" s="13"/>
      <c r="DV1108" s="13"/>
      <c r="DW1108" s="13"/>
      <c r="DX1108" s="13"/>
      <c r="DY1108" s="13"/>
      <c r="DZ1108" s="13"/>
      <c r="EA1108" s="13"/>
      <c r="EB1108" s="13"/>
      <c r="EC1108" s="13"/>
      <c r="ED1108" s="13"/>
      <c r="EE1108" s="13"/>
    </row>
    <row r="1109" spans="1:135" ht="15.75" customHeight="1" x14ac:dyDescent="0.25">
      <c r="A1109" s="578" t="s">
        <v>2402</v>
      </c>
      <c r="B1109" s="51">
        <v>1103</v>
      </c>
      <c r="C1109" s="268" t="s">
        <v>2397</v>
      </c>
      <c r="D1109" s="10" t="s">
        <v>2398</v>
      </c>
      <c r="E1109" s="28" t="s">
        <v>25</v>
      </c>
      <c r="F1109" s="20" t="s">
        <v>2399</v>
      </c>
      <c r="G1109" s="15" t="s">
        <v>2400</v>
      </c>
      <c r="H1109" s="55" t="s">
        <v>81</v>
      </c>
      <c r="I1109" s="18" t="s">
        <v>48</v>
      </c>
      <c r="J1109" s="18" t="s">
        <v>330</v>
      </c>
      <c r="K1109" s="33" t="s">
        <v>2403</v>
      </c>
      <c r="L1109" s="25" t="str">
        <f>"RUTL-"&amp;RIGHT(K1109,8)</f>
        <v>RUTL-S4FM3328</v>
      </c>
      <c r="M1109" s="34" t="s">
        <v>40</v>
      </c>
      <c r="N1109" s="32"/>
      <c r="O1109" s="32"/>
      <c r="P1109" s="90" t="s">
        <v>90</v>
      </c>
      <c r="Q1109" s="100"/>
      <c r="R1109" s="15" t="s">
        <v>235</v>
      </c>
      <c r="S1109" s="32"/>
      <c r="T1109" s="32"/>
      <c r="U1109" s="39" t="s">
        <v>2404</v>
      </c>
      <c r="V1109" s="32"/>
      <c r="W1109" s="32"/>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3"/>
      <c r="AY1109" s="13"/>
      <c r="AZ1109" s="13"/>
      <c r="BA1109" s="13"/>
      <c r="BB1109" s="13"/>
      <c r="BC1109" s="13"/>
      <c r="BD1109" s="13"/>
      <c r="BE1109" s="13"/>
      <c r="BF1109" s="13"/>
      <c r="BG1109" s="13"/>
      <c r="BH1109" s="13"/>
      <c r="BI1109" s="13"/>
      <c r="BJ1109" s="13"/>
      <c r="BK1109" s="13"/>
      <c r="BL1109" s="13"/>
      <c r="BM1109" s="13"/>
      <c r="BN1109" s="13"/>
      <c r="BO1109" s="13"/>
      <c r="BP1109" s="13"/>
      <c r="BQ1109" s="13"/>
      <c r="BR1109" s="13"/>
      <c r="BS1109" s="13"/>
      <c r="BT1109" s="13"/>
      <c r="BU1109" s="13"/>
      <c r="BV1109" s="13"/>
      <c r="BW1109" s="13"/>
      <c r="BX1109" s="13"/>
      <c r="BY1109" s="13"/>
      <c r="BZ1109" s="13"/>
      <c r="CA1109" s="13"/>
      <c r="CB1109" s="13"/>
      <c r="CC1109" s="13"/>
      <c r="CD1109" s="13"/>
      <c r="CE1109" s="13"/>
      <c r="CF1109" s="13"/>
      <c r="CG1109" s="13"/>
      <c r="CH1109" s="13"/>
      <c r="CI1109" s="13"/>
      <c r="CJ1109" s="13"/>
      <c r="CK1109" s="13"/>
      <c r="CL1109" s="13"/>
      <c r="CM1109" s="13"/>
      <c r="CN1109" s="13"/>
      <c r="CO1109" s="13"/>
      <c r="CP1109" s="13"/>
      <c r="CQ1109" s="13"/>
      <c r="CR1109" s="13"/>
      <c r="CS1109" s="13"/>
      <c r="CT1109" s="13"/>
      <c r="CU1109" s="13"/>
      <c r="CV1109" s="13"/>
      <c r="CW1109" s="13"/>
      <c r="CX1109" s="13"/>
      <c r="CY1109" s="13"/>
      <c r="CZ1109" s="13"/>
      <c r="DA1109" s="13"/>
      <c r="DB1109" s="13"/>
      <c r="DC1109" s="13"/>
      <c r="DD1109" s="13"/>
      <c r="DE1109" s="13"/>
      <c r="DF1109" s="13"/>
      <c r="DG1109" s="13"/>
      <c r="DH1109" s="13"/>
      <c r="DI1109" s="13"/>
      <c r="DJ1109" s="13"/>
      <c r="DK1109" s="13"/>
      <c r="DL1109" s="13"/>
      <c r="DM1109" s="13"/>
      <c r="DN1109" s="13"/>
      <c r="DO1109" s="13"/>
      <c r="DP1109" s="13"/>
      <c r="DQ1109" s="13"/>
      <c r="DR1109" s="13"/>
      <c r="DS1109" s="13"/>
      <c r="DT1109" s="13"/>
      <c r="DU1109" s="13"/>
      <c r="DV1109" s="13"/>
      <c r="DW1109" s="13"/>
      <c r="DX1109" s="13"/>
      <c r="DY1109" s="13"/>
      <c r="DZ1109" s="13"/>
      <c r="EA1109" s="13"/>
      <c r="EB1109" s="13"/>
      <c r="EC1109" s="13"/>
      <c r="ED1109" s="13"/>
      <c r="EE1109" s="13"/>
    </row>
    <row r="1110" spans="1:135" ht="15.75" customHeight="1" x14ac:dyDescent="0.25">
      <c r="A1110" s="578" t="s">
        <v>2620</v>
      </c>
      <c r="B1110" s="8">
        <v>1532</v>
      </c>
      <c r="C1110" s="72" t="s">
        <v>2617</v>
      </c>
      <c r="D1110" s="15" t="s">
        <v>24</v>
      </c>
      <c r="E1110" s="11" t="s">
        <v>25</v>
      </c>
      <c r="F1110" s="20" t="s">
        <v>2618</v>
      </c>
      <c r="G1110" s="15" t="s">
        <v>2619</v>
      </c>
      <c r="H1110" s="17" t="s">
        <v>1846</v>
      </c>
      <c r="I1110" s="18" t="s">
        <v>48</v>
      </c>
      <c r="J1110" s="18" t="s">
        <v>330</v>
      </c>
      <c r="K1110" s="33" t="s">
        <v>2621</v>
      </c>
      <c r="L1110" s="25" t="str">
        <f>"RUTL-"&amp;RIGHT(K1110,8)</f>
        <v>RUTL-S4FM3296</v>
      </c>
      <c r="M1110" s="34" t="s">
        <v>40</v>
      </c>
      <c r="N1110" s="23" t="s">
        <v>43</v>
      </c>
      <c r="O1110" s="175"/>
      <c r="P1110" s="39" t="s">
        <v>90</v>
      </c>
      <c r="Q1110" s="63" t="s">
        <v>2622</v>
      </c>
      <c r="R1110" s="15" t="s">
        <v>56</v>
      </c>
      <c r="S1110" s="37" t="s">
        <v>57</v>
      </c>
      <c r="T1110" s="105" t="s">
        <v>148</v>
      </c>
      <c r="U1110" s="39" t="s">
        <v>2623</v>
      </c>
      <c r="V1110" s="23"/>
      <c r="W1110" s="2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3"/>
      <c r="AY1110" s="13"/>
      <c r="AZ1110" s="13"/>
      <c r="BA1110" s="13"/>
      <c r="BB1110" s="13"/>
      <c r="BC1110" s="13"/>
      <c r="BD1110" s="13"/>
      <c r="BE1110" s="13"/>
      <c r="BF1110" s="13"/>
      <c r="BG1110" s="13"/>
      <c r="BH1110" s="13"/>
      <c r="BI1110" s="13"/>
      <c r="BJ1110" s="13"/>
      <c r="BK1110" s="13"/>
      <c r="BL1110" s="13"/>
      <c r="BM1110" s="13"/>
      <c r="BN1110" s="13"/>
      <c r="BO1110" s="13"/>
      <c r="BP1110" s="13"/>
      <c r="BQ1110" s="13"/>
      <c r="BR1110" s="13"/>
      <c r="BS1110" s="13"/>
      <c r="BT1110" s="13"/>
      <c r="BU1110" s="13"/>
      <c r="BV1110" s="13"/>
      <c r="BW1110" s="13"/>
      <c r="BX1110" s="13"/>
      <c r="BY1110" s="13"/>
      <c r="BZ1110" s="13"/>
      <c r="CA1110" s="13"/>
      <c r="CB1110" s="13"/>
      <c r="CC1110" s="13"/>
      <c r="CD1110" s="13"/>
      <c r="CE1110" s="13"/>
      <c r="CF1110" s="13"/>
      <c r="CG1110" s="13"/>
      <c r="CH1110" s="13"/>
      <c r="CI1110" s="13"/>
      <c r="CJ1110" s="13"/>
      <c r="CK1110" s="13"/>
      <c r="CL1110" s="13"/>
      <c r="CM1110" s="13"/>
      <c r="CN1110" s="13"/>
      <c r="CO1110" s="13"/>
      <c r="CP1110" s="13"/>
      <c r="CQ1110" s="13"/>
      <c r="CR1110" s="13"/>
      <c r="CS1110" s="13"/>
      <c r="CT1110" s="13"/>
      <c r="CU1110" s="13"/>
      <c r="CV1110" s="13"/>
      <c r="CW1110" s="13"/>
      <c r="CX1110" s="13"/>
      <c r="CY1110" s="13"/>
      <c r="CZ1110" s="13"/>
      <c r="DA1110" s="13"/>
      <c r="DB1110" s="13"/>
      <c r="DC1110" s="13"/>
      <c r="DD1110" s="13"/>
      <c r="DE1110" s="13"/>
      <c r="DF1110" s="13"/>
      <c r="DG1110" s="13"/>
      <c r="DH1110" s="13"/>
      <c r="DI1110" s="13"/>
      <c r="DJ1110" s="13"/>
      <c r="DK1110" s="13"/>
      <c r="DL1110" s="13"/>
      <c r="DM1110" s="13"/>
      <c r="DN1110" s="13"/>
      <c r="DO1110" s="13"/>
      <c r="DP1110" s="13"/>
      <c r="DQ1110" s="13"/>
      <c r="DR1110" s="13"/>
      <c r="DS1110" s="13"/>
      <c r="DT1110" s="13"/>
      <c r="DU1110" s="13"/>
      <c r="DV1110" s="13"/>
      <c r="DW1110" s="13"/>
      <c r="DX1110" s="13"/>
      <c r="DY1110" s="13"/>
      <c r="DZ1110" s="13"/>
      <c r="EA1110" s="13"/>
      <c r="EB1110" s="13"/>
      <c r="EC1110" s="13"/>
      <c r="ED1110" s="13"/>
      <c r="EE1110" s="13"/>
    </row>
    <row r="1111" spans="1:135" ht="15.75" customHeight="1" x14ac:dyDescent="0.25">
      <c r="A1111" s="578" t="s">
        <v>1282</v>
      </c>
      <c r="B1111" s="8">
        <v>516</v>
      </c>
      <c r="C1111" s="72" t="s">
        <v>1279</v>
      </c>
      <c r="D1111" s="15" t="s">
        <v>24</v>
      </c>
      <c r="E1111" s="11" t="s">
        <v>25</v>
      </c>
      <c r="F1111" s="12" t="s">
        <v>1281</v>
      </c>
      <c r="G1111" s="15" t="s">
        <v>988</v>
      </c>
      <c r="H1111" s="119" t="s">
        <v>370</v>
      </c>
      <c r="I1111" s="18" t="s">
        <v>48</v>
      </c>
      <c r="J1111" s="18" t="s">
        <v>330</v>
      </c>
      <c r="K1111" s="23" t="s">
        <v>1283</v>
      </c>
      <c r="L1111" s="25" t="str">
        <f>"RUTL-"&amp;RIGHT(K1111,8)</f>
        <v>RUTL-S4FM3429</v>
      </c>
      <c r="M1111" s="34" t="s">
        <v>40</v>
      </c>
      <c r="N1111" s="23"/>
      <c r="O1111" s="23"/>
      <c r="P1111" s="39" t="s">
        <v>90</v>
      </c>
      <c r="Q1111" s="113"/>
      <c r="R1111" s="15" t="s">
        <v>235</v>
      </c>
      <c r="S1111" s="23" t="s">
        <v>296</v>
      </c>
      <c r="T1111" s="23" t="s">
        <v>281</v>
      </c>
      <c r="U1111" s="23" t="s">
        <v>828</v>
      </c>
      <c r="V1111" s="23"/>
      <c r="W1111" s="2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3"/>
      <c r="AX1111" s="13"/>
      <c r="AY1111" s="13"/>
      <c r="AZ1111" s="13"/>
      <c r="BA1111" s="13"/>
      <c r="BB1111" s="13"/>
      <c r="BC1111" s="13"/>
      <c r="BD1111" s="13"/>
      <c r="BE1111" s="13"/>
      <c r="BF1111" s="13"/>
      <c r="BG1111" s="13"/>
      <c r="BH1111" s="13"/>
      <c r="BI1111" s="13"/>
      <c r="BJ1111" s="13"/>
      <c r="BK1111" s="13"/>
      <c r="BL1111" s="13"/>
      <c r="BM1111" s="13"/>
      <c r="BN1111" s="13"/>
      <c r="BO1111" s="13"/>
      <c r="BP1111" s="13"/>
      <c r="BQ1111" s="13"/>
      <c r="BR1111" s="13"/>
      <c r="BS1111" s="13"/>
      <c r="BT1111" s="13"/>
      <c r="BU1111" s="13"/>
      <c r="BV1111" s="13"/>
      <c r="BW1111" s="13"/>
      <c r="BX1111" s="13"/>
      <c r="BY1111" s="13"/>
      <c r="BZ1111" s="13"/>
      <c r="CA1111" s="13"/>
      <c r="CB1111" s="13"/>
      <c r="CC1111" s="13"/>
      <c r="CD1111" s="13"/>
      <c r="CE1111" s="13"/>
      <c r="CF1111" s="13"/>
      <c r="CG1111" s="13"/>
      <c r="CH1111" s="13"/>
      <c r="CI1111" s="13"/>
      <c r="CJ1111" s="13"/>
      <c r="CK1111" s="13"/>
      <c r="CL1111" s="13"/>
      <c r="CM1111" s="13"/>
      <c r="CN1111" s="13"/>
      <c r="CO1111" s="13"/>
      <c r="CP1111" s="13"/>
      <c r="CQ1111" s="13"/>
      <c r="CR1111" s="13"/>
      <c r="CS1111" s="13"/>
      <c r="CT1111" s="13"/>
      <c r="CU1111" s="13"/>
      <c r="CV1111" s="13"/>
      <c r="CW1111" s="13"/>
      <c r="CX1111" s="13"/>
      <c r="CY1111" s="13"/>
      <c r="CZ1111" s="13"/>
      <c r="DA1111" s="13"/>
      <c r="DB1111" s="13"/>
      <c r="DC1111" s="13"/>
      <c r="DD1111" s="13"/>
      <c r="DE1111" s="13"/>
      <c r="DF1111" s="13"/>
      <c r="DG1111" s="13"/>
      <c r="DH1111" s="13"/>
      <c r="DI1111" s="13"/>
      <c r="DJ1111" s="13"/>
      <c r="DK1111" s="13"/>
      <c r="DL1111" s="13"/>
      <c r="DM1111" s="13"/>
      <c r="DN1111" s="13"/>
      <c r="DO1111" s="13"/>
      <c r="DP1111" s="13"/>
      <c r="DQ1111" s="13"/>
      <c r="DR1111" s="13"/>
      <c r="DS1111" s="13"/>
      <c r="DT1111" s="13"/>
      <c r="DU1111" s="13"/>
      <c r="DV1111" s="13"/>
      <c r="DW1111" s="13"/>
      <c r="DX1111" s="13"/>
      <c r="DY1111" s="13"/>
      <c r="DZ1111" s="13"/>
      <c r="EA1111" s="13"/>
      <c r="EB1111" s="13"/>
      <c r="EC1111" s="13"/>
      <c r="ED1111" s="13"/>
      <c r="EE1111" s="13"/>
    </row>
    <row r="1112" spans="1:135" ht="15.75" customHeight="1" x14ac:dyDescent="0.25">
      <c r="A1112" s="578" t="s">
        <v>5757</v>
      </c>
      <c r="B1112" s="8">
        <v>13689</v>
      </c>
      <c r="C1112" s="72" t="s">
        <v>5755</v>
      </c>
      <c r="D1112" s="10" t="s">
        <v>24</v>
      </c>
      <c r="E1112" s="11" t="s">
        <v>25</v>
      </c>
      <c r="F1112" s="20" t="s">
        <v>5756</v>
      </c>
      <c r="G1112" s="15" t="s">
        <v>695</v>
      </c>
      <c r="H1112" s="104" t="s">
        <v>3573</v>
      </c>
      <c r="I1112" s="18" t="s">
        <v>3820</v>
      </c>
      <c r="J1112" s="18" t="s">
        <v>330</v>
      </c>
      <c r="K1112" s="23" t="s">
        <v>5758</v>
      </c>
      <c r="L1112" s="25" t="str">
        <f>"RUTL-"&amp;RIGHT(K1112,8)</f>
        <v>RUTL-S4FM3334</v>
      </c>
      <c r="M1112" s="34" t="s">
        <v>40</v>
      </c>
      <c r="N1112" s="23" t="s">
        <v>43</v>
      </c>
      <c r="O1112" s="23"/>
      <c r="P1112" s="39" t="s">
        <v>90</v>
      </c>
      <c r="Q1112" s="63" t="s">
        <v>5759</v>
      </c>
      <c r="R1112" s="15" t="s">
        <v>56</v>
      </c>
      <c r="S1112" s="37" t="s">
        <v>57</v>
      </c>
      <c r="T1112" s="107" t="s">
        <v>148</v>
      </c>
      <c r="U1112" s="39" t="s">
        <v>5726</v>
      </c>
      <c r="V1112" s="23"/>
      <c r="W1112" s="2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3"/>
      <c r="AX1112" s="13"/>
      <c r="AY1112" s="13"/>
      <c r="AZ1112" s="13"/>
      <c r="BA1112" s="13"/>
      <c r="BB1112" s="13"/>
      <c r="BC1112" s="13"/>
      <c r="BD1112" s="13"/>
      <c r="BE1112" s="13"/>
      <c r="BF1112" s="13"/>
      <c r="BG1112" s="13"/>
      <c r="BH1112" s="13"/>
      <c r="BI1112" s="13"/>
      <c r="BJ1112" s="13"/>
      <c r="BK1112" s="13"/>
      <c r="BL1112" s="13"/>
      <c r="BM1112" s="13"/>
      <c r="BN1112" s="13"/>
      <c r="BO1112" s="13"/>
      <c r="BP1112" s="13"/>
      <c r="BQ1112" s="13"/>
      <c r="BR1112" s="13"/>
      <c r="BS1112" s="13"/>
      <c r="BT1112" s="13"/>
      <c r="BU1112" s="13"/>
      <c r="BV1112" s="13"/>
      <c r="BW1112" s="13"/>
      <c r="BX1112" s="13"/>
      <c r="BY1112" s="13"/>
      <c r="BZ1112" s="13"/>
      <c r="CA1112" s="13"/>
      <c r="CB1112" s="13"/>
      <c r="CC1112" s="13"/>
      <c r="CD1112" s="13"/>
      <c r="CE1112" s="13"/>
      <c r="CF1112" s="13"/>
      <c r="CG1112" s="13"/>
      <c r="CH1112" s="13"/>
      <c r="CI1112" s="13"/>
      <c r="CJ1112" s="13"/>
      <c r="CK1112" s="13"/>
      <c r="CL1112" s="13"/>
      <c r="CM1112" s="13"/>
      <c r="CN1112" s="13"/>
      <c r="CO1112" s="13"/>
      <c r="CP1112" s="13"/>
      <c r="CQ1112" s="13"/>
      <c r="CR1112" s="13"/>
      <c r="CS1112" s="13"/>
      <c r="CT1112" s="13"/>
      <c r="CU1112" s="13"/>
      <c r="CV1112" s="13"/>
      <c r="CW1112" s="13"/>
      <c r="CX1112" s="13"/>
      <c r="CY1112" s="13"/>
      <c r="CZ1112" s="13"/>
      <c r="DA1112" s="13"/>
      <c r="DB1112" s="13"/>
      <c r="DC1112" s="13"/>
      <c r="DD1112" s="13"/>
      <c r="DE1112" s="13"/>
      <c r="DF1112" s="13"/>
      <c r="DG1112" s="13"/>
      <c r="DH1112" s="13"/>
      <c r="DI1112" s="13"/>
      <c r="DJ1112" s="13"/>
      <c r="DK1112" s="13"/>
      <c r="DL1112" s="13"/>
      <c r="DM1112" s="13"/>
      <c r="DN1112" s="13"/>
      <c r="DO1112" s="13"/>
      <c r="DP1112" s="13"/>
      <c r="DQ1112" s="13"/>
      <c r="DR1112" s="13"/>
      <c r="DS1112" s="13"/>
      <c r="DT1112" s="13"/>
      <c r="DU1112" s="13"/>
      <c r="DV1112" s="13"/>
      <c r="DW1112" s="13"/>
      <c r="DX1112" s="13"/>
      <c r="DY1112" s="13"/>
      <c r="DZ1112" s="13"/>
      <c r="EA1112" s="13"/>
      <c r="EB1112" s="13"/>
      <c r="EC1112" s="13"/>
      <c r="ED1112" s="13"/>
      <c r="EE1112" s="13"/>
    </row>
    <row r="1113" spans="1:135" ht="15.75" customHeight="1" x14ac:dyDescent="0.25">
      <c r="A1113" s="578" t="s">
        <v>2581</v>
      </c>
      <c r="B1113" s="120" t="s">
        <v>2574</v>
      </c>
      <c r="C1113" s="72" t="s">
        <v>2576</v>
      </c>
      <c r="D1113" s="10" t="s">
        <v>2548</v>
      </c>
      <c r="E1113" s="122" t="s">
        <v>25</v>
      </c>
      <c r="F1113" s="20" t="s">
        <v>2579</v>
      </c>
      <c r="G1113" s="15" t="s">
        <v>2580</v>
      </c>
      <c r="H1113" s="18" t="s">
        <v>2550</v>
      </c>
      <c r="I1113" s="18" t="s">
        <v>48</v>
      </c>
      <c r="J1113" s="18" t="s">
        <v>330</v>
      </c>
      <c r="K1113" s="124" t="s">
        <v>2582</v>
      </c>
      <c r="L1113" s="127" t="str">
        <f>"RUTL-"&amp;RIGHT(K1113,8)</f>
        <v>RUTL-S4FM3311</v>
      </c>
      <c r="M1113" s="129" t="s">
        <v>40</v>
      </c>
      <c r="N1113" s="14" t="s">
        <v>43</v>
      </c>
      <c r="O1113" s="124"/>
      <c r="P1113" s="39" t="s">
        <v>90</v>
      </c>
      <c r="Q1113" s="331" t="s">
        <v>2586</v>
      </c>
      <c r="R1113" s="121" t="s">
        <v>56</v>
      </c>
      <c r="S1113" s="151" t="s">
        <v>57</v>
      </c>
      <c r="T1113" s="137" t="s">
        <v>148</v>
      </c>
      <c r="U1113" s="332" t="s">
        <v>2590</v>
      </c>
      <c r="V1113" s="124"/>
      <c r="W1113" s="124"/>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3"/>
      <c r="AX1113" s="13"/>
      <c r="AY1113" s="13"/>
      <c r="AZ1113" s="13"/>
      <c r="BA1113" s="13"/>
      <c r="BB1113" s="13"/>
      <c r="BC1113" s="13"/>
      <c r="BD1113" s="13"/>
      <c r="BE1113" s="13"/>
      <c r="BF1113" s="13"/>
      <c r="BG1113" s="13"/>
      <c r="BH1113" s="13"/>
      <c r="BI1113" s="13"/>
      <c r="BJ1113" s="13"/>
      <c r="BK1113" s="13"/>
      <c r="BL1113" s="13"/>
      <c r="BM1113" s="13"/>
      <c r="BN1113" s="13"/>
      <c r="BO1113" s="13"/>
      <c r="BP1113" s="13"/>
      <c r="BQ1113" s="13"/>
      <c r="BR1113" s="13"/>
      <c r="BS1113" s="13"/>
      <c r="BT1113" s="13"/>
      <c r="BU1113" s="13"/>
      <c r="BV1113" s="13"/>
      <c r="BW1113" s="13"/>
      <c r="BX1113" s="13"/>
      <c r="BY1113" s="13"/>
      <c r="BZ1113" s="13"/>
      <c r="CA1113" s="13"/>
      <c r="CB1113" s="13"/>
      <c r="CC1113" s="13"/>
      <c r="CD1113" s="13"/>
      <c r="CE1113" s="13"/>
      <c r="CF1113" s="13"/>
      <c r="CG1113" s="13"/>
      <c r="CH1113" s="13"/>
      <c r="CI1113" s="13"/>
      <c r="CJ1113" s="13"/>
      <c r="CK1113" s="13"/>
      <c r="CL1113" s="13"/>
      <c r="CM1113" s="13"/>
      <c r="CN1113" s="13"/>
      <c r="CO1113" s="13"/>
      <c r="CP1113" s="13"/>
      <c r="CQ1113" s="13"/>
      <c r="CR1113" s="13"/>
      <c r="CS1113" s="13"/>
      <c r="CT1113" s="13"/>
      <c r="CU1113" s="13"/>
      <c r="CV1113" s="13"/>
      <c r="CW1113" s="13"/>
      <c r="CX1113" s="13"/>
      <c r="CY1113" s="13"/>
      <c r="CZ1113" s="13"/>
      <c r="DA1113" s="13"/>
      <c r="DB1113" s="13"/>
      <c r="DC1113" s="13"/>
      <c r="DD1113" s="13"/>
      <c r="DE1113" s="13"/>
      <c r="DF1113" s="13"/>
      <c r="DG1113" s="13"/>
      <c r="DH1113" s="13"/>
      <c r="DI1113" s="13"/>
      <c r="DJ1113" s="13"/>
      <c r="DK1113" s="13"/>
      <c r="DL1113" s="13"/>
      <c r="DM1113" s="13"/>
      <c r="DN1113" s="13"/>
      <c r="DO1113" s="13"/>
      <c r="DP1113" s="13"/>
      <c r="DQ1113" s="13"/>
      <c r="DR1113" s="13"/>
      <c r="DS1113" s="13"/>
      <c r="DT1113" s="13"/>
      <c r="DU1113" s="13"/>
      <c r="DV1113" s="13"/>
      <c r="DW1113" s="13"/>
      <c r="DX1113" s="13"/>
      <c r="DY1113" s="13"/>
      <c r="DZ1113" s="13"/>
      <c r="EA1113" s="13"/>
      <c r="EB1113" s="13"/>
      <c r="EC1113" s="13"/>
      <c r="ED1113" s="13"/>
      <c r="EE1113" s="13"/>
    </row>
    <row r="1114" spans="1:135" ht="15.75" customHeight="1" x14ac:dyDescent="0.25">
      <c r="A1114" s="578" t="s">
        <v>1403</v>
      </c>
      <c r="B1114" s="8">
        <v>4190</v>
      </c>
      <c r="C1114" s="167" t="s">
        <v>1396</v>
      </c>
      <c r="D1114" s="10" t="s">
        <v>24</v>
      </c>
      <c r="E1114" s="11" t="s">
        <v>25</v>
      </c>
      <c r="F1114" s="20" t="s">
        <v>1400</v>
      </c>
      <c r="G1114" s="15" t="s">
        <v>1401</v>
      </c>
      <c r="H1114" s="102" t="s">
        <v>97</v>
      </c>
      <c r="I1114" s="18" t="s">
        <v>48</v>
      </c>
      <c r="J1114" s="18" t="s">
        <v>330</v>
      </c>
      <c r="K1114" s="33" t="s">
        <v>1412</v>
      </c>
      <c r="L1114" s="25" t="str">
        <f>"RUTL-"&amp;RIGHT(K1114,8)</f>
        <v>RUTL-S4FM3359</v>
      </c>
      <c r="M1114" s="34" t="s">
        <v>40</v>
      </c>
      <c r="N1114" s="39" t="s">
        <v>410</v>
      </c>
      <c r="O1114" s="39" t="s">
        <v>1414</v>
      </c>
      <c r="P1114" s="39" t="s">
        <v>90</v>
      </c>
      <c r="Q1114" s="63" t="s">
        <v>1416</v>
      </c>
      <c r="R1114" s="15" t="s">
        <v>56</v>
      </c>
      <c r="S1114" s="23"/>
      <c r="T1114" s="23"/>
      <c r="U1114" s="227" t="s">
        <v>1418</v>
      </c>
      <c r="V1114" s="23"/>
      <c r="W1114" s="2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3"/>
      <c r="AX1114" s="13"/>
      <c r="AY1114" s="13"/>
      <c r="AZ1114" s="13"/>
      <c r="BA1114" s="13"/>
      <c r="BB1114" s="13"/>
      <c r="BC1114" s="13"/>
      <c r="BD1114" s="13"/>
      <c r="BE1114" s="13"/>
      <c r="BF1114" s="13"/>
      <c r="BG1114" s="13"/>
      <c r="BH1114" s="13"/>
      <c r="BI1114" s="13"/>
      <c r="BJ1114" s="13"/>
      <c r="BK1114" s="13"/>
      <c r="BL1114" s="13"/>
      <c r="BM1114" s="13"/>
      <c r="BN1114" s="13"/>
      <c r="BO1114" s="13"/>
      <c r="BP1114" s="13"/>
      <c r="BQ1114" s="13"/>
      <c r="BR1114" s="13"/>
      <c r="BS1114" s="13"/>
      <c r="BT1114" s="13"/>
      <c r="BU1114" s="13"/>
      <c r="BV1114" s="13"/>
      <c r="BW1114" s="13"/>
      <c r="BX1114" s="13"/>
      <c r="BY1114" s="13"/>
      <c r="BZ1114" s="13"/>
      <c r="CA1114" s="13"/>
      <c r="CB1114" s="13"/>
      <c r="CC1114" s="13"/>
      <c r="CD1114" s="13"/>
      <c r="CE1114" s="13"/>
      <c r="CF1114" s="13"/>
      <c r="CG1114" s="13"/>
      <c r="CH1114" s="13"/>
      <c r="CI1114" s="13"/>
      <c r="CJ1114" s="13"/>
      <c r="CK1114" s="13"/>
      <c r="CL1114" s="13"/>
      <c r="CM1114" s="13"/>
      <c r="CN1114" s="13"/>
      <c r="CO1114" s="13"/>
      <c r="CP1114" s="13"/>
      <c r="CQ1114" s="13"/>
      <c r="CR1114" s="13"/>
      <c r="CS1114" s="13"/>
      <c r="CT1114" s="13"/>
      <c r="CU1114" s="13"/>
      <c r="CV1114" s="13"/>
      <c r="CW1114" s="13"/>
      <c r="CX1114" s="13"/>
      <c r="CY1114" s="13"/>
      <c r="CZ1114" s="13"/>
      <c r="DA1114" s="13"/>
      <c r="DB1114" s="13"/>
      <c r="DC1114" s="13"/>
      <c r="DD1114" s="13"/>
      <c r="DE1114" s="13"/>
      <c r="DF1114" s="13"/>
      <c r="DG1114" s="13"/>
      <c r="DH1114" s="13"/>
      <c r="DI1114" s="13"/>
      <c r="DJ1114" s="13"/>
      <c r="DK1114" s="13"/>
      <c r="DL1114" s="13"/>
      <c r="DM1114" s="13"/>
      <c r="DN1114" s="13"/>
      <c r="DO1114" s="13"/>
      <c r="DP1114" s="13"/>
      <c r="DQ1114" s="13"/>
      <c r="DR1114" s="13"/>
      <c r="DS1114" s="13"/>
      <c r="DT1114" s="13"/>
      <c r="DU1114" s="13"/>
      <c r="DV1114" s="13"/>
      <c r="DW1114" s="13"/>
      <c r="DX1114" s="13"/>
      <c r="DY1114" s="13"/>
      <c r="DZ1114" s="13"/>
      <c r="EA1114" s="13"/>
      <c r="EB1114" s="13"/>
      <c r="EC1114" s="13"/>
      <c r="ED1114" s="13"/>
      <c r="EE1114" s="13"/>
    </row>
    <row r="1115" spans="1:135" ht="15.75" customHeight="1" x14ac:dyDescent="0.25">
      <c r="A1115" s="578" t="s">
        <v>7348</v>
      </c>
      <c r="B1115" s="51">
        <v>18453</v>
      </c>
      <c r="C1115" s="69" t="s">
        <v>7344</v>
      </c>
      <c r="D1115" s="15" t="s">
        <v>7345</v>
      </c>
      <c r="E1115" s="11" t="s">
        <v>25</v>
      </c>
      <c r="F1115" s="29" t="s">
        <v>7346</v>
      </c>
      <c r="G1115" s="15" t="s">
        <v>7347</v>
      </c>
      <c r="H1115" s="206" t="s">
        <v>470</v>
      </c>
      <c r="I1115" s="24" t="s">
        <v>48</v>
      </c>
      <c r="J1115" s="18" t="s">
        <v>330</v>
      </c>
      <c r="K1115" s="23" t="s">
        <v>7349</v>
      </c>
      <c r="L1115" s="25" t="str">
        <f>"RUTL-"&amp;RIGHT(K1115,8)</f>
        <v>RUTL-S4FM3377</v>
      </c>
      <c r="M1115" s="34" t="s">
        <v>40</v>
      </c>
      <c r="N1115" s="90" t="s">
        <v>410</v>
      </c>
      <c r="O1115" s="23"/>
      <c r="P1115" s="39" t="s">
        <v>90</v>
      </c>
      <c r="Q1115" s="63" t="s">
        <v>7350</v>
      </c>
      <c r="R1115" s="15" t="s">
        <v>56</v>
      </c>
      <c r="S1115" s="37" t="s">
        <v>57</v>
      </c>
      <c r="T1115" s="105" t="s">
        <v>148</v>
      </c>
      <c r="U1115" s="39" t="s">
        <v>6494</v>
      </c>
      <c r="V1115" s="32"/>
      <c r="W1115" s="32"/>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3"/>
      <c r="AX1115" s="13"/>
      <c r="AY1115" s="13"/>
      <c r="AZ1115" s="13"/>
      <c r="BA1115" s="13"/>
      <c r="BB1115" s="13"/>
      <c r="BC1115" s="13"/>
      <c r="BD1115" s="13"/>
      <c r="BE1115" s="13"/>
      <c r="BF1115" s="13"/>
      <c r="BG1115" s="13"/>
      <c r="BH1115" s="13"/>
      <c r="BI1115" s="13"/>
      <c r="BJ1115" s="13"/>
      <c r="BK1115" s="13"/>
      <c r="BL1115" s="13"/>
      <c r="BM1115" s="13"/>
      <c r="BN1115" s="13"/>
      <c r="BO1115" s="13"/>
      <c r="BP1115" s="13"/>
      <c r="BQ1115" s="13"/>
      <c r="BR1115" s="13"/>
      <c r="BS1115" s="13"/>
      <c r="BT1115" s="13"/>
      <c r="BU1115" s="13"/>
      <c r="BV1115" s="13"/>
      <c r="BW1115" s="13"/>
      <c r="BX1115" s="13"/>
      <c r="BY1115" s="13"/>
      <c r="BZ1115" s="13"/>
      <c r="CA1115" s="13"/>
      <c r="CB1115" s="13"/>
      <c r="CC1115" s="13"/>
      <c r="CD1115" s="13"/>
      <c r="CE1115" s="13"/>
      <c r="CF1115" s="13"/>
      <c r="CG1115" s="13"/>
      <c r="CH1115" s="13"/>
      <c r="CI1115" s="13"/>
      <c r="CJ1115" s="13"/>
      <c r="CK1115" s="13"/>
      <c r="CL1115" s="13"/>
      <c r="CM1115" s="13"/>
      <c r="CN1115" s="13"/>
      <c r="CO1115" s="13"/>
      <c r="CP1115" s="13"/>
      <c r="CQ1115" s="13"/>
      <c r="CR1115" s="13"/>
      <c r="CS1115" s="13"/>
      <c r="CT1115" s="13"/>
      <c r="CU1115" s="13"/>
      <c r="CV1115" s="13"/>
      <c r="CW1115" s="13"/>
      <c r="CX1115" s="13"/>
      <c r="CY1115" s="13"/>
      <c r="CZ1115" s="13"/>
      <c r="DA1115" s="13"/>
      <c r="DB1115" s="13"/>
      <c r="DC1115" s="13"/>
      <c r="DD1115" s="13"/>
      <c r="DE1115" s="13"/>
      <c r="DF1115" s="13"/>
      <c r="DG1115" s="13"/>
      <c r="DH1115" s="13"/>
      <c r="DI1115" s="13"/>
      <c r="DJ1115" s="13"/>
      <c r="DK1115" s="13"/>
      <c r="DL1115" s="13"/>
      <c r="DM1115" s="13"/>
      <c r="DN1115" s="13"/>
      <c r="DO1115" s="13"/>
      <c r="DP1115" s="13"/>
      <c r="DQ1115" s="13"/>
      <c r="DR1115" s="13"/>
      <c r="DS1115" s="13"/>
      <c r="DT1115" s="13"/>
      <c r="DU1115" s="13"/>
      <c r="DV1115" s="13"/>
      <c r="DW1115" s="13"/>
      <c r="DX1115" s="13"/>
      <c r="DY1115" s="13"/>
      <c r="DZ1115" s="13"/>
      <c r="EA1115" s="13"/>
      <c r="EB1115" s="13"/>
      <c r="EC1115" s="13"/>
      <c r="ED1115" s="13"/>
      <c r="EE1115" s="13"/>
    </row>
    <row r="1116" spans="1:135" ht="37.5" x14ac:dyDescent="0.25">
      <c r="A1116" s="578" t="s">
        <v>4218</v>
      </c>
      <c r="B1116" s="8">
        <v>7505</v>
      </c>
      <c r="C1116" s="72" t="s">
        <v>4215</v>
      </c>
      <c r="D1116" s="10" t="s">
        <v>4216</v>
      </c>
      <c r="E1116" s="11" t="s">
        <v>25</v>
      </c>
      <c r="F1116" s="20" t="s">
        <v>4217</v>
      </c>
      <c r="G1116" s="15" t="s">
        <v>1698</v>
      </c>
      <c r="H1116" s="17" t="s">
        <v>470</v>
      </c>
      <c r="I1116" s="18" t="s">
        <v>48</v>
      </c>
      <c r="J1116" s="18" t="s">
        <v>330</v>
      </c>
      <c r="K1116" s="33" t="s">
        <v>4219</v>
      </c>
      <c r="L1116" s="25" t="str">
        <f>"RUTL-"&amp;RIGHT(K1116,8)</f>
        <v>RUTL-S4FM3409</v>
      </c>
      <c r="M1116" s="34" t="s">
        <v>40</v>
      </c>
      <c r="N1116" s="23"/>
      <c r="O1116" s="23"/>
      <c r="P1116" s="23"/>
      <c r="Q1116" s="113"/>
      <c r="R1116" s="15" t="s">
        <v>235</v>
      </c>
      <c r="S1116" s="37" t="s">
        <v>57</v>
      </c>
      <c r="T1116" s="101" t="s">
        <v>96</v>
      </c>
      <c r="U1116" s="39" t="s">
        <v>4220</v>
      </c>
      <c r="V1116" s="23"/>
      <c r="W1116" s="2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3"/>
      <c r="AX1116" s="13"/>
      <c r="AY1116" s="13"/>
      <c r="AZ1116" s="13"/>
      <c r="BA1116" s="13"/>
      <c r="BB1116" s="13"/>
      <c r="BC1116" s="13"/>
      <c r="BD1116" s="13"/>
      <c r="BE1116" s="13"/>
      <c r="BF1116" s="13"/>
      <c r="BG1116" s="13"/>
      <c r="BH1116" s="13"/>
      <c r="BI1116" s="13"/>
      <c r="BJ1116" s="13"/>
      <c r="BK1116" s="13"/>
      <c r="BL1116" s="13"/>
      <c r="BM1116" s="13"/>
      <c r="BN1116" s="13"/>
      <c r="BO1116" s="13"/>
      <c r="BP1116" s="13"/>
      <c r="BQ1116" s="13"/>
      <c r="BR1116" s="13"/>
      <c r="BS1116" s="13"/>
      <c r="BT1116" s="13"/>
      <c r="BU1116" s="13"/>
      <c r="BV1116" s="13"/>
      <c r="BW1116" s="13"/>
      <c r="BX1116" s="13"/>
      <c r="BY1116" s="13"/>
      <c r="BZ1116" s="13"/>
      <c r="CA1116" s="13"/>
      <c r="CB1116" s="13"/>
      <c r="CC1116" s="13"/>
      <c r="CD1116" s="13"/>
      <c r="CE1116" s="13"/>
      <c r="CF1116" s="13"/>
      <c r="CG1116" s="13"/>
      <c r="CH1116" s="13"/>
      <c r="CI1116" s="13"/>
      <c r="CJ1116" s="13"/>
      <c r="CK1116" s="13"/>
      <c r="CL1116" s="13"/>
      <c r="CM1116" s="13"/>
      <c r="CN1116" s="13"/>
      <c r="CO1116" s="13"/>
      <c r="CP1116" s="13"/>
      <c r="CQ1116" s="13"/>
      <c r="CR1116" s="13"/>
      <c r="CS1116" s="13"/>
      <c r="CT1116" s="13"/>
      <c r="CU1116" s="13"/>
      <c r="CV1116" s="13"/>
      <c r="CW1116" s="13"/>
      <c r="CX1116" s="13"/>
      <c r="CY1116" s="13"/>
      <c r="CZ1116" s="13"/>
      <c r="DA1116" s="13"/>
      <c r="DB1116" s="13"/>
      <c r="DC1116" s="13"/>
      <c r="DD1116" s="13"/>
      <c r="DE1116" s="13"/>
      <c r="DF1116" s="13"/>
      <c r="DG1116" s="13"/>
      <c r="DH1116" s="13"/>
      <c r="DI1116" s="13"/>
      <c r="DJ1116" s="13"/>
      <c r="DK1116" s="13"/>
      <c r="DL1116" s="13"/>
      <c r="DM1116" s="13"/>
      <c r="DN1116" s="13"/>
      <c r="DO1116" s="13"/>
      <c r="DP1116" s="13"/>
      <c r="DQ1116" s="13"/>
      <c r="DR1116" s="13"/>
      <c r="DS1116" s="13"/>
      <c r="DT1116" s="13"/>
      <c r="DU1116" s="13"/>
      <c r="DV1116" s="13"/>
      <c r="DW1116" s="13"/>
      <c r="DX1116" s="13"/>
      <c r="DY1116" s="13"/>
      <c r="DZ1116" s="13"/>
      <c r="EA1116" s="13"/>
      <c r="EB1116" s="13"/>
      <c r="EC1116" s="13"/>
      <c r="ED1116" s="13"/>
      <c r="EE1116" s="13"/>
    </row>
    <row r="1117" spans="1:135" ht="15.75" customHeight="1" x14ac:dyDescent="0.25">
      <c r="A1117" s="578" t="s">
        <v>3821</v>
      </c>
      <c r="B1117" s="8">
        <v>5918</v>
      </c>
      <c r="C1117" s="72" t="s">
        <v>3818</v>
      </c>
      <c r="D1117" s="10" t="s">
        <v>24</v>
      </c>
      <c r="E1117" s="11" t="s">
        <v>25</v>
      </c>
      <c r="F1117" s="20" t="s">
        <v>3819</v>
      </c>
      <c r="G1117" s="15" t="s">
        <v>2271</v>
      </c>
      <c r="H1117" s="104" t="s">
        <v>3573</v>
      </c>
      <c r="I1117" s="18" t="s">
        <v>3820</v>
      </c>
      <c r="J1117" s="18" t="s">
        <v>330</v>
      </c>
      <c r="K1117" s="33" t="s">
        <v>3822</v>
      </c>
      <c r="L1117" s="25" t="str">
        <f>"RUTL-"&amp;RIGHT(K1117,8)</f>
        <v>RUTL-S4FM3422</v>
      </c>
      <c r="M1117" s="34" t="s">
        <v>40</v>
      </c>
      <c r="N1117" s="23"/>
      <c r="O1117" s="23"/>
      <c r="P1117" s="23"/>
      <c r="Q1117" s="113"/>
      <c r="R1117" s="15" t="s">
        <v>56</v>
      </c>
      <c r="S1117" s="37" t="s">
        <v>57</v>
      </c>
      <c r="T1117" s="107" t="s">
        <v>453</v>
      </c>
      <c r="U1117" s="39" t="s">
        <v>3823</v>
      </c>
      <c r="V1117" s="23"/>
      <c r="W1117" s="2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3"/>
      <c r="AX1117" s="13"/>
      <c r="AY1117" s="13"/>
      <c r="AZ1117" s="13"/>
      <c r="BA1117" s="13"/>
      <c r="BB1117" s="13"/>
      <c r="BC1117" s="13"/>
      <c r="BD1117" s="13"/>
      <c r="BE1117" s="13"/>
      <c r="BF1117" s="13"/>
      <c r="BG1117" s="13"/>
      <c r="BH1117" s="13"/>
      <c r="BI1117" s="13"/>
      <c r="BJ1117" s="13"/>
      <c r="BK1117" s="13"/>
      <c r="BL1117" s="13"/>
      <c r="BM1117" s="13"/>
      <c r="BN1117" s="13"/>
      <c r="BO1117" s="13"/>
      <c r="BP1117" s="13"/>
      <c r="BQ1117" s="13"/>
      <c r="BR1117" s="13"/>
      <c r="BS1117" s="13"/>
      <c r="BT1117" s="13"/>
      <c r="BU1117" s="13"/>
      <c r="BV1117" s="13"/>
      <c r="BW1117" s="13"/>
      <c r="BX1117" s="13"/>
      <c r="BY1117" s="13"/>
      <c r="BZ1117" s="13"/>
      <c r="CA1117" s="13"/>
      <c r="CB1117" s="13"/>
      <c r="CC1117" s="13"/>
      <c r="CD1117" s="13"/>
      <c r="CE1117" s="13"/>
      <c r="CF1117" s="13"/>
      <c r="CG1117" s="13"/>
      <c r="CH1117" s="13"/>
      <c r="CI1117" s="13"/>
      <c r="CJ1117" s="13"/>
      <c r="CK1117" s="13"/>
      <c r="CL1117" s="13"/>
      <c r="CM1117" s="13"/>
      <c r="CN1117" s="13"/>
      <c r="CO1117" s="13"/>
      <c r="CP1117" s="13"/>
      <c r="CQ1117" s="13"/>
      <c r="CR1117" s="13"/>
      <c r="CS1117" s="13"/>
      <c r="CT1117" s="13"/>
      <c r="CU1117" s="13"/>
      <c r="CV1117" s="13"/>
      <c r="CW1117" s="13"/>
      <c r="CX1117" s="13"/>
      <c r="CY1117" s="13"/>
      <c r="CZ1117" s="13"/>
      <c r="DA1117" s="13"/>
      <c r="DB1117" s="13"/>
      <c r="DC1117" s="13"/>
      <c r="DD1117" s="13"/>
      <c r="DE1117" s="13"/>
      <c r="DF1117" s="13"/>
      <c r="DG1117" s="13"/>
      <c r="DH1117" s="13"/>
      <c r="DI1117" s="13"/>
      <c r="DJ1117" s="13"/>
      <c r="DK1117" s="13"/>
      <c r="DL1117" s="13"/>
      <c r="DM1117" s="13"/>
      <c r="DN1117" s="13"/>
      <c r="DO1117" s="13"/>
      <c r="DP1117" s="13"/>
      <c r="DQ1117" s="13"/>
      <c r="DR1117" s="13"/>
      <c r="DS1117" s="13"/>
      <c r="DT1117" s="13"/>
      <c r="DU1117" s="13"/>
      <c r="DV1117" s="13"/>
      <c r="DW1117" s="13"/>
      <c r="DX1117" s="13"/>
      <c r="DY1117" s="13"/>
      <c r="DZ1117" s="13"/>
      <c r="EA1117" s="13"/>
      <c r="EB1117" s="13"/>
      <c r="EC1117" s="13"/>
      <c r="ED1117" s="13"/>
      <c r="EE1117" s="13"/>
    </row>
    <row r="1118" spans="1:135" ht="15.75" customHeight="1" x14ac:dyDescent="0.25">
      <c r="A1118" s="578" t="s">
        <v>1760</v>
      </c>
      <c r="B1118" s="120" t="s">
        <v>1752</v>
      </c>
      <c r="C1118" s="72" t="s">
        <v>1755</v>
      </c>
      <c r="D1118" s="201" t="s">
        <v>1756</v>
      </c>
      <c r="E1118" s="122" t="s">
        <v>25</v>
      </c>
      <c r="F1118" s="20" t="s">
        <v>1758</v>
      </c>
      <c r="G1118" s="15" t="s">
        <v>1759</v>
      </c>
      <c r="H1118" s="17" t="s">
        <v>682</v>
      </c>
      <c r="I1118" s="18" t="s">
        <v>48</v>
      </c>
      <c r="J1118" s="18" t="s">
        <v>330</v>
      </c>
      <c r="K1118" s="124" t="s">
        <v>1762</v>
      </c>
      <c r="L1118" s="127" t="str">
        <f>"RUTL-"&amp;RIGHT(K1118,8)</f>
        <v>RUTL-S4FM3406</v>
      </c>
      <c r="M1118" s="129" t="s">
        <v>40</v>
      </c>
      <c r="N1118" s="130"/>
      <c r="O1118" s="124"/>
      <c r="P1118" s="132"/>
      <c r="Q1118" s="276"/>
      <c r="R1118" s="121" t="s">
        <v>56</v>
      </c>
      <c r="S1118" s="124"/>
      <c r="T1118" s="277" t="s">
        <v>453</v>
      </c>
      <c r="U1118" s="47" t="s">
        <v>1766</v>
      </c>
      <c r="V1118" s="124"/>
      <c r="W1118" s="124"/>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3"/>
      <c r="AX1118" s="13"/>
      <c r="AY1118" s="13"/>
      <c r="AZ1118" s="13"/>
      <c r="BA1118" s="13"/>
      <c r="BB1118" s="13"/>
      <c r="BC1118" s="13"/>
      <c r="BD1118" s="13"/>
      <c r="BE1118" s="13"/>
      <c r="BF1118" s="13"/>
      <c r="BG1118" s="13"/>
      <c r="BH1118" s="13"/>
      <c r="BI1118" s="13"/>
      <c r="BJ1118" s="13"/>
      <c r="BK1118" s="13"/>
      <c r="BL1118" s="13"/>
      <c r="BM1118" s="13"/>
      <c r="BN1118" s="13"/>
      <c r="BO1118" s="13"/>
      <c r="BP1118" s="13"/>
      <c r="BQ1118" s="13"/>
      <c r="BR1118" s="13"/>
      <c r="BS1118" s="13"/>
      <c r="BT1118" s="13"/>
      <c r="BU1118" s="13"/>
      <c r="BV1118" s="13"/>
      <c r="BW1118" s="13"/>
      <c r="BX1118" s="13"/>
      <c r="BY1118" s="13"/>
      <c r="BZ1118" s="13"/>
      <c r="CA1118" s="13"/>
      <c r="CB1118" s="13"/>
      <c r="CC1118" s="13"/>
      <c r="CD1118" s="13"/>
      <c r="CE1118" s="13"/>
      <c r="CF1118" s="13"/>
      <c r="CG1118" s="13"/>
      <c r="CH1118" s="13"/>
      <c r="CI1118" s="13"/>
      <c r="CJ1118" s="13"/>
      <c r="CK1118" s="13"/>
      <c r="CL1118" s="13"/>
      <c r="CM1118" s="13"/>
      <c r="CN1118" s="13"/>
      <c r="CO1118" s="13"/>
      <c r="CP1118" s="13"/>
      <c r="CQ1118" s="13"/>
      <c r="CR1118" s="13"/>
      <c r="CS1118" s="13"/>
      <c r="CT1118" s="13"/>
      <c r="CU1118" s="13"/>
      <c r="CV1118" s="13"/>
      <c r="CW1118" s="13"/>
      <c r="CX1118" s="13"/>
      <c r="CY1118" s="13"/>
      <c r="CZ1118" s="13"/>
      <c r="DA1118" s="13"/>
      <c r="DB1118" s="13"/>
      <c r="DC1118" s="13"/>
      <c r="DD1118" s="13"/>
      <c r="DE1118" s="13"/>
      <c r="DF1118" s="13"/>
      <c r="DG1118" s="13"/>
      <c r="DH1118" s="13"/>
      <c r="DI1118" s="13"/>
      <c r="DJ1118" s="13"/>
      <c r="DK1118" s="13"/>
      <c r="DL1118" s="13"/>
      <c r="DM1118" s="13"/>
      <c r="DN1118" s="13"/>
      <c r="DO1118" s="13"/>
      <c r="DP1118" s="13"/>
      <c r="DQ1118" s="13"/>
      <c r="DR1118" s="13"/>
      <c r="DS1118" s="13"/>
      <c r="DT1118" s="13"/>
      <c r="DU1118" s="13"/>
      <c r="DV1118" s="13"/>
      <c r="DW1118" s="13"/>
      <c r="DX1118" s="13"/>
      <c r="DY1118" s="13"/>
      <c r="DZ1118" s="13"/>
      <c r="EA1118" s="13"/>
      <c r="EB1118" s="13"/>
      <c r="EC1118" s="13"/>
      <c r="ED1118" s="13"/>
      <c r="EE1118" s="13"/>
    </row>
    <row r="1119" spans="1:135" ht="15.75" customHeight="1" x14ac:dyDescent="0.25">
      <c r="A1119" s="578" t="s">
        <v>814</v>
      </c>
      <c r="B1119" s="120" t="s">
        <v>804</v>
      </c>
      <c r="C1119" s="72" t="s">
        <v>805</v>
      </c>
      <c r="D1119" s="201" t="s">
        <v>807</v>
      </c>
      <c r="E1119" s="122" t="s">
        <v>25</v>
      </c>
      <c r="F1119" s="162" t="s">
        <v>808</v>
      </c>
      <c r="G1119" s="15" t="s">
        <v>809</v>
      </c>
      <c r="H1119" s="203" t="s">
        <v>811</v>
      </c>
      <c r="I1119" s="18" t="s">
        <v>48</v>
      </c>
      <c r="J1119" s="18" t="s">
        <v>330</v>
      </c>
      <c r="K1119" s="23" t="s">
        <v>817</v>
      </c>
      <c r="L1119" s="127" t="str">
        <f>"RUTL-"&amp;RIGHT(K1119,8)</f>
        <v>RUTL-S4FM3439</v>
      </c>
      <c r="M1119" s="129" t="s">
        <v>40</v>
      </c>
      <c r="N1119" s="185" t="s">
        <v>410</v>
      </c>
      <c r="O1119" s="124"/>
      <c r="P1119" s="124"/>
      <c r="Q1119" s="124"/>
      <c r="R1119" s="121" t="s">
        <v>56</v>
      </c>
      <c r="S1119" s="151" t="s">
        <v>57</v>
      </c>
      <c r="T1119" s="124" t="s">
        <v>820</v>
      </c>
      <c r="U1119" s="207" t="s">
        <v>831</v>
      </c>
      <c r="V1119" s="124"/>
      <c r="W1119" s="124"/>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3"/>
      <c r="AX1119" s="13"/>
      <c r="AY1119" s="13"/>
      <c r="AZ1119" s="13"/>
      <c r="BA1119" s="13"/>
      <c r="BB1119" s="13"/>
      <c r="BC1119" s="13"/>
      <c r="BD1119" s="13"/>
      <c r="BE1119" s="13"/>
      <c r="BF1119" s="13"/>
      <c r="BG1119" s="13"/>
      <c r="BH1119" s="13"/>
      <c r="BI1119" s="13"/>
      <c r="BJ1119" s="13"/>
      <c r="BK1119" s="13"/>
      <c r="BL1119" s="13"/>
      <c r="BM1119" s="13"/>
      <c r="BN1119" s="13"/>
      <c r="BO1119" s="13"/>
      <c r="BP1119" s="13"/>
      <c r="BQ1119" s="13"/>
      <c r="BR1119" s="13"/>
      <c r="BS1119" s="13"/>
      <c r="BT1119" s="13"/>
      <c r="BU1119" s="13"/>
      <c r="BV1119" s="13"/>
      <c r="BW1119" s="13"/>
      <c r="BX1119" s="13"/>
      <c r="BY1119" s="13"/>
      <c r="BZ1119" s="13"/>
      <c r="CA1119" s="13"/>
      <c r="CB1119" s="13"/>
      <c r="CC1119" s="13"/>
      <c r="CD1119" s="13"/>
      <c r="CE1119" s="13"/>
      <c r="CF1119" s="13"/>
      <c r="CG1119" s="13"/>
      <c r="CH1119" s="13"/>
      <c r="CI1119" s="13"/>
      <c r="CJ1119" s="13"/>
      <c r="CK1119" s="13"/>
      <c r="CL1119" s="13"/>
      <c r="CM1119" s="13"/>
      <c r="CN1119" s="13"/>
      <c r="CO1119" s="13"/>
      <c r="CP1119" s="13"/>
      <c r="CQ1119" s="13"/>
      <c r="CR1119" s="13"/>
      <c r="CS1119" s="13"/>
      <c r="CT1119" s="13"/>
      <c r="CU1119" s="13"/>
      <c r="CV1119" s="13"/>
      <c r="CW1119" s="13"/>
      <c r="CX1119" s="13"/>
      <c r="CY1119" s="13"/>
      <c r="CZ1119" s="13"/>
      <c r="DA1119" s="13"/>
      <c r="DB1119" s="13"/>
      <c r="DC1119" s="13"/>
      <c r="DD1119" s="13"/>
      <c r="DE1119" s="13"/>
      <c r="DF1119" s="13"/>
      <c r="DG1119" s="13"/>
      <c r="DH1119" s="13"/>
      <c r="DI1119" s="13"/>
      <c r="DJ1119" s="13"/>
      <c r="DK1119" s="13"/>
      <c r="DL1119" s="13"/>
      <c r="DM1119" s="13"/>
      <c r="DN1119" s="13"/>
      <c r="DO1119" s="13"/>
      <c r="DP1119" s="13"/>
      <c r="DQ1119" s="13"/>
      <c r="DR1119" s="13"/>
      <c r="DS1119" s="13"/>
      <c r="DT1119" s="13"/>
      <c r="DU1119" s="13"/>
      <c r="DV1119" s="13"/>
      <c r="DW1119" s="13"/>
      <c r="DX1119" s="13"/>
      <c r="DY1119" s="13"/>
      <c r="DZ1119" s="13"/>
      <c r="EA1119" s="13"/>
      <c r="EB1119" s="13"/>
      <c r="EC1119" s="13"/>
      <c r="ED1119" s="13"/>
      <c r="EE1119" s="13"/>
    </row>
    <row r="1120" spans="1:135" ht="15.75" customHeight="1" x14ac:dyDescent="0.25">
      <c r="A1120" s="578" t="s">
        <v>3021</v>
      </c>
      <c r="B1120" s="8">
        <v>2488</v>
      </c>
      <c r="C1120" s="72" t="s">
        <v>3019</v>
      </c>
      <c r="D1120" s="10" t="s">
        <v>24</v>
      </c>
      <c r="E1120" s="11" t="s">
        <v>25</v>
      </c>
      <c r="F1120" s="12" t="s">
        <v>3020</v>
      </c>
      <c r="G1120" s="15" t="s">
        <v>443</v>
      </c>
      <c r="H1120" s="53" t="s">
        <v>1319</v>
      </c>
      <c r="I1120" s="18" t="s">
        <v>48</v>
      </c>
      <c r="J1120" s="18" t="s">
        <v>330</v>
      </c>
      <c r="K1120" s="33" t="s">
        <v>3022</v>
      </c>
      <c r="L1120" s="25" t="str">
        <f>"RUTL-"&amp;RIGHT(K1120,8)</f>
        <v>RUTL-S4FM3300</v>
      </c>
      <c r="M1120" s="34" t="s">
        <v>40</v>
      </c>
      <c r="N1120" s="39" t="s">
        <v>414</v>
      </c>
      <c r="O1120" s="23"/>
      <c r="P1120" s="39" t="s">
        <v>90</v>
      </c>
      <c r="Q1120" s="63" t="s">
        <v>3023</v>
      </c>
      <c r="R1120" s="15" t="s">
        <v>56</v>
      </c>
      <c r="S1120" s="37" t="s">
        <v>57</v>
      </c>
      <c r="T1120" s="105" t="s">
        <v>148</v>
      </c>
      <c r="U1120" s="39" t="s">
        <v>3024</v>
      </c>
      <c r="V1120" s="23"/>
      <c r="W1120" s="2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3"/>
      <c r="AY1120" s="13"/>
      <c r="AZ1120" s="13"/>
      <c r="BA1120" s="13"/>
      <c r="BB1120" s="13"/>
      <c r="BC1120" s="13"/>
      <c r="BD1120" s="13"/>
      <c r="BE1120" s="13"/>
      <c r="BF1120" s="13"/>
      <c r="BG1120" s="13"/>
      <c r="BH1120" s="13"/>
      <c r="BI1120" s="13"/>
      <c r="BJ1120" s="13"/>
      <c r="BK1120" s="13"/>
      <c r="BL1120" s="13"/>
      <c r="BM1120" s="13"/>
      <c r="BN1120" s="13"/>
      <c r="BO1120" s="13"/>
      <c r="BP1120" s="13"/>
      <c r="BQ1120" s="13"/>
      <c r="BR1120" s="13"/>
      <c r="BS1120" s="13"/>
      <c r="BT1120" s="13"/>
      <c r="BU1120" s="13"/>
      <c r="BV1120" s="13"/>
      <c r="BW1120" s="13"/>
      <c r="BX1120" s="13"/>
      <c r="BY1120" s="13"/>
      <c r="BZ1120" s="13"/>
      <c r="CA1120" s="13"/>
      <c r="CB1120" s="13"/>
      <c r="CC1120" s="13"/>
      <c r="CD1120" s="13"/>
      <c r="CE1120" s="13"/>
      <c r="CF1120" s="13"/>
      <c r="CG1120" s="13"/>
      <c r="CH1120" s="13"/>
      <c r="CI1120" s="13"/>
      <c r="CJ1120" s="13"/>
      <c r="CK1120" s="13"/>
      <c r="CL1120" s="13"/>
      <c r="CM1120" s="13"/>
      <c r="CN1120" s="13"/>
      <c r="CO1120" s="13"/>
      <c r="CP1120" s="13"/>
      <c r="CQ1120" s="13"/>
      <c r="CR1120" s="13"/>
      <c r="CS1120" s="13"/>
      <c r="CT1120" s="13"/>
      <c r="CU1120" s="13"/>
      <c r="CV1120" s="13"/>
      <c r="CW1120" s="13"/>
      <c r="CX1120" s="13"/>
      <c r="CY1120" s="13"/>
      <c r="CZ1120" s="13"/>
      <c r="DA1120" s="13"/>
      <c r="DB1120" s="13"/>
      <c r="DC1120" s="13"/>
      <c r="DD1120" s="13"/>
      <c r="DE1120" s="13"/>
      <c r="DF1120" s="13"/>
      <c r="DG1120" s="13"/>
      <c r="DH1120" s="13"/>
      <c r="DI1120" s="13"/>
      <c r="DJ1120" s="13"/>
      <c r="DK1120" s="13"/>
      <c r="DL1120" s="13"/>
      <c r="DM1120" s="13"/>
      <c r="DN1120" s="13"/>
      <c r="DO1120" s="13"/>
      <c r="DP1120" s="13"/>
      <c r="DQ1120" s="13"/>
      <c r="DR1120" s="13"/>
      <c r="DS1120" s="13"/>
      <c r="DT1120" s="13"/>
      <c r="DU1120" s="13"/>
      <c r="DV1120" s="13"/>
      <c r="DW1120" s="13"/>
      <c r="DX1120" s="13"/>
      <c r="DY1120" s="13"/>
      <c r="DZ1120" s="13"/>
      <c r="EA1120" s="13"/>
      <c r="EB1120" s="13"/>
      <c r="EC1120" s="13"/>
      <c r="ED1120" s="13"/>
      <c r="EE1120" s="13"/>
    </row>
    <row r="1121" spans="1:135" ht="15.75" customHeight="1" x14ac:dyDescent="0.25">
      <c r="A1121" s="578" t="s">
        <v>3196</v>
      </c>
      <c r="B1121" s="344">
        <v>3102</v>
      </c>
      <c r="C1121" s="167" t="s">
        <v>3194</v>
      </c>
      <c r="D1121" s="10" t="s">
        <v>24</v>
      </c>
      <c r="E1121" s="11" t="s">
        <v>25</v>
      </c>
      <c r="F1121" s="20" t="s">
        <v>3195</v>
      </c>
      <c r="G1121" s="15" t="s">
        <v>443</v>
      </c>
      <c r="H1121" s="18" t="s">
        <v>2550</v>
      </c>
      <c r="I1121" s="18" t="s">
        <v>48</v>
      </c>
      <c r="J1121" s="18" t="s">
        <v>330</v>
      </c>
      <c r="K1121" s="33" t="s">
        <v>3197</v>
      </c>
      <c r="L1121" s="25" t="str">
        <f>"RUTL-"&amp;RIGHT(K1121,8)</f>
        <v>RUTL-S4FM3412</v>
      </c>
      <c r="M1121" s="34" t="s">
        <v>40</v>
      </c>
      <c r="N1121" s="23" t="s">
        <v>43</v>
      </c>
      <c r="O1121" s="23"/>
      <c r="P1121" s="23"/>
      <c r="Q1121" s="113"/>
      <c r="R1121" s="15" t="s">
        <v>56</v>
      </c>
      <c r="S1121" s="37" t="s">
        <v>57</v>
      </c>
      <c r="T1121" s="107" t="s">
        <v>453</v>
      </c>
      <c r="U1121" s="39" t="s">
        <v>3198</v>
      </c>
      <c r="V1121" s="23"/>
      <c r="W1121" s="2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3"/>
      <c r="AX1121" s="13"/>
      <c r="AY1121" s="13"/>
      <c r="AZ1121" s="13"/>
      <c r="BA1121" s="13"/>
      <c r="BB1121" s="13"/>
      <c r="BC1121" s="13"/>
      <c r="BD1121" s="13"/>
      <c r="BE1121" s="13"/>
      <c r="BF1121" s="13"/>
      <c r="BG1121" s="13"/>
      <c r="BH1121" s="13"/>
      <c r="BI1121" s="13"/>
      <c r="BJ1121" s="13"/>
      <c r="BK1121" s="13"/>
      <c r="BL1121" s="13"/>
      <c r="BM1121" s="13"/>
      <c r="BN1121" s="13"/>
      <c r="BO1121" s="13"/>
      <c r="BP1121" s="13"/>
      <c r="BQ1121" s="13"/>
      <c r="BR1121" s="13"/>
      <c r="BS1121" s="13"/>
      <c r="BT1121" s="13"/>
      <c r="BU1121" s="13"/>
      <c r="BV1121" s="13"/>
      <c r="BW1121" s="13"/>
      <c r="BX1121" s="13"/>
      <c r="BY1121" s="13"/>
      <c r="BZ1121" s="13"/>
      <c r="CA1121" s="13"/>
      <c r="CB1121" s="13"/>
      <c r="CC1121" s="13"/>
      <c r="CD1121" s="13"/>
      <c r="CE1121" s="13"/>
      <c r="CF1121" s="13"/>
      <c r="CG1121" s="13"/>
      <c r="CH1121" s="13"/>
      <c r="CI1121" s="13"/>
      <c r="CJ1121" s="13"/>
      <c r="CK1121" s="13"/>
      <c r="CL1121" s="13"/>
      <c r="CM1121" s="13"/>
      <c r="CN1121" s="13"/>
      <c r="CO1121" s="13"/>
      <c r="CP1121" s="13"/>
      <c r="CQ1121" s="13"/>
      <c r="CR1121" s="13"/>
      <c r="CS1121" s="13"/>
      <c r="CT1121" s="13"/>
      <c r="CU1121" s="13"/>
      <c r="CV1121" s="13"/>
      <c r="CW1121" s="13"/>
      <c r="CX1121" s="13"/>
      <c r="CY1121" s="13"/>
      <c r="CZ1121" s="13"/>
      <c r="DA1121" s="13"/>
      <c r="DB1121" s="13"/>
      <c r="DC1121" s="13"/>
      <c r="DD1121" s="13"/>
      <c r="DE1121" s="13"/>
      <c r="DF1121" s="13"/>
      <c r="DG1121" s="13"/>
      <c r="DH1121" s="13"/>
      <c r="DI1121" s="13"/>
      <c r="DJ1121" s="13"/>
      <c r="DK1121" s="13"/>
      <c r="DL1121" s="13"/>
      <c r="DM1121" s="13"/>
      <c r="DN1121" s="13"/>
      <c r="DO1121" s="13"/>
      <c r="DP1121" s="13"/>
      <c r="DQ1121" s="13"/>
      <c r="DR1121" s="13"/>
      <c r="DS1121" s="13"/>
      <c r="DT1121" s="13"/>
      <c r="DU1121" s="13"/>
      <c r="DV1121" s="13"/>
      <c r="DW1121" s="13"/>
      <c r="DX1121" s="13"/>
      <c r="DY1121" s="13"/>
      <c r="DZ1121" s="13"/>
      <c r="EA1121" s="13"/>
      <c r="EB1121" s="13"/>
      <c r="EC1121" s="13"/>
      <c r="ED1121" s="13"/>
      <c r="EE1121" s="13"/>
    </row>
    <row r="1122" spans="1:135" ht="15.75" customHeight="1" x14ac:dyDescent="0.25">
      <c r="A1122" s="578" t="s">
        <v>7392</v>
      </c>
      <c r="B1122" s="51">
        <v>18580</v>
      </c>
      <c r="C1122" s="72" t="s">
        <v>7390</v>
      </c>
      <c r="D1122" s="10" t="s">
        <v>581</v>
      </c>
      <c r="E1122" s="11" t="s">
        <v>25</v>
      </c>
      <c r="F1122" s="20" t="s">
        <v>7391</v>
      </c>
      <c r="G1122" s="15" t="s">
        <v>2917</v>
      </c>
      <c r="H1122" s="104" t="s">
        <v>3573</v>
      </c>
      <c r="I1122" s="18" t="s">
        <v>3820</v>
      </c>
      <c r="J1122" s="18" t="s">
        <v>330</v>
      </c>
      <c r="K1122" s="33" t="s">
        <v>7393</v>
      </c>
      <c r="L1122" s="25" t="str">
        <f>"RUTL-"&amp;RIGHT(K1122,8)</f>
        <v>RUTL-S4FM3342</v>
      </c>
      <c r="M1122" s="34" t="s">
        <v>40</v>
      </c>
      <c r="N1122" s="23" t="s">
        <v>54</v>
      </c>
      <c r="O1122" s="23"/>
      <c r="P1122" s="23"/>
      <c r="Q1122" s="113"/>
      <c r="R1122" s="15" t="s">
        <v>56</v>
      </c>
      <c r="S1122" s="37" t="s">
        <v>57</v>
      </c>
      <c r="T1122" s="21" t="s">
        <v>453</v>
      </c>
      <c r="U1122" s="23" t="s">
        <v>6014</v>
      </c>
      <c r="V1122" s="23"/>
      <c r="W1122" s="2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3"/>
      <c r="AX1122" s="13"/>
      <c r="AY1122" s="13"/>
      <c r="AZ1122" s="13"/>
      <c r="BA1122" s="13"/>
      <c r="BB1122" s="13"/>
      <c r="BC1122" s="13"/>
      <c r="BD1122" s="13"/>
      <c r="BE1122" s="13"/>
      <c r="BF1122" s="13"/>
      <c r="BG1122" s="13"/>
      <c r="BH1122" s="13"/>
      <c r="BI1122" s="13"/>
      <c r="BJ1122" s="13"/>
      <c r="BK1122" s="13"/>
      <c r="BL1122" s="13"/>
      <c r="BM1122" s="13"/>
      <c r="BN1122" s="13"/>
      <c r="BO1122" s="13"/>
      <c r="BP1122" s="13"/>
      <c r="BQ1122" s="13"/>
      <c r="BR1122" s="13"/>
      <c r="BS1122" s="13"/>
      <c r="BT1122" s="13"/>
      <c r="BU1122" s="13"/>
      <c r="BV1122" s="13"/>
      <c r="BW1122" s="13"/>
      <c r="BX1122" s="13"/>
      <c r="BY1122" s="13"/>
      <c r="BZ1122" s="13"/>
      <c r="CA1122" s="13"/>
      <c r="CB1122" s="13"/>
      <c r="CC1122" s="13"/>
      <c r="CD1122" s="13"/>
      <c r="CE1122" s="13"/>
      <c r="CF1122" s="13"/>
      <c r="CG1122" s="13"/>
      <c r="CH1122" s="13"/>
      <c r="CI1122" s="13"/>
      <c r="CJ1122" s="13"/>
      <c r="CK1122" s="13"/>
      <c r="CL1122" s="13"/>
      <c r="CM1122" s="13"/>
      <c r="CN1122" s="13"/>
      <c r="CO1122" s="13"/>
      <c r="CP1122" s="13"/>
      <c r="CQ1122" s="13"/>
      <c r="CR1122" s="13"/>
      <c r="CS1122" s="13"/>
      <c r="CT1122" s="13"/>
      <c r="CU1122" s="13"/>
      <c r="CV1122" s="13"/>
      <c r="CW1122" s="13"/>
      <c r="CX1122" s="13"/>
      <c r="CY1122" s="13"/>
      <c r="CZ1122" s="13"/>
      <c r="DA1122" s="13"/>
      <c r="DB1122" s="13"/>
      <c r="DC1122" s="13"/>
      <c r="DD1122" s="13"/>
      <c r="DE1122" s="13"/>
      <c r="DF1122" s="13"/>
      <c r="DG1122" s="13"/>
      <c r="DH1122" s="13"/>
      <c r="DI1122" s="13"/>
      <c r="DJ1122" s="13"/>
      <c r="DK1122" s="13"/>
      <c r="DL1122" s="13"/>
      <c r="DM1122" s="13"/>
      <c r="DN1122" s="13"/>
      <c r="DO1122" s="13"/>
      <c r="DP1122" s="13"/>
      <c r="DQ1122" s="13"/>
      <c r="DR1122" s="13"/>
      <c r="DS1122" s="13"/>
      <c r="DT1122" s="13"/>
      <c r="DU1122" s="13"/>
      <c r="DV1122" s="13"/>
      <c r="DW1122" s="13"/>
      <c r="DX1122" s="13"/>
      <c r="DY1122" s="13"/>
      <c r="DZ1122" s="13"/>
      <c r="EA1122" s="13"/>
      <c r="EB1122" s="13"/>
      <c r="EC1122" s="13"/>
      <c r="ED1122" s="13"/>
      <c r="EE1122" s="13"/>
    </row>
    <row r="1123" spans="1:135" ht="15.75" customHeight="1" x14ac:dyDescent="0.25">
      <c r="A1123" s="578" t="s">
        <v>4850</v>
      </c>
      <c r="B1123" s="8">
        <v>10700</v>
      </c>
      <c r="C1123" s="69" t="s">
        <v>4848</v>
      </c>
      <c r="D1123" s="10" t="s">
        <v>24</v>
      </c>
      <c r="E1123" s="10" t="s">
        <v>25</v>
      </c>
      <c r="F1123" s="29" t="s">
        <v>4849</v>
      </c>
      <c r="G1123" s="15" t="s">
        <v>4580</v>
      </c>
      <c r="H1123" s="104" t="s">
        <v>329</v>
      </c>
      <c r="I1123" s="18" t="s">
        <v>48</v>
      </c>
      <c r="J1123" s="18" t="s">
        <v>330</v>
      </c>
      <c r="K1123" s="23" t="s">
        <v>4851</v>
      </c>
      <c r="L1123" s="25" t="str">
        <f>"RUTL-"&amp;RIGHT(K1123,8)</f>
        <v>RUTL-S4FM3331</v>
      </c>
      <c r="M1123" s="34" t="s">
        <v>40</v>
      </c>
      <c r="N1123" s="23" t="s">
        <v>4852</v>
      </c>
      <c r="O1123" s="23"/>
      <c r="P1123" s="39" t="s">
        <v>90</v>
      </c>
      <c r="Q1123" s="113" t="s">
        <v>4853</v>
      </c>
      <c r="R1123" s="15" t="s">
        <v>56</v>
      </c>
      <c r="S1123" s="37" t="s">
        <v>180</v>
      </c>
      <c r="T1123" s="96" t="s">
        <v>148</v>
      </c>
      <c r="U1123" s="39" t="s">
        <v>2290</v>
      </c>
      <c r="V1123" s="23"/>
      <c r="W1123" s="2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3"/>
      <c r="AX1123" s="13"/>
      <c r="AY1123" s="13"/>
      <c r="AZ1123" s="13"/>
      <c r="BA1123" s="13"/>
      <c r="BB1123" s="13"/>
      <c r="BC1123" s="13"/>
      <c r="BD1123" s="13"/>
      <c r="BE1123" s="13"/>
      <c r="BF1123" s="13"/>
      <c r="BG1123" s="13"/>
      <c r="BH1123" s="13"/>
      <c r="BI1123" s="13"/>
      <c r="BJ1123" s="13"/>
      <c r="BK1123" s="13"/>
      <c r="BL1123" s="13"/>
      <c r="BM1123" s="13"/>
      <c r="BN1123" s="13"/>
      <c r="BO1123" s="13"/>
      <c r="BP1123" s="13"/>
      <c r="BQ1123" s="13"/>
      <c r="BR1123" s="13"/>
      <c r="BS1123" s="13"/>
      <c r="BT1123" s="13"/>
      <c r="BU1123" s="13"/>
      <c r="BV1123" s="13"/>
      <c r="BW1123" s="13"/>
      <c r="BX1123" s="13"/>
      <c r="BY1123" s="13"/>
      <c r="BZ1123" s="13"/>
      <c r="CA1123" s="13"/>
      <c r="CB1123" s="13"/>
      <c r="CC1123" s="13"/>
      <c r="CD1123" s="13"/>
      <c r="CE1123" s="13"/>
      <c r="CF1123" s="13"/>
      <c r="CG1123" s="13"/>
      <c r="CH1123" s="13"/>
      <c r="CI1123" s="13"/>
      <c r="CJ1123" s="13"/>
      <c r="CK1123" s="13"/>
      <c r="CL1123" s="13"/>
      <c r="CM1123" s="13"/>
      <c r="CN1123" s="13"/>
      <c r="CO1123" s="13"/>
      <c r="CP1123" s="13"/>
      <c r="CQ1123" s="13"/>
      <c r="CR1123" s="13"/>
      <c r="CS1123" s="13"/>
      <c r="CT1123" s="13"/>
      <c r="CU1123" s="13"/>
      <c r="CV1123" s="13"/>
      <c r="CW1123" s="13"/>
      <c r="CX1123" s="13"/>
      <c r="CY1123" s="13"/>
      <c r="CZ1123" s="13"/>
      <c r="DA1123" s="13"/>
      <c r="DB1123" s="13"/>
      <c r="DC1123" s="13"/>
      <c r="DD1123" s="13"/>
      <c r="DE1123" s="13"/>
      <c r="DF1123" s="13"/>
      <c r="DG1123" s="13"/>
      <c r="DH1123" s="13"/>
      <c r="DI1123" s="13"/>
      <c r="DJ1123" s="13"/>
      <c r="DK1123" s="13"/>
      <c r="DL1123" s="13"/>
      <c r="DM1123" s="13"/>
      <c r="DN1123" s="13"/>
      <c r="DO1123" s="13"/>
      <c r="DP1123" s="13"/>
      <c r="DQ1123" s="13"/>
      <c r="DR1123" s="13"/>
      <c r="DS1123" s="13"/>
      <c r="DT1123" s="13"/>
      <c r="DU1123" s="13"/>
      <c r="DV1123" s="13"/>
      <c r="DW1123" s="13"/>
      <c r="DX1123" s="13"/>
      <c r="DY1123" s="13"/>
      <c r="DZ1123" s="13"/>
      <c r="EA1123" s="13"/>
      <c r="EB1123" s="13"/>
      <c r="EC1123" s="13"/>
      <c r="ED1123" s="13"/>
      <c r="EE1123" s="13"/>
    </row>
    <row r="1124" spans="1:135" ht="15.75" customHeight="1" x14ac:dyDescent="0.25">
      <c r="A1124" s="578" t="s">
        <v>5053</v>
      </c>
      <c r="B1124" s="16">
        <v>11504</v>
      </c>
      <c r="C1124" s="52" t="s">
        <v>5051</v>
      </c>
      <c r="D1124" s="10" t="s">
        <v>24</v>
      </c>
      <c r="E1124" s="11" t="s">
        <v>25</v>
      </c>
      <c r="F1124" s="20" t="s">
        <v>5052</v>
      </c>
      <c r="G1124" s="15" t="s">
        <v>443</v>
      </c>
      <c r="H1124" s="104" t="s">
        <v>3573</v>
      </c>
      <c r="I1124" s="18" t="s">
        <v>3820</v>
      </c>
      <c r="J1124" s="18" t="s">
        <v>330</v>
      </c>
      <c r="K1124" s="23" t="s">
        <v>5054</v>
      </c>
      <c r="L1124" s="25" t="str">
        <f>"RUTL-"&amp;RIGHT(K1124,8)</f>
        <v>RUTL-S4FM3366</v>
      </c>
      <c r="M1124" s="34" t="s">
        <v>40</v>
      </c>
      <c r="N1124" s="23" t="s">
        <v>43</v>
      </c>
      <c r="O1124" s="23"/>
      <c r="P1124" s="39" t="s">
        <v>90</v>
      </c>
      <c r="Q1124" s="113"/>
      <c r="R1124" s="15" t="s">
        <v>56</v>
      </c>
      <c r="S1124" s="37" t="s">
        <v>57</v>
      </c>
      <c r="T1124" s="108" t="s">
        <v>273</v>
      </c>
      <c r="U1124" s="39" t="s">
        <v>4954</v>
      </c>
      <c r="V1124" s="23"/>
      <c r="W1124" s="2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3"/>
      <c r="AX1124" s="13"/>
      <c r="AY1124" s="13"/>
      <c r="AZ1124" s="13"/>
      <c r="BA1124" s="13"/>
      <c r="BB1124" s="13"/>
      <c r="BC1124" s="13"/>
      <c r="BD1124" s="13"/>
      <c r="BE1124" s="13"/>
      <c r="BF1124" s="13"/>
      <c r="BG1124" s="13"/>
      <c r="BH1124" s="13"/>
      <c r="BI1124" s="13"/>
      <c r="BJ1124" s="13"/>
      <c r="BK1124" s="13"/>
      <c r="BL1124" s="13"/>
      <c r="BM1124" s="13"/>
      <c r="BN1124" s="13"/>
      <c r="BO1124" s="13"/>
      <c r="BP1124" s="13"/>
      <c r="BQ1124" s="13"/>
      <c r="BR1124" s="13"/>
      <c r="BS1124" s="13"/>
      <c r="BT1124" s="13"/>
      <c r="BU1124" s="13"/>
      <c r="BV1124" s="13"/>
      <c r="BW1124" s="13"/>
      <c r="BX1124" s="13"/>
      <c r="BY1124" s="13"/>
      <c r="BZ1124" s="13"/>
      <c r="CA1124" s="13"/>
      <c r="CB1124" s="13"/>
      <c r="CC1124" s="13"/>
      <c r="CD1124" s="13"/>
      <c r="CE1124" s="13"/>
      <c r="CF1124" s="13"/>
      <c r="CG1124" s="13"/>
      <c r="CH1124" s="13"/>
      <c r="CI1124" s="13"/>
      <c r="CJ1124" s="13"/>
      <c r="CK1124" s="13"/>
      <c r="CL1124" s="13"/>
      <c r="CM1124" s="13"/>
      <c r="CN1124" s="13"/>
      <c r="CO1124" s="13"/>
      <c r="CP1124" s="13"/>
      <c r="CQ1124" s="13"/>
      <c r="CR1124" s="13"/>
      <c r="CS1124" s="13"/>
      <c r="CT1124" s="13"/>
      <c r="CU1124" s="13"/>
      <c r="CV1124" s="13"/>
      <c r="CW1124" s="13"/>
      <c r="CX1124" s="13"/>
      <c r="CY1124" s="13"/>
      <c r="CZ1124" s="13"/>
      <c r="DA1124" s="13"/>
      <c r="DB1124" s="13"/>
      <c r="DC1124" s="13"/>
      <c r="DD1124" s="13"/>
      <c r="DE1124" s="13"/>
      <c r="DF1124" s="13"/>
      <c r="DG1124" s="13"/>
      <c r="DH1124" s="13"/>
      <c r="DI1124" s="13"/>
      <c r="DJ1124" s="13"/>
      <c r="DK1124" s="13"/>
      <c r="DL1124" s="13"/>
      <c r="DM1124" s="13"/>
      <c r="DN1124" s="13"/>
      <c r="DO1124" s="13"/>
      <c r="DP1124" s="13"/>
      <c r="DQ1124" s="13"/>
      <c r="DR1124" s="13"/>
      <c r="DS1124" s="13"/>
      <c r="DT1124" s="13"/>
      <c r="DU1124" s="13"/>
      <c r="DV1124" s="13"/>
      <c r="DW1124" s="13"/>
      <c r="DX1124" s="13"/>
      <c r="DY1124" s="13"/>
      <c r="DZ1124" s="13"/>
      <c r="EA1124" s="13"/>
      <c r="EB1124" s="13"/>
      <c r="EC1124" s="13"/>
      <c r="ED1124" s="13"/>
      <c r="EE1124" s="13"/>
    </row>
    <row r="1125" spans="1:135" ht="31.5" x14ac:dyDescent="0.25">
      <c r="A1125" s="578" t="s">
        <v>825</v>
      </c>
      <c r="B1125" s="204"/>
      <c r="C1125" s="99" t="s">
        <v>823</v>
      </c>
      <c r="D1125" s="15" t="s">
        <v>72</v>
      </c>
      <c r="E1125" s="23"/>
      <c r="F1125" s="23"/>
      <c r="G1125" s="23"/>
      <c r="H1125" s="143" t="s">
        <v>824</v>
      </c>
      <c r="I1125" s="18" t="s">
        <v>48</v>
      </c>
      <c r="J1125" s="18" t="s">
        <v>330</v>
      </c>
      <c r="K1125" s="23" t="s">
        <v>826</v>
      </c>
      <c r="L1125" s="21" t="str">
        <f>"RUTL-"&amp;RIGHT(K1125,8)</f>
        <v>RUTL-S4FM3374</v>
      </c>
      <c r="M1125" s="23"/>
      <c r="N1125" s="23"/>
      <c r="O1125" s="23"/>
      <c r="P1125" s="23"/>
      <c r="Q1125" s="23"/>
      <c r="R1125" s="15" t="s">
        <v>235</v>
      </c>
      <c r="S1125" s="23"/>
      <c r="T1125" s="23"/>
      <c r="U1125" s="23" t="s">
        <v>828</v>
      </c>
      <c r="V1125" s="23"/>
      <c r="W1125" s="2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3"/>
      <c r="AY1125" s="13"/>
      <c r="AZ1125" s="13"/>
      <c r="BA1125" s="13"/>
      <c r="BB1125" s="13"/>
      <c r="BC1125" s="13"/>
      <c r="BD1125" s="13"/>
      <c r="BE1125" s="13"/>
      <c r="BF1125" s="13"/>
      <c r="BG1125" s="13"/>
      <c r="BH1125" s="13"/>
      <c r="BI1125" s="13"/>
      <c r="BJ1125" s="13"/>
      <c r="BK1125" s="13"/>
      <c r="BL1125" s="13"/>
      <c r="BM1125" s="13"/>
      <c r="BN1125" s="13"/>
      <c r="BO1125" s="13"/>
      <c r="BP1125" s="13"/>
      <c r="BQ1125" s="13"/>
      <c r="BR1125" s="13"/>
      <c r="BS1125" s="13"/>
      <c r="BT1125" s="13"/>
      <c r="BU1125" s="13"/>
      <c r="BV1125" s="13"/>
      <c r="BW1125" s="13"/>
      <c r="BX1125" s="13"/>
      <c r="BY1125" s="13"/>
      <c r="BZ1125" s="13"/>
      <c r="CA1125" s="13"/>
      <c r="CB1125" s="13"/>
      <c r="CC1125" s="13"/>
      <c r="CD1125" s="13"/>
      <c r="CE1125" s="13"/>
      <c r="CF1125" s="13"/>
      <c r="CG1125" s="13"/>
      <c r="CH1125" s="13"/>
      <c r="CI1125" s="13"/>
      <c r="CJ1125" s="13"/>
      <c r="CK1125" s="13"/>
      <c r="CL1125" s="13"/>
      <c r="CM1125" s="13"/>
      <c r="CN1125" s="13"/>
      <c r="CO1125" s="13"/>
      <c r="CP1125" s="13"/>
      <c r="CQ1125" s="13"/>
      <c r="CR1125" s="13"/>
      <c r="CS1125" s="13"/>
      <c r="CT1125" s="13"/>
      <c r="CU1125" s="13"/>
      <c r="CV1125" s="13"/>
      <c r="CW1125" s="13"/>
      <c r="CX1125" s="13"/>
      <c r="CY1125" s="13"/>
      <c r="CZ1125" s="13"/>
      <c r="DA1125" s="13"/>
      <c r="DB1125" s="13"/>
      <c r="DC1125" s="13"/>
      <c r="DD1125" s="13"/>
      <c r="DE1125" s="13"/>
      <c r="DF1125" s="13"/>
      <c r="DG1125" s="13"/>
      <c r="DH1125" s="13"/>
      <c r="DI1125" s="13"/>
      <c r="DJ1125" s="13"/>
      <c r="DK1125" s="13"/>
      <c r="DL1125" s="13"/>
      <c r="DM1125" s="13"/>
      <c r="DN1125" s="13"/>
      <c r="DO1125" s="13"/>
      <c r="DP1125" s="13"/>
      <c r="DQ1125" s="13"/>
      <c r="DR1125" s="13"/>
      <c r="DS1125" s="13"/>
      <c r="DT1125" s="13"/>
      <c r="DU1125" s="13"/>
      <c r="DV1125" s="13"/>
      <c r="DW1125" s="13"/>
      <c r="DX1125" s="13"/>
      <c r="DY1125" s="13"/>
      <c r="DZ1125" s="13"/>
      <c r="EA1125" s="13"/>
      <c r="EB1125" s="13"/>
      <c r="EC1125" s="13"/>
      <c r="ED1125" s="13"/>
      <c r="EE1125" s="13"/>
    </row>
    <row r="1126" spans="1:135" ht="15.75" customHeight="1" x14ac:dyDescent="0.25">
      <c r="A1126" s="578" t="s">
        <v>977</v>
      </c>
      <c r="B1126" s="23"/>
      <c r="C1126" s="99" t="s">
        <v>974</v>
      </c>
      <c r="D1126" s="15" t="s">
        <v>24</v>
      </c>
      <c r="E1126" s="23"/>
      <c r="F1126" s="23"/>
      <c r="G1126" s="23"/>
      <c r="H1126" s="119" t="s">
        <v>975</v>
      </c>
      <c r="I1126" s="18" t="s">
        <v>350</v>
      </c>
      <c r="J1126" s="18" t="s">
        <v>976</v>
      </c>
      <c r="K1126" s="23" t="s">
        <v>978</v>
      </c>
      <c r="L1126" s="21" t="str">
        <f>"RUTL-"&amp;RIGHT(K1126,8)</f>
        <v>RUTL-S4FT0578</v>
      </c>
      <c r="M1126" s="23"/>
      <c r="N1126" s="23"/>
      <c r="O1126" s="23"/>
      <c r="P1126" s="23"/>
      <c r="Q1126" s="23"/>
      <c r="R1126" s="23"/>
      <c r="S1126" s="23"/>
      <c r="T1126" s="23"/>
      <c r="U1126" s="23"/>
      <c r="V1126" s="23"/>
      <c r="W1126" s="2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3"/>
      <c r="AX1126" s="13"/>
      <c r="AY1126" s="13"/>
      <c r="AZ1126" s="13"/>
      <c r="BA1126" s="13"/>
      <c r="BB1126" s="13"/>
      <c r="BC1126" s="13"/>
      <c r="BD1126" s="13"/>
      <c r="BE1126" s="13"/>
      <c r="BF1126" s="13"/>
      <c r="BG1126" s="13"/>
      <c r="BH1126" s="13"/>
      <c r="BI1126" s="13"/>
      <c r="BJ1126" s="13"/>
      <c r="BK1126" s="13"/>
      <c r="BL1126" s="13"/>
      <c r="BM1126" s="13"/>
      <c r="BN1126" s="13"/>
      <c r="BO1126" s="13"/>
      <c r="BP1126" s="13"/>
      <c r="BQ1126" s="13"/>
      <c r="BR1126" s="13"/>
      <c r="BS1126" s="13"/>
      <c r="BT1126" s="13"/>
      <c r="BU1126" s="13"/>
      <c r="BV1126" s="13"/>
      <c r="BW1126" s="13"/>
      <c r="BX1126" s="13"/>
      <c r="BY1126" s="13"/>
      <c r="BZ1126" s="13"/>
      <c r="CA1126" s="13"/>
      <c r="CB1126" s="13"/>
      <c r="CC1126" s="13"/>
      <c r="CD1126" s="13"/>
      <c r="CE1126" s="13"/>
      <c r="CF1126" s="13"/>
      <c r="CG1126" s="13"/>
      <c r="CH1126" s="13"/>
      <c r="CI1126" s="13"/>
      <c r="CJ1126" s="13"/>
      <c r="CK1126" s="13"/>
      <c r="CL1126" s="13"/>
      <c r="CM1126" s="13"/>
      <c r="CN1126" s="13"/>
      <c r="CO1126" s="13"/>
      <c r="CP1126" s="13"/>
      <c r="CQ1126" s="13"/>
      <c r="CR1126" s="13"/>
      <c r="CS1126" s="13"/>
      <c r="CT1126" s="13"/>
      <c r="CU1126" s="13"/>
      <c r="CV1126" s="13"/>
      <c r="CW1126" s="13"/>
      <c r="CX1126" s="13"/>
      <c r="CY1126" s="13"/>
      <c r="CZ1126" s="13"/>
      <c r="DA1126" s="13"/>
      <c r="DB1126" s="13"/>
      <c r="DC1126" s="13"/>
      <c r="DD1126" s="13"/>
      <c r="DE1126" s="13"/>
      <c r="DF1126" s="13"/>
      <c r="DG1126" s="13"/>
      <c r="DH1126" s="13"/>
      <c r="DI1126" s="13"/>
      <c r="DJ1126" s="13"/>
      <c r="DK1126" s="13"/>
      <c r="DL1126" s="13"/>
      <c r="DM1126" s="13"/>
      <c r="DN1126" s="13"/>
      <c r="DO1126" s="13"/>
      <c r="DP1126" s="13"/>
      <c r="DQ1126" s="13"/>
      <c r="DR1126" s="13"/>
      <c r="DS1126" s="13"/>
      <c r="DT1126" s="13"/>
      <c r="DU1126" s="13"/>
      <c r="DV1126" s="13"/>
      <c r="DW1126" s="13"/>
      <c r="DX1126" s="13"/>
      <c r="DY1126" s="13"/>
      <c r="DZ1126" s="13"/>
      <c r="EA1126" s="13"/>
      <c r="EB1126" s="13"/>
      <c r="EC1126" s="13"/>
      <c r="ED1126" s="13"/>
      <c r="EE1126" s="13"/>
    </row>
    <row r="1127" spans="1:135" ht="15.75" customHeight="1" x14ac:dyDescent="0.25">
      <c r="A1127" s="578" t="s">
        <v>1000</v>
      </c>
      <c r="B1127" s="23"/>
      <c r="C1127" s="99" t="s">
        <v>997</v>
      </c>
      <c r="D1127" s="15" t="s">
        <v>24</v>
      </c>
      <c r="E1127" s="23"/>
      <c r="F1127" s="23"/>
      <c r="G1127" s="23"/>
      <c r="H1127" s="119" t="s">
        <v>998</v>
      </c>
      <c r="I1127" s="18" t="s">
        <v>135</v>
      </c>
      <c r="J1127" s="18" t="s">
        <v>999</v>
      </c>
      <c r="K1127" s="23" t="s">
        <v>1001</v>
      </c>
      <c r="L1127" s="21" t="str">
        <f>"RUTL-"&amp;RIGHT(K1127,8)</f>
        <v>RUTL-PF10LM6F</v>
      </c>
      <c r="M1127" s="23"/>
      <c r="N1127" s="23"/>
      <c r="O1127" s="23"/>
      <c r="P1127" s="23"/>
      <c r="Q1127" s="23"/>
      <c r="R1127" s="15" t="s">
        <v>56</v>
      </c>
      <c r="S1127" s="37" t="s">
        <v>57</v>
      </c>
      <c r="T1127" s="23" t="s">
        <v>96</v>
      </c>
      <c r="U1127" s="47" t="s">
        <v>1002</v>
      </c>
      <c r="V1127" s="23"/>
      <c r="W1127" s="2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3"/>
      <c r="AX1127" s="13"/>
      <c r="AY1127" s="13"/>
      <c r="AZ1127" s="13"/>
      <c r="BA1127" s="13"/>
      <c r="BB1127" s="13"/>
      <c r="BC1127" s="13"/>
      <c r="BD1127" s="13"/>
      <c r="BE1127" s="13"/>
      <c r="BF1127" s="13"/>
      <c r="BG1127" s="13"/>
      <c r="BH1127" s="13"/>
      <c r="BI1127" s="13"/>
      <c r="BJ1127" s="13"/>
      <c r="BK1127" s="13"/>
      <c r="BL1127" s="13"/>
      <c r="BM1127" s="13"/>
      <c r="BN1127" s="13"/>
      <c r="BO1127" s="13"/>
      <c r="BP1127" s="13"/>
      <c r="BQ1127" s="13"/>
      <c r="BR1127" s="13"/>
      <c r="BS1127" s="13"/>
      <c r="BT1127" s="13"/>
      <c r="BU1127" s="13"/>
      <c r="BV1127" s="13"/>
      <c r="BW1127" s="13"/>
      <c r="BX1127" s="13"/>
      <c r="BY1127" s="13"/>
      <c r="BZ1127" s="13"/>
      <c r="CA1127" s="13"/>
      <c r="CB1127" s="13"/>
      <c r="CC1127" s="13"/>
      <c r="CD1127" s="13"/>
      <c r="CE1127" s="13"/>
      <c r="CF1127" s="13"/>
      <c r="CG1127" s="13"/>
      <c r="CH1127" s="13"/>
      <c r="CI1127" s="13"/>
      <c r="CJ1127" s="13"/>
      <c r="CK1127" s="13"/>
      <c r="CL1127" s="13"/>
      <c r="CM1127" s="13"/>
      <c r="CN1127" s="13"/>
      <c r="CO1127" s="13"/>
      <c r="CP1127" s="13"/>
      <c r="CQ1127" s="13"/>
      <c r="CR1127" s="13"/>
      <c r="CS1127" s="13"/>
      <c r="CT1127" s="13"/>
      <c r="CU1127" s="13"/>
      <c r="CV1127" s="13"/>
      <c r="CW1127" s="13"/>
      <c r="CX1127" s="13"/>
      <c r="CY1127" s="13"/>
      <c r="CZ1127" s="13"/>
      <c r="DA1127" s="13"/>
      <c r="DB1127" s="13"/>
      <c r="DC1127" s="13"/>
      <c r="DD1127" s="13"/>
      <c r="DE1127" s="13"/>
      <c r="DF1127" s="13"/>
      <c r="DG1127" s="13"/>
      <c r="DH1127" s="13"/>
      <c r="DI1127" s="13"/>
      <c r="DJ1127" s="13"/>
      <c r="DK1127" s="13"/>
      <c r="DL1127" s="13"/>
      <c r="DM1127" s="13"/>
      <c r="DN1127" s="13"/>
      <c r="DO1127" s="13"/>
      <c r="DP1127" s="13"/>
      <c r="DQ1127" s="13"/>
      <c r="DR1127" s="13"/>
      <c r="DS1127" s="13"/>
      <c r="DT1127" s="13"/>
      <c r="DU1127" s="13"/>
      <c r="DV1127" s="13"/>
      <c r="DW1127" s="13"/>
      <c r="DX1127" s="13"/>
      <c r="DY1127" s="13"/>
      <c r="DZ1127" s="13"/>
      <c r="EA1127" s="13"/>
      <c r="EB1127" s="13"/>
      <c r="EC1127" s="13"/>
      <c r="ED1127" s="13"/>
      <c r="EE1127" s="13"/>
    </row>
    <row r="1128" spans="1:135" ht="15.75" customHeight="1" x14ac:dyDescent="0.25">
      <c r="A1128" s="578" t="s">
        <v>3125</v>
      </c>
      <c r="B1128" s="8">
        <v>2814</v>
      </c>
      <c r="C1128" s="72" t="s">
        <v>3120</v>
      </c>
      <c r="D1128" s="10" t="s">
        <v>3121</v>
      </c>
      <c r="E1128" s="11" t="s">
        <v>25</v>
      </c>
      <c r="F1128" s="20" t="s">
        <v>3122</v>
      </c>
      <c r="G1128" s="15" t="s">
        <v>3123</v>
      </c>
      <c r="H1128" s="119" t="s">
        <v>1071</v>
      </c>
      <c r="I1128" s="18" t="s">
        <v>3124</v>
      </c>
      <c r="J1128" s="18" t="s">
        <v>1046</v>
      </c>
      <c r="K1128" s="33" t="s">
        <v>3126</v>
      </c>
      <c r="L1128" s="25" t="str">
        <f>"RUTL-"&amp;RIGHT(K1128,8)</f>
        <v>RUTL-S4HN3482</v>
      </c>
      <c r="M1128" s="34" t="s">
        <v>40</v>
      </c>
      <c r="N1128" s="15" t="s">
        <v>319</v>
      </c>
      <c r="O1128" s="23"/>
      <c r="P1128" s="23"/>
      <c r="Q1128" s="63" t="s">
        <v>3127</v>
      </c>
      <c r="R1128" s="15" t="s">
        <v>235</v>
      </c>
      <c r="S1128" s="23"/>
      <c r="T1128" s="23"/>
      <c r="U1128" s="39" t="s">
        <v>3128</v>
      </c>
      <c r="V1128" s="23"/>
      <c r="W1128" s="2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3"/>
      <c r="AX1128" s="13"/>
      <c r="AY1128" s="13"/>
      <c r="AZ1128" s="13"/>
      <c r="BA1128" s="13"/>
      <c r="BB1128" s="13"/>
      <c r="BC1128" s="13"/>
      <c r="BD1128" s="13"/>
      <c r="BE1128" s="13"/>
      <c r="BF1128" s="13"/>
      <c r="BG1128" s="13"/>
      <c r="BH1128" s="13"/>
      <c r="BI1128" s="13"/>
      <c r="BJ1128" s="13"/>
      <c r="BK1128" s="13"/>
      <c r="BL1128" s="13"/>
      <c r="BM1128" s="13"/>
      <c r="BN1128" s="13"/>
      <c r="BO1128" s="13"/>
      <c r="BP1128" s="13"/>
      <c r="BQ1128" s="13"/>
      <c r="BR1128" s="13"/>
      <c r="BS1128" s="13"/>
      <c r="BT1128" s="13"/>
      <c r="BU1128" s="13"/>
      <c r="BV1128" s="13"/>
      <c r="BW1128" s="13"/>
      <c r="BX1128" s="13"/>
      <c r="BY1128" s="13"/>
      <c r="BZ1128" s="13"/>
      <c r="CA1128" s="13"/>
      <c r="CB1128" s="13"/>
      <c r="CC1128" s="13"/>
      <c r="CD1128" s="13"/>
      <c r="CE1128" s="13"/>
      <c r="CF1128" s="13"/>
      <c r="CG1128" s="13"/>
      <c r="CH1128" s="13"/>
      <c r="CI1128" s="13"/>
      <c r="CJ1128" s="13"/>
      <c r="CK1128" s="13"/>
      <c r="CL1128" s="13"/>
      <c r="CM1128" s="13"/>
      <c r="CN1128" s="13"/>
      <c r="CO1128" s="13"/>
      <c r="CP1128" s="13"/>
      <c r="CQ1128" s="13"/>
      <c r="CR1128" s="13"/>
      <c r="CS1128" s="13"/>
      <c r="CT1128" s="13"/>
      <c r="CU1128" s="13"/>
      <c r="CV1128" s="13"/>
      <c r="CW1128" s="13"/>
      <c r="CX1128" s="13"/>
      <c r="CY1128" s="13"/>
      <c r="CZ1128" s="13"/>
      <c r="DA1128" s="13"/>
      <c r="DB1128" s="13"/>
      <c r="DC1128" s="13"/>
      <c r="DD1128" s="13"/>
      <c r="DE1128" s="13"/>
      <c r="DF1128" s="13"/>
      <c r="DG1128" s="13"/>
      <c r="DH1128" s="13"/>
      <c r="DI1128" s="13"/>
      <c r="DJ1128" s="13"/>
      <c r="DK1128" s="13"/>
      <c r="DL1128" s="13"/>
      <c r="DM1128" s="13"/>
      <c r="DN1128" s="13"/>
      <c r="DO1128" s="13"/>
      <c r="DP1128" s="13"/>
      <c r="DQ1128" s="13"/>
      <c r="DR1128" s="13"/>
      <c r="DS1128" s="13"/>
      <c r="DT1128" s="13"/>
      <c r="DU1128" s="13"/>
      <c r="DV1128" s="13"/>
      <c r="DW1128" s="13"/>
      <c r="DX1128" s="13"/>
      <c r="DY1128" s="13"/>
      <c r="DZ1128" s="13"/>
      <c r="EA1128" s="13"/>
      <c r="EB1128" s="13"/>
      <c r="EC1128" s="13"/>
      <c r="ED1128" s="13"/>
      <c r="EE1128" s="13"/>
    </row>
    <row r="1129" spans="1:135" ht="15.75" customHeight="1" x14ac:dyDescent="0.25">
      <c r="A1129" s="578" t="s">
        <v>734</v>
      </c>
      <c r="B1129" s="177" t="s">
        <v>720</v>
      </c>
      <c r="C1129" s="72" t="s">
        <v>722</v>
      </c>
      <c r="D1129" s="10" t="s">
        <v>24</v>
      </c>
      <c r="E1129" s="122" t="s">
        <v>25</v>
      </c>
      <c r="F1129" s="20" t="s">
        <v>724</v>
      </c>
      <c r="G1129" s="15" t="s">
        <v>725</v>
      </c>
      <c r="H1129" s="119" t="s">
        <v>728</v>
      </c>
      <c r="I1129" s="18" t="s">
        <v>731</v>
      </c>
      <c r="J1129" s="18" t="s">
        <v>733</v>
      </c>
      <c r="K1129" s="23" t="s">
        <v>736</v>
      </c>
      <c r="L1129" s="127" t="str">
        <f>"RUTL-"&amp;RIGHT(K1129,8)</f>
        <v>RUTL-S4HN3478</v>
      </c>
      <c r="M1129" s="129" t="s">
        <v>40</v>
      </c>
      <c r="N1129" s="185" t="s">
        <v>410</v>
      </c>
      <c r="O1129" s="124"/>
      <c r="P1129" s="39" t="s">
        <v>90</v>
      </c>
      <c r="Q1129" s="124"/>
      <c r="R1129" s="121" t="s">
        <v>56</v>
      </c>
      <c r="S1129" s="151" t="s">
        <v>57</v>
      </c>
      <c r="T1129" s="137" t="s">
        <v>148</v>
      </c>
      <c r="U1129" s="187" t="s">
        <v>743</v>
      </c>
      <c r="V1129" s="124"/>
      <c r="W1129" s="124"/>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3"/>
      <c r="AX1129" s="13"/>
      <c r="AY1129" s="13"/>
      <c r="AZ1129" s="13"/>
      <c r="BA1129" s="13"/>
      <c r="BB1129" s="13"/>
      <c r="BC1129" s="13"/>
      <c r="BD1129" s="13"/>
      <c r="BE1129" s="13"/>
      <c r="BF1129" s="13"/>
      <c r="BG1129" s="13"/>
      <c r="BH1129" s="13"/>
      <c r="BI1129" s="13"/>
      <c r="BJ1129" s="13"/>
      <c r="BK1129" s="13"/>
      <c r="BL1129" s="13"/>
      <c r="BM1129" s="13"/>
      <c r="BN1129" s="13"/>
      <c r="BO1129" s="13"/>
      <c r="BP1129" s="13"/>
      <c r="BQ1129" s="13"/>
      <c r="BR1129" s="13"/>
      <c r="BS1129" s="13"/>
      <c r="BT1129" s="13"/>
      <c r="BU1129" s="13"/>
      <c r="BV1129" s="13"/>
      <c r="BW1129" s="13"/>
      <c r="BX1129" s="13"/>
      <c r="BY1129" s="13"/>
      <c r="BZ1129" s="13"/>
      <c r="CA1129" s="13"/>
      <c r="CB1129" s="13"/>
      <c r="CC1129" s="13"/>
      <c r="CD1129" s="13"/>
      <c r="CE1129" s="13"/>
      <c r="CF1129" s="13"/>
      <c r="CG1129" s="13"/>
      <c r="CH1129" s="13"/>
      <c r="CI1129" s="13"/>
      <c r="CJ1129" s="13"/>
      <c r="CK1129" s="13"/>
      <c r="CL1129" s="13"/>
      <c r="CM1129" s="13"/>
      <c r="CN1129" s="13"/>
      <c r="CO1129" s="13"/>
      <c r="CP1129" s="13"/>
      <c r="CQ1129" s="13"/>
      <c r="CR1129" s="13"/>
      <c r="CS1129" s="13"/>
      <c r="CT1129" s="13"/>
      <c r="CU1129" s="13"/>
      <c r="CV1129" s="13"/>
      <c r="CW1129" s="13"/>
      <c r="CX1129" s="13"/>
      <c r="CY1129" s="13"/>
      <c r="CZ1129" s="13"/>
      <c r="DA1129" s="13"/>
      <c r="DB1129" s="13"/>
      <c r="DC1129" s="13"/>
      <c r="DD1129" s="13"/>
      <c r="DE1129" s="13"/>
      <c r="DF1129" s="13"/>
      <c r="DG1129" s="13"/>
      <c r="DH1129" s="13"/>
      <c r="DI1129" s="13"/>
      <c r="DJ1129" s="13"/>
      <c r="DK1129" s="13"/>
      <c r="DL1129" s="13"/>
      <c r="DM1129" s="13"/>
      <c r="DN1129" s="13"/>
      <c r="DO1129" s="13"/>
      <c r="DP1129" s="13"/>
      <c r="DQ1129" s="13"/>
      <c r="DR1129" s="13"/>
      <c r="DS1129" s="13"/>
      <c r="DT1129" s="13"/>
      <c r="DU1129" s="13"/>
      <c r="DV1129" s="13"/>
      <c r="DW1129" s="13"/>
      <c r="DX1129" s="13"/>
      <c r="DY1129" s="13"/>
      <c r="DZ1129" s="13"/>
      <c r="EA1129" s="13"/>
      <c r="EB1129" s="13"/>
      <c r="EC1129" s="13"/>
      <c r="ED1129" s="13"/>
      <c r="EE1129" s="13"/>
    </row>
    <row r="1130" spans="1:135" ht="15.75" customHeight="1" x14ac:dyDescent="0.25">
      <c r="A1130" s="578" t="s">
        <v>1683</v>
      </c>
      <c r="B1130" s="271" t="s">
        <v>1674</v>
      </c>
      <c r="C1130" s="72" t="s">
        <v>1677</v>
      </c>
      <c r="D1130" s="10" t="s">
        <v>1678</v>
      </c>
      <c r="E1130" s="122" t="s">
        <v>25</v>
      </c>
      <c r="F1130" s="20" t="s">
        <v>1680</v>
      </c>
      <c r="G1130" s="15" t="s">
        <v>1681</v>
      </c>
      <c r="H1130" s="17" t="s">
        <v>1154</v>
      </c>
      <c r="I1130" s="18" t="s">
        <v>731</v>
      </c>
      <c r="J1130" s="18" t="s">
        <v>733</v>
      </c>
      <c r="K1130" s="124" t="s">
        <v>1686</v>
      </c>
      <c r="L1130" s="127" t="str">
        <f>"RUTL-"&amp;RIGHT(K1130,8)</f>
        <v>RUTL-S4HN3462</v>
      </c>
      <c r="M1130" s="129" t="s">
        <v>40</v>
      </c>
      <c r="N1130" s="14"/>
      <c r="O1130" s="14"/>
      <c r="P1130" s="14"/>
      <c r="Q1130" s="14"/>
      <c r="R1130" s="121" t="s">
        <v>56</v>
      </c>
      <c r="S1130" s="14" t="s">
        <v>1689</v>
      </c>
      <c r="T1130" s="153" t="s">
        <v>1690</v>
      </c>
      <c r="U1130" s="138" t="s">
        <v>1691</v>
      </c>
      <c r="V1130" s="14"/>
      <c r="W1130" s="14"/>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3"/>
      <c r="AX1130" s="13"/>
      <c r="AY1130" s="13"/>
      <c r="AZ1130" s="13"/>
      <c r="BA1130" s="13"/>
      <c r="BB1130" s="13"/>
      <c r="BC1130" s="13"/>
      <c r="BD1130" s="13"/>
      <c r="BE1130" s="13"/>
      <c r="BF1130" s="13"/>
      <c r="BG1130" s="13"/>
      <c r="BH1130" s="13"/>
      <c r="BI1130" s="13"/>
      <c r="BJ1130" s="13"/>
      <c r="BK1130" s="13"/>
      <c r="BL1130" s="13"/>
      <c r="BM1130" s="13"/>
      <c r="BN1130" s="13"/>
      <c r="BO1130" s="13"/>
      <c r="BP1130" s="13"/>
      <c r="BQ1130" s="13"/>
      <c r="BR1130" s="13"/>
      <c r="BS1130" s="13"/>
      <c r="BT1130" s="13"/>
      <c r="BU1130" s="13"/>
      <c r="BV1130" s="13"/>
      <c r="BW1130" s="13"/>
      <c r="BX1130" s="13"/>
      <c r="BY1130" s="13"/>
      <c r="BZ1130" s="13"/>
      <c r="CA1130" s="13"/>
      <c r="CB1130" s="13"/>
      <c r="CC1130" s="13"/>
      <c r="CD1130" s="13"/>
      <c r="CE1130" s="13"/>
      <c r="CF1130" s="13"/>
      <c r="CG1130" s="13"/>
      <c r="CH1130" s="13"/>
      <c r="CI1130" s="13"/>
      <c r="CJ1130" s="13"/>
      <c r="CK1130" s="13"/>
      <c r="CL1130" s="13"/>
      <c r="CM1130" s="13"/>
      <c r="CN1130" s="13"/>
      <c r="CO1130" s="13"/>
      <c r="CP1130" s="13"/>
      <c r="CQ1130" s="13"/>
      <c r="CR1130" s="13"/>
      <c r="CS1130" s="13"/>
      <c r="CT1130" s="13"/>
      <c r="CU1130" s="13"/>
      <c r="CV1130" s="13"/>
      <c r="CW1130" s="13"/>
      <c r="CX1130" s="13"/>
      <c r="CY1130" s="13"/>
      <c r="CZ1130" s="13"/>
      <c r="DA1130" s="13"/>
      <c r="DB1130" s="13"/>
      <c r="DC1130" s="13"/>
      <c r="DD1130" s="13"/>
      <c r="DE1130" s="13"/>
      <c r="DF1130" s="13"/>
      <c r="DG1130" s="13"/>
      <c r="DH1130" s="13"/>
      <c r="DI1130" s="13"/>
      <c r="DJ1130" s="13"/>
      <c r="DK1130" s="13"/>
      <c r="DL1130" s="13"/>
      <c r="DM1130" s="13"/>
      <c r="DN1130" s="13"/>
      <c r="DO1130" s="13"/>
      <c r="DP1130" s="13"/>
      <c r="DQ1130" s="13"/>
      <c r="DR1130" s="13"/>
      <c r="DS1130" s="13"/>
      <c r="DT1130" s="13"/>
      <c r="DU1130" s="13"/>
      <c r="DV1130" s="13"/>
      <c r="DW1130" s="13"/>
      <c r="DX1130" s="13"/>
      <c r="DY1130" s="13"/>
      <c r="DZ1130" s="13"/>
      <c r="EA1130" s="13"/>
      <c r="EB1130" s="13"/>
      <c r="EC1130" s="13"/>
      <c r="ED1130" s="13"/>
      <c r="EE1130" s="13"/>
    </row>
    <row r="1131" spans="1:135" ht="15.75" customHeight="1" x14ac:dyDescent="0.25">
      <c r="A1131" s="578" t="s">
        <v>548</v>
      </c>
      <c r="B1131" s="120" t="s">
        <v>539</v>
      </c>
      <c r="C1131" s="52" t="s">
        <v>541</v>
      </c>
      <c r="D1131" s="10" t="s">
        <v>542</v>
      </c>
      <c r="E1131" s="122" t="s">
        <v>25</v>
      </c>
      <c r="F1131" s="20" t="s">
        <v>543</v>
      </c>
      <c r="G1131" s="15" t="s">
        <v>544</v>
      </c>
      <c r="H1131" s="104" t="s">
        <v>349</v>
      </c>
      <c r="I1131" s="18" t="s">
        <v>545</v>
      </c>
      <c r="J1131" s="18" t="s">
        <v>546</v>
      </c>
      <c r="K1131" s="23" t="s">
        <v>559</v>
      </c>
      <c r="L1131" s="127" t="str">
        <f>"RUTL-"&amp;RIGHT(K1131,8)</f>
        <v>RUTL-S4HN3450</v>
      </c>
      <c r="M1131" s="129" t="s">
        <v>40</v>
      </c>
      <c r="N1131" s="14" t="s">
        <v>43</v>
      </c>
      <c r="O1131" s="124"/>
      <c r="P1131" s="39" t="s">
        <v>90</v>
      </c>
      <c r="Q1131" s="124"/>
      <c r="R1131" s="121" t="s">
        <v>56</v>
      </c>
      <c r="S1131" s="133" t="s">
        <v>180</v>
      </c>
      <c r="T1131" s="137" t="s">
        <v>560</v>
      </c>
      <c r="U1131" s="138" t="s">
        <v>567</v>
      </c>
      <c r="V1131" s="169"/>
      <c r="W1131" s="124"/>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3"/>
      <c r="AY1131" s="13"/>
      <c r="AZ1131" s="13"/>
      <c r="BA1131" s="13"/>
      <c r="BB1131" s="13"/>
      <c r="BC1131" s="13"/>
      <c r="BD1131" s="13"/>
      <c r="BE1131" s="13"/>
      <c r="BF1131" s="13"/>
      <c r="BG1131" s="13"/>
      <c r="BH1131" s="13"/>
      <c r="BI1131" s="13"/>
      <c r="BJ1131" s="13"/>
      <c r="BK1131" s="13"/>
      <c r="BL1131" s="13"/>
      <c r="BM1131" s="13"/>
      <c r="BN1131" s="13"/>
      <c r="BO1131" s="13"/>
      <c r="BP1131" s="13"/>
      <c r="BQ1131" s="13"/>
      <c r="BR1131" s="13"/>
      <c r="BS1131" s="13"/>
      <c r="BT1131" s="13"/>
      <c r="BU1131" s="13"/>
      <c r="BV1131" s="13"/>
      <c r="BW1131" s="13"/>
      <c r="BX1131" s="13"/>
      <c r="BY1131" s="13"/>
      <c r="BZ1131" s="13"/>
      <c r="CA1131" s="13"/>
      <c r="CB1131" s="13"/>
      <c r="CC1131" s="13"/>
      <c r="CD1131" s="13"/>
      <c r="CE1131" s="13"/>
      <c r="CF1131" s="13"/>
      <c r="CG1131" s="13"/>
      <c r="CH1131" s="13"/>
      <c r="CI1131" s="13"/>
      <c r="CJ1131" s="13"/>
      <c r="CK1131" s="13"/>
      <c r="CL1131" s="13"/>
      <c r="CM1131" s="13"/>
      <c r="CN1131" s="13"/>
      <c r="CO1131" s="13"/>
      <c r="CP1131" s="13"/>
      <c r="CQ1131" s="13"/>
      <c r="CR1131" s="13"/>
      <c r="CS1131" s="13"/>
      <c r="CT1131" s="13"/>
      <c r="CU1131" s="13"/>
      <c r="CV1131" s="13"/>
      <c r="CW1131" s="13"/>
      <c r="CX1131" s="13"/>
      <c r="CY1131" s="13"/>
      <c r="CZ1131" s="13"/>
      <c r="DA1131" s="13"/>
      <c r="DB1131" s="13"/>
      <c r="DC1131" s="13"/>
      <c r="DD1131" s="13"/>
      <c r="DE1131" s="13"/>
      <c r="DF1131" s="13"/>
      <c r="DG1131" s="13"/>
      <c r="DH1131" s="13"/>
      <c r="DI1131" s="13"/>
      <c r="DJ1131" s="13"/>
      <c r="DK1131" s="13"/>
      <c r="DL1131" s="13"/>
      <c r="DM1131" s="13"/>
      <c r="DN1131" s="13"/>
      <c r="DO1131" s="13"/>
      <c r="DP1131" s="13"/>
      <c r="DQ1131" s="13"/>
      <c r="DR1131" s="13"/>
      <c r="DS1131" s="13"/>
      <c r="DT1131" s="13"/>
      <c r="DU1131" s="13"/>
      <c r="DV1131" s="13"/>
      <c r="DW1131" s="13"/>
      <c r="DX1131" s="13"/>
      <c r="DY1131" s="13"/>
      <c r="DZ1131" s="13"/>
      <c r="EA1131" s="13"/>
      <c r="EB1131" s="13"/>
      <c r="EC1131" s="13"/>
      <c r="ED1131" s="13"/>
      <c r="EE1131" s="13"/>
    </row>
    <row r="1132" spans="1:135" ht="15.75" customHeight="1" x14ac:dyDescent="0.25">
      <c r="A1132" s="578" t="s">
        <v>2744</v>
      </c>
      <c r="B1132" s="120" t="s">
        <v>2739</v>
      </c>
      <c r="C1132" s="72" t="s">
        <v>2740</v>
      </c>
      <c r="D1132" s="10" t="s">
        <v>24</v>
      </c>
      <c r="E1132" s="122" t="s">
        <v>25</v>
      </c>
      <c r="F1132" s="20" t="s">
        <v>2741</v>
      </c>
      <c r="G1132" s="15" t="s">
        <v>2742</v>
      </c>
      <c r="H1132" s="147" t="s">
        <v>1109</v>
      </c>
      <c r="I1132" s="18" t="s">
        <v>2743</v>
      </c>
      <c r="J1132" s="18" t="s">
        <v>1046</v>
      </c>
      <c r="K1132" s="124" t="s">
        <v>2745</v>
      </c>
      <c r="L1132" s="127" t="str">
        <f>"RUTL-"&amp;RIGHT(K1132,8)</f>
        <v>RUTL-S4HN3484</v>
      </c>
      <c r="M1132" s="129" t="s">
        <v>40</v>
      </c>
      <c r="N1132" s="14"/>
      <c r="O1132" s="124"/>
      <c r="P1132" s="124"/>
      <c r="Q1132" s="124"/>
      <c r="R1132" s="121" t="s">
        <v>56</v>
      </c>
      <c r="S1132" s="151" t="s">
        <v>57</v>
      </c>
      <c r="T1132" s="101" t="s">
        <v>96</v>
      </c>
      <c r="U1132" s="47" t="s">
        <v>2746</v>
      </c>
      <c r="V1132" s="124"/>
      <c r="W1132" s="124"/>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3"/>
      <c r="AX1132" s="13"/>
      <c r="AY1132" s="13"/>
      <c r="AZ1132" s="13"/>
      <c r="BA1132" s="13"/>
      <c r="BB1132" s="13"/>
      <c r="BC1132" s="13"/>
      <c r="BD1132" s="13"/>
      <c r="BE1132" s="13"/>
      <c r="BF1132" s="13"/>
      <c r="BG1132" s="13"/>
      <c r="BH1132" s="13"/>
      <c r="BI1132" s="13"/>
      <c r="BJ1132" s="13"/>
      <c r="BK1132" s="13"/>
      <c r="BL1132" s="13"/>
      <c r="BM1132" s="13"/>
      <c r="BN1132" s="13"/>
      <c r="BO1132" s="13"/>
      <c r="BP1132" s="13"/>
      <c r="BQ1132" s="13"/>
      <c r="BR1132" s="13"/>
      <c r="BS1132" s="13"/>
      <c r="BT1132" s="13"/>
      <c r="BU1132" s="13"/>
      <c r="BV1132" s="13"/>
      <c r="BW1132" s="13"/>
      <c r="BX1132" s="13"/>
      <c r="BY1132" s="13"/>
      <c r="BZ1132" s="13"/>
      <c r="CA1132" s="13"/>
      <c r="CB1132" s="13"/>
      <c r="CC1132" s="13"/>
      <c r="CD1132" s="13"/>
      <c r="CE1132" s="13"/>
      <c r="CF1132" s="13"/>
      <c r="CG1132" s="13"/>
      <c r="CH1132" s="13"/>
      <c r="CI1132" s="13"/>
      <c r="CJ1132" s="13"/>
      <c r="CK1132" s="13"/>
      <c r="CL1132" s="13"/>
      <c r="CM1132" s="13"/>
      <c r="CN1132" s="13"/>
      <c r="CO1132" s="13"/>
      <c r="CP1132" s="13"/>
      <c r="CQ1132" s="13"/>
      <c r="CR1132" s="13"/>
      <c r="CS1132" s="13"/>
      <c r="CT1132" s="13"/>
      <c r="CU1132" s="13"/>
      <c r="CV1132" s="13"/>
      <c r="CW1132" s="13"/>
      <c r="CX1132" s="13"/>
      <c r="CY1132" s="13"/>
      <c r="CZ1132" s="13"/>
      <c r="DA1132" s="13"/>
      <c r="DB1132" s="13"/>
      <c r="DC1132" s="13"/>
      <c r="DD1132" s="13"/>
      <c r="DE1132" s="13"/>
      <c r="DF1132" s="13"/>
      <c r="DG1132" s="13"/>
      <c r="DH1132" s="13"/>
      <c r="DI1132" s="13"/>
      <c r="DJ1132" s="13"/>
      <c r="DK1132" s="13"/>
      <c r="DL1132" s="13"/>
      <c r="DM1132" s="13"/>
      <c r="DN1132" s="13"/>
      <c r="DO1132" s="13"/>
      <c r="DP1132" s="13"/>
      <c r="DQ1132" s="13"/>
      <c r="DR1132" s="13"/>
      <c r="DS1132" s="13"/>
      <c r="DT1132" s="13"/>
      <c r="DU1132" s="13"/>
      <c r="DV1132" s="13"/>
      <c r="DW1132" s="13"/>
      <c r="DX1132" s="13"/>
      <c r="DY1132" s="13"/>
      <c r="DZ1132" s="13"/>
      <c r="EA1132" s="13"/>
      <c r="EB1132" s="13"/>
      <c r="EC1132" s="13"/>
      <c r="ED1132" s="13"/>
      <c r="EE1132" s="13"/>
    </row>
    <row r="1133" spans="1:135" ht="15.75" customHeight="1" x14ac:dyDescent="0.25">
      <c r="A1133" s="578" t="s">
        <v>3278</v>
      </c>
      <c r="B1133" s="8">
        <v>3317</v>
      </c>
      <c r="C1133" s="72" t="s">
        <v>3273</v>
      </c>
      <c r="D1133" s="15" t="s">
        <v>3274</v>
      </c>
      <c r="E1133" s="11" t="s">
        <v>25</v>
      </c>
      <c r="F1133" s="20" t="s">
        <v>3275</v>
      </c>
      <c r="G1133" s="15" t="s">
        <v>3276</v>
      </c>
      <c r="H1133" s="119" t="s">
        <v>370</v>
      </c>
      <c r="I1133" s="18" t="s">
        <v>3277</v>
      </c>
      <c r="J1133" s="18" t="s">
        <v>1046</v>
      </c>
      <c r="K1133" s="33" t="s">
        <v>3279</v>
      </c>
      <c r="L1133" s="25" t="str">
        <f>"RUTL-"&amp;RIGHT(K1133,8)</f>
        <v>RUTL-S4HN3480</v>
      </c>
      <c r="M1133" s="34" t="s">
        <v>40</v>
      </c>
      <c r="N1133" s="15" t="s">
        <v>319</v>
      </c>
      <c r="O1133" s="23"/>
      <c r="P1133" s="23"/>
      <c r="Q1133" s="113"/>
      <c r="R1133" s="15" t="s">
        <v>235</v>
      </c>
      <c r="S1133" s="232" t="s">
        <v>296</v>
      </c>
      <c r="T1133" s="105" t="s">
        <v>148</v>
      </c>
      <c r="U1133" s="39" t="s">
        <v>3280</v>
      </c>
      <c r="V1133" s="23"/>
      <c r="W1133" s="2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3"/>
      <c r="AX1133" s="13"/>
      <c r="AY1133" s="13"/>
      <c r="AZ1133" s="13"/>
      <c r="BA1133" s="13"/>
      <c r="BB1133" s="13"/>
      <c r="BC1133" s="13"/>
      <c r="BD1133" s="13"/>
      <c r="BE1133" s="13"/>
      <c r="BF1133" s="13"/>
      <c r="BG1133" s="13"/>
      <c r="BH1133" s="13"/>
      <c r="BI1133" s="13"/>
      <c r="BJ1133" s="13"/>
      <c r="BK1133" s="13"/>
      <c r="BL1133" s="13"/>
      <c r="BM1133" s="13"/>
      <c r="BN1133" s="13"/>
      <c r="BO1133" s="13"/>
      <c r="BP1133" s="13"/>
      <c r="BQ1133" s="13"/>
      <c r="BR1133" s="13"/>
      <c r="BS1133" s="13"/>
      <c r="BT1133" s="13"/>
      <c r="BU1133" s="13"/>
      <c r="BV1133" s="13"/>
      <c r="BW1133" s="13"/>
      <c r="BX1133" s="13"/>
      <c r="BY1133" s="13"/>
      <c r="BZ1133" s="13"/>
      <c r="CA1133" s="13"/>
      <c r="CB1133" s="13"/>
      <c r="CC1133" s="13"/>
      <c r="CD1133" s="13"/>
      <c r="CE1133" s="13"/>
      <c r="CF1133" s="13"/>
      <c r="CG1133" s="13"/>
      <c r="CH1133" s="13"/>
      <c r="CI1133" s="13"/>
      <c r="CJ1133" s="13"/>
      <c r="CK1133" s="13"/>
      <c r="CL1133" s="13"/>
      <c r="CM1133" s="13"/>
      <c r="CN1133" s="13"/>
      <c r="CO1133" s="13"/>
      <c r="CP1133" s="13"/>
      <c r="CQ1133" s="13"/>
      <c r="CR1133" s="13"/>
      <c r="CS1133" s="13"/>
      <c r="CT1133" s="13"/>
      <c r="CU1133" s="13"/>
      <c r="CV1133" s="13"/>
      <c r="CW1133" s="13"/>
      <c r="CX1133" s="13"/>
      <c r="CY1133" s="13"/>
      <c r="CZ1133" s="13"/>
      <c r="DA1133" s="13"/>
      <c r="DB1133" s="13"/>
      <c r="DC1133" s="13"/>
      <c r="DD1133" s="13"/>
      <c r="DE1133" s="13"/>
      <c r="DF1133" s="13"/>
      <c r="DG1133" s="13"/>
      <c r="DH1133" s="13"/>
      <c r="DI1133" s="13"/>
      <c r="DJ1133" s="13"/>
      <c r="DK1133" s="13"/>
      <c r="DL1133" s="13"/>
      <c r="DM1133" s="13"/>
      <c r="DN1133" s="13"/>
      <c r="DO1133" s="13"/>
      <c r="DP1133" s="13"/>
      <c r="DQ1133" s="13"/>
      <c r="DR1133" s="13"/>
      <c r="DS1133" s="13"/>
      <c r="DT1133" s="13"/>
      <c r="DU1133" s="13"/>
      <c r="DV1133" s="13"/>
      <c r="DW1133" s="13"/>
      <c r="DX1133" s="13"/>
      <c r="DY1133" s="13"/>
      <c r="DZ1133" s="13"/>
      <c r="EA1133" s="13"/>
      <c r="EB1133" s="13"/>
      <c r="EC1133" s="13"/>
      <c r="ED1133" s="13"/>
      <c r="EE1133" s="13"/>
    </row>
    <row r="1134" spans="1:135" ht="72.75" customHeight="1" x14ac:dyDescent="0.25">
      <c r="A1134" s="578" t="s">
        <v>1047</v>
      </c>
      <c r="B1134" s="217" t="s">
        <v>1036</v>
      </c>
      <c r="C1134" s="221" t="s">
        <v>1039</v>
      </c>
      <c r="D1134" s="10" t="s">
        <v>24</v>
      </c>
      <c r="E1134" s="28" t="s">
        <v>25</v>
      </c>
      <c r="F1134" s="20" t="s">
        <v>1041</v>
      </c>
      <c r="G1134" s="15" t="s">
        <v>1043</v>
      </c>
      <c r="H1134" s="102" t="s">
        <v>97</v>
      </c>
      <c r="I1134" s="18" t="s">
        <v>1044</v>
      </c>
      <c r="J1134" s="18" t="s">
        <v>1046</v>
      </c>
      <c r="K1134" s="33" t="s">
        <v>1049</v>
      </c>
      <c r="L1134" s="21" t="str">
        <f>"RUTL-"&amp;RIGHT(K1134,8)</f>
        <v>RUTL-S4HN3456</v>
      </c>
      <c r="M1134" s="34" t="s">
        <v>40</v>
      </c>
      <c r="N1134" s="23"/>
      <c r="O1134" s="23"/>
      <c r="P1134" s="23"/>
      <c r="Q1134" s="113"/>
      <c r="R1134" s="15" t="s">
        <v>56</v>
      </c>
      <c r="S1134" s="37" t="s">
        <v>57</v>
      </c>
      <c r="T1134" s="108" t="s">
        <v>273</v>
      </c>
      <c r="U1134" s="47" t="s">
        <v>1060</v>
      </c>
      <c r="V1134" s="23"/>
      <c r="W1134" s="2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3"/>
      <c r="AX1134" s="13"/>
      <c r="AY1134" s="13"/>
      <c r="AZ1134" s="13"/>
      <c r="BA1134" s="13"/>
      <c r="BB1134" s="13"/>
      <c r="BC1134" s="13"/>
      <c r="BD1134" s="13"/>
      <c r="BE1134" s="13"/>
      <c r="BF1134" s="13"/>
      <c r="BG1134" s="13"/>
      <c r="BH1134" s="13"/>
      <c r="BI1134" s="13"/>
      <c r="BJ1134" s="13"/>
      <c r="BK1134" s="13"/>
      <c r="BL1134" s="13"/>
      <c r="BM1134" s="13"/>
      <c r="BN1134" s="13"/>
      <c r="BO1134" s="13"/>
      <c r="BP1134" s="13"/>
      <c r="BQ1134" s="13"/>
      <c r="BR1134" s="13"/>
      <c r="BS1134" s="13"/>
      <c r="BT1134" s="13"/>
      <c r="BU1134" s="13"/>
      <c r="BV1134" s="13"/>
      <c r="BW1134" s="13"/>
      <c r="BX1134" s="13"/>
      <c r="BY1134" s="13"/>
      <c r="BZ1134" s="13"/>
      <c r="CA1134" s="13"/>
      <c r="CB1134" s="13"/>
      <c r="CC1134" s="13"/>
      <c r="CD1134" s="13"/>
      <c r="CE1134" s="13"/>
      <c r="CF1134" s="13"/>
      <c r="CG1134" s="13"/>
      <c r="CH1134" s="13"/>
      <c r="CI1134" s="13"/>
      <c r="CJ1134" s="13"/>
      <c r="CK1134" s="13"/>
      <c r="CL1134" s="13"/>
      <c r="CM1134" s="13"/>
      <c r="CN1134" s="13"/>
      <c r="CO1134" s="13"/>
      <c r="CP1134" s="13"/>
      <c r="CQ1134" s="13"/>
      <c r="CR1134" s="13"/>
      <c r="CS1134" s="13"/>
      <c r="CT1134" s="13"/>
      <c r="CU1134" s="13"/>
      <c r="CV1134" s="13"/>
      <c r="CW1134" s="13"/>
      <c r="CX1134" s="13"/>
      <c r="CY1134" s="13"/>
      <c r="CZ1134" s="13"/>
      <c r="DA1134" s="13"/>
      <c r="DB1134" s="13"/>
      <c r="DC1134" s="13"/>
      <c r="DD1134" s="13"/>
      <c r="DE1134" s="13"/>
      <c r="DF1134" s="13"/>
      <c r="DG1134" s="13"/>
      <c r="DH1134" s="13"/>
      <c r="DI1134" s="13"/>
      <c r="DJ1134" s="13"/>
      <c r="DK1134" s="13"/>
      <c r="DL1134" s="13"/>
      <c r="DM1134" s="13"/>
      <c r="DN1134" s="13"/>
      <c r="DO1134" s="13"/>
      <c r="DP1134" s="13"/>
      <c r="DQ1134" s="13"/>
      <c r="DR1134" s="13"/>
      <c r="DS1134" s="13"/>
      <c r="DT1134" s="13"/>
      <c r="DU1134" s="13"/>
      <c r="DV1134" s="13"/>
      <c r="DW1134" s="13"/>
      <c r="DX1134" s="13"/>
      <c r="DY1134" s="13"/>
      <c r="DZ1134" s="13"/>
      <c r="EA1134" s="13"/>
      <c r="EB1134" s="13"/>
      <c r="EC1134" s="13"/>
      <c r="ED1134" s="13"/>
      <c r="EE1134" s="13"/>
    </row>
    <row r="1135" spans="1:135" ht="15.75" customHeight="1" thickBot="1" x14ac:dyDescent="0.3">
      <c r="A1135" s="578" t="s">
        <v>5220</v>
      </c>
      <c r="B1135" s="8">
        <v>12330</v>
      </c>
      <c r="C1135" s="72" t="s">
        <v>5216</v>
      </c>
      <c r="D1135" s="10" t="s">
        <v>24</v>
      </c>
      <c r="E1135" s="11" t="s">
        <v>25</v>
      </c>
      <c r="F1135" s="20" t="s">
        <v>5217</v>
      </c>
      <c r="G1135" s="15" t="s">
        <v>5218</v>
      </c>
      <c r="H1135" s="104" t="s">
        <v>486</v>
      </c>
      <c r="I1135" s="18" t="s">
        <v>5219</v>
      </c>
      <c r="J1135" s="24" t="s">
        <v>1046</v>
      </c>
      <c r="K1135" s="23" t="s">
        <v>5221</v>
      </c>
      <c r="L1135" s="25" t="str">
        <f>"RUTL-"&amp;RIGHT(K1135,8)</f>
        <v>RUTL-S4HN3474</v>
      </c>
      <c r="M1135" s="34" t="s">
        <v>40</v>
      </c>
      <c r="N1135" s="23" t="s">
        <v>43</v>
      </c>
      <c r="O1135" s="23"/>
      <c r="P1135" s="39" t="s">
        <v>90</v>
      </c>
      <c r="Q1135" s="113"/>
      <c r="R1135" s="15" t="s">
        <v>56</v>
      </c>
      <c r="S1135" s="37" t="s">
        <v>57</v>
      </c>
      <c r="T1135" s="108" t="s">
        <v>273</v>
      </c>
      <c r="U1135" s="39" t="s">
        <v>5222</v>
      </c>
      <c r="V1135" s="23"/>
      <c r="W1135" s="23"/>
      <c r="X1135" s="30"/>
      <c r="Y1135" s="30"/>
      <c r="Z1135" s="30"/>
      <c r="AA1135" s="30"/>
      <c r="AB1135" s="30"/>
      <c r="AC1135" s="30"/>
      <c r="AD1135" s="30"/>
      <c r="AE1135" s="30"/>
      <c r="AF1135" s="30"/>
      <c r="AG1135" s="30"/>
      <c r="AH1135" s="30"/>
      <c r="AI1135" s="30"/>
      <c r="AJ1135" s="30"/>
      <c r="AK1135" s="30"/>
      <c r="AL1135" s="30"/>
      <c r="AM1135" s="30"/>
      <c r="AN1135" s="30"/>
      <c r="AO1135" s="30"/>
      <c r="AP1135" s="30"/>
      <c r="AQ1135" s="30"/>
      <c r="AR1135" s="30"/>
      <c r="AS1135" s="30"/>
      <c r="AT1135" s="30"/>
      <c r="AU1135" s="30"/>
      <c r="AV1135" s="30"/>
      <c r="AW1135" s="30"/>
      <c r="AX1135" s="30"/>
      <c r="AY1135" s="30"/>
      <c r="AZ1135" s="30"/>
      <c r="BA1135" s="30"/>
      <c r="BB1135" s="30"/>
      <c r="BC1135" s="30"/>
      <c r="BD1135" s="30"/>
      <c r="BE1135" s="30"/>
      <c r="BF1135" s="30"/>
      <c r="BG1135" s="30"/>
      <c r="BH1135" s="30"/>
      <c r="BI1135" s="30"/>
      <c r="BJ1135" s="30"/>
      <c r="BK1135" s="30"/>
      <c r="BL1135" s="30"/>
      <c r="BM1135" s="30"/>
      <c r="BN1135" s="30"/>
      <c r="BO1135" s="30"/>
      <c r="BP1135" s="30"/>
      <c r="BQ1135" s="30"/>
      <c r="BR1135" s="30"/>
      <c r="BS1135" s="30"/>
      <c r="BT1135" s="30"/>
      <c r="BU1135" s="30"/>
      <c r="BV1135" s="30"/>
      <c r="BW1135" s="30"/>
      <c r="BX1135" s="30"/>
      <c r="BY1135" s="30"/>
      <c r="BZ1135" s="30"/>
      <c r="CA1135" s="30"/>
      <c r="CB1135" s="30"/>
      <c r="CC1135" s="30"/>
      <c r="CD1135" s="30"/>
      <c r="CE1135" s="30"/>
      <c r="CF1135" s="30"/>
      <c r="CG1135" s="30"/>
      <c r="CH1135" s="30"/>
      <c r="CI1135" s="30"/>
      <c r="CJ1135" s="30"/>
      <c r="CK1135" s="30"/>
      <c r="CL1135" s="30"/>
      <c r="CM1135" s="30"/>
      <c r="CN1135" s="30"/>
      <c r="CO1135" s="30"/>
      <c r="CP1135" s="30"/>
      <c r="CQ1135" s="30"/>
      <c r="CR1135" s="30"/>
      <c r="CS1135" s="30"/>
      <c r="CT1135" s="30"/>
      <c r="CU1135" s="30"/>
      <c r="CV1135" s="30"/>
      <c r="CW1135" s="30"/>
      <c r="CX1135" s="30"/>
      <c r="CY1135" s="30"/>
      <c r="CZ1135" s="30"/>
      <c r="DA1135" s="30"/>
      <c r="DB1135" s="30"/>
      <c r="DC1135" s="30"/>
      <c r="DD1135" s="30"/>
      <c r="DE1135" s="30"/>
      <c r="DF1135" s="30"/>
      <c r="DG1135" s="30"/>
      <c r="DH1135" s="30"/>
      <c r="DI1135" s="30"/>
      <c r="DJ1135" s="30"/>
      <c r="DK1135" s="30"/>
      <c r="DL1135" s="30"/>
      <c r="DM1135" s="30"/>
      <c r="DN1135" s="30"/>
      <c r="DO1135" s="30"/>
      <c r="DP1135" s="30"/>
      <c r="DQ1135" s="30"/>
      <c r="DR1135" s="30"/>
      <c r="DS1135" s="30"/>
      <c r="DT1135" s="30"/>
      <c r="DU1135" s="30"/>
      <c r="DV1135" s="30"/>
      <c r="DW1135" s="30"/>
      <c r="DX1135" s="30"/>
      <c r="DY1135" s="30"/>
      <c r="DZ1135" s="30"/>
      <c r="EA1135" s="30"/>
      <c r="EB1135" s="30"/>
      <c r="EC1135" s="30"/>
      <c r="ED1135" s="30"/>
      <c r="EE1135" s="30"/>
    </row>
    <row r="1136" spans="1:135" ht="27.75" customHeight="1" thickBot="1" x14ac:dyDescent="0.3">
      <c r="A1136" s="578" t="s">
        <v>4945</v>
      </c>
      <c r="B1136" s="8">
        <v>11119</v>
      </c>
      <c r="C1136" s="72" t="s">
        <v>4943</v>
      </c>
      <c r="D1136" s="10" t="s">
        <v>24</v>
      </c>
      <c r="E1136" s="10" t="s">
        <v>25</v>
      </c>
      <c r="F1136" s="12" t="s">
        <v>4944</v>
      </c>
      <c r="G1136" s="15" t="s">
        <v>1622</v>
      </c>
      <c r="H1136" s="119" t="s">
        <v>960</v>
      </c>
      <c r="I1136" s="54" t="s">
        <v>135</v>
      </c>
      <c r="J1136" s="18" t="s">
        <v>757</v>
      </c>
      <c r="K1136" s="23" t="s">
        <v>4946</v>
      </c>
      <c r="L1136" s="25" t="str">
        <f>"RUTL-"&amp;RIGHT(K1136,8)</f>
        <v>RUTL-PF15EMLY</v>
      </c>
      <c r="M1136" s="240" t="s">
        <v>40</v>
      </c>
      <c r="N1136" s="23" t="s">
        <v>43</v>
      </c>
      <c r="O1136" s="23"/>
      <c r="P1136" s="39" t="s">
        <v>90</v>
      </c>
      <c r="Q1136" s="533" t="s">
        <v>4947</v>
      </c>
      <c r="R1136" s="15" t="s">
        <v>56</v>
      </c>
      <c r="S1136" s="37" t="s">
        <v>57</v>
      </c>
      <c r="T1136" s="108" t="s">
        <v>273</v>
      </c>
      <c r="U1136" s="39" t="s">
        <v>4948</v>
      </c>
      <c r="V1136" s="242"/>
      <c r="W1136" s="23"/>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c r="BL1136" s="6"/>
      <c r="BM1136" s="6"/>
      <c r="BN1136" s="6"/>
      <c r="BO1136" s="6"/>
      <c r="BP1136" s="6"/>
      <c r="BQ1136" s="6"/>
      <c r="BR1136" s="6"/>
      <c r="BS1136" s="6"/>
      <c r="BT1136" s="6"/>
      <c r="BU1136" s="6"/>
      <c r="BV1136" s="6"/>
      <c r="BW1136" s="6"/>
      <c r="BX1136" s="6"/>
      <c r="BY1136" s="6"/>
      <c r="BZ1136" s="6"/>
      <c r="CA1136" s="6"/>
      <c r="CB1136" s="6"/>
      <c r="CC1136" s="6"/>
      <c r="CD1136" s="6"/>
      <c r="CE1136" s="6"/>
      <c r="CF1136" s="6"/>
      <c r="CG1136" s="6"/>
      <c r="CH1136" s="6"/>
      <c r="CI1136" s="6"/>
      <c r="CJ1136" s="6"/>
      <c r="CK1136" s="6"/>
      <c r="CL1136" s="6"/>
      <c r="CM1136" s="6"/>
      <c r="CN1136" s="6"/>
      <c r="CO1136" s="6"/>
      <c r="CP1136" s="6"/>
      <c r="CQ1136" s="6"/>
      <c r="CR1136" s="6"/>
      <c r="CS1136" s="6"/>
      <c r="CT1136" s="6"/>
      <c r="CU1136" s="6"/>
      <c r="CV1136" s="6"/>
      <c r="CW1136" s="6"/>
      <c r="CX1136" s="6"/>
      <c r="CY1136" s="6"/>
      <c r="CZ1136" s="6"/>
      <c r="DA1136" s="6"/>
      <c r="DB1136" s="6"/>
      <c r="DC1136" s="6"/>
      <c r="DD1136" s="6"/>
      <c r="DE1136" s="6"/>
      <c r="DF1136" s="6"/>
      <c r="DG1136" s="6"/>
      <c r="DH1136" s="6"/>
      <c r="DI1136" s="6"/>
      <c r="DJ1136" s="6"/>
      <c r="DK1136" s="6"/>
      <c r="DL1136" s="6"/>
      <c r="DM1136" s="6"/>
      <c r="DN1136" s="6"/>
      <c r="DO1136" s="6"/>
      <c r="DP1136" s="6"/>
      <c r="DQ1136" s="6"/>
      <c r="DR1136" s="6"/>
      <c r="DS1136" s="6"/>
      <c r="DT1136" s="6"/>
      <c r="DU1136" s="6"/>
      <c r="DV1136" s="6"/>
      <c r="DW1136" s="6"/>
      <c r="DX1136" s="6"/>
      <c r="DY1136" s="6"/>
      <c r="DZ1136" s="6"/>
      <c r="EA1136" s="6"/>
      <c r="EB1136" s="6"/>
      <c r="EC1136" s="6"/>
      <c r="ED1136" s="6"/>
      <c r="EE1136" s="6"/>
    </row>
    <row r="1137" spans="1:135" ht="49.5" customHeight="1" thickBot="1" x14ac:dyDescent="0.3">
      <c r="A1137" s="578" t="s">
        <v>7519</v>
      </c>
      <c r="B1137" s="51">
        <v>18899</v>
      </c>
      <c r="C1137" s="52" t="s">
        <v>7517</v>
      </c>
      <c r="D1137" s="10" t="s">
        <v>24</v>
      </c>
      <c r="E1137" s="11" t="s">
        <v>25</v>
      </c>
      <c r="F1137" s="20" t="s">
        <v>7518</v>
      </c>
      <c r="G1137" s="15" t="s">
        <v>1622</v>
      </c>
      <c r="H1137" s="22" t="s">
        <v>1221</v>
      </c>
      <c r="I1137" s="18" t="s">
        <v>135</v>
      </c>
      <c r="J1137" s="18" t="s">
        <v>757</v>
      </c>
      <c r="K1137" s="23" t="s">
        <v>7520</v>
      </c>
      <c r="L1137" s="25" t="str">
        <f>"RUTL-"&amp;RIGHT(K1137,8)</f>
        <v>RUTL-PF15ZDFX</v>
      </c>
      <c r="M1137" s="34" t="s">
        <v>40</v>
      </c>
      <c r="N1137" s="15" t="s">
        <v>319</v>
      </c>
      <c r="O1137" s="175"/>
      <c r="P1137" s="39" t="s">
        <v>90</v>
      </c>
      <c r="Q1137" s="63" t="s">
        <v>7521</v>
      </c>
      <c r="R1137" s="15" t="s">
        <v>56</v>
      </c>
      <c r="S1137" s="37" t="s">
        <v>180</v>
      </c>
      <c r="T1137" s="183" t="s">
        <v>675</v>
      </c>
      <c r="U1137" s="23" t="s">
        <v>7522</v>
      </c>
      <c r="V1137" s="23"/>
      <c r="W1137" s="23"/>
      <c r="X1137" s="238"/>
      <c r="Y1137" s="238"/>
      <c r="Z1137" s="238"/>
      <c r="AA1137" s="238"/>
      <c r="AB1137" s="238"/>
      <c r="AC1137" s="238"/>
      <c r="AD1137" s="238"/>
      <c r="AE1137" s="238"/>
      <c r="AF1137" s="238"/>
      <c r="AG1137" s="238"/>
      <c r="AH1137" s="238"/>
      <c r="AI1137" s="238"/>
      <c r="AJ1137" s="238"/>
      <c r="AK1137" s="238"/>
      <c r="AL1137" s="238"/>
      <c r="AM1137" s="238"/>
      <c r="AN1137" s="238"/>
      <c r="AO1137" s="238"/>
      <c r="AP1137" s="238"/>
      <c r="AQ1137" s="238"/>
    </row>
    <row r="1138" spans="1:135" ht="38.25" thickBot="1" x14ac:dyDescent="0.3">
      <c r="A1138" s="578" t="s">
        <v>3069</v>
      </c>
      <c r="B1138" s="8">
        <v>2697</v>
      </c>
      <c r="C1138" s="72" t="s">
        <v>3067</v>
      </c>
      <c r="D1138" s="10" t="s">
        <v>24</v>
      </c>
      <c r="E1138" s="11" t="s">
        <v>25</v>
      </c>
      <c r="F1138" s="20" t="s">
        <v>3068</v>
      </c>
      <c r="G1138" s="15" t="s">
        <v>369</v>
      </c>
      <c r="H1138" s="119" t="s">
        <v>370</v>
      </c>
      <c r="I1138" s="24" t="s">
        <v>135</v>
      </c>
      <c r="J1138" s="18" t="s">
        <v>757</v>
      </c>
      <c r="K1138" s="33" t="s">
        <v>3070</v>
      </c>
      <c r="L1138" s="25" t="str">
        <f>"RUTL-"&amp;RIGHT(K1138,8)</f>
        <v>RUTL-PF15E758</v>
      </c>
      <c r="M1138" s="34" t="s">
        <v>40</v>
      </c>
      <c r="N1138" s="23"/>
      <c r="O1138" s="23"/>
      <c r="P1138" s="39" t="s">
        <v>90</v>
      </c>
      <c r="Q1138" s="63" t="s">
        <v>3071</v>
      </c>
      <c r="R1138" s="15" t="s">
        <v>235</v>
      </c>
      <c r="S1138" s="23" t="s">
        <v>296</v>
      </c>
      <c r="T1138" s="23"/>
      <c r="U1138" s="39" t="s">
        <v>3072</v>
      </c>
      <c r="V1138" s="23"/>
      <c r="W1138" s="23"/>
      <c r="X1138" s="154"/>
    </row>
    <row r="1139" spans="1:135" ht="27.75" customHeight="1" thickBot="1" x14ac:dyDescent="0.3">
      <c r="A1139" s="578" t="s">
        <v>758</v>
      </c>
      <c r="B1139" s="177" t="s">
        <v>751</v>
      </c>
      <c r="C1139" s="72" t="s">
        <v>752</v>
      </c>
      <c r="D1139" s="121" t="s">
        <v>24</v>
      </c>
      <c r="E1139" s="122" t="s">
        <v>25</v>
      </c>
      <c r="F1139" s="20" t="s">
        <v>754</v>
      </c>
      <c r="G1139" s="15" t="s">
        <v>755</v>
      </c>
      <c r="H1139" s="119" t="s">
        <v>728</v>
      </c>
      <c r="I1139" s="18" t="s">
        <v>586</v>
      </c>
      <c r="J1139" s="18" t="s">
        <v>757</v>
      </c>
      <c r="K1139" s="23" t="s">
        <v>759</v>
      </c>
      <c r="L1139" s="127" t="str">
        <f>"RUTL-"&amp;RIGHT(K1139,8)</f>
        <v>RUTL-PF15ZDH0</v>
      </c>
      <c r="M1139" s="512" t="s">
        <v>40</v>
      </c>
      <c r="N1139" s="14"/>
      <c r="O1139" s="520"/>
      <c r="P1139" s="124"/>
      <c r="Q1139" s="537"/>
      <c r="R1139" s="121" t="s">
        <v>56</v>
      </c>
      <c r="S1139" s="196" t="s">
        <v>296</v>
      </c>
      <c r="T1139" s="197" t="s">
        <v>96</v>
      </c>
      <c r="U1139" s="187" t="s">
        <v>769</v>
      </c>
      <c r="V1139" s="282"/>
      <c r="W1139" s="124"/>
      <c r="X1139" s="30"/>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c r="BL1139" s="6"/>
      <c r="BM1139" s="6"/>
      <c r="BN1139" s="6"/>
      <c r="BO1139" s="6"/>
      <c r="BP1139" s="6"/>
      <c r="BQ1139" s="6"/>
      <c r="BR1139" s="6"/>
      <c r="BS1139" s="6"/>
      <c r="BT1139" s="6"/>
      <c r="BU1139" s="6"/>
      <c r="BV1139" s="6"/>
      <c r="BW1139" s="6"/>
      <c r="BX1139" s="6"/>
      <c r="BY1139" s="6"/>
      <c r="BZ1139" s="6"/>
      <c r="CA1139" s="6"/>
      <c r="CB1139" s="6"/>
      <c r="CC1139" s="6"/>
      <c r="CD1139" s="6"/>
      <c r="CE1139" s="6"/>
      <c r="CF1139" s="6"/>
      <c r="CG1139" s="6"/>
      <c r="CH1139" s="6"/>
      <c r="CI1139" s="6"/>
      <c r="CJ1139" s="6"/>
      <c r="CK1139" s="6"/>
      <c r="CL1139" s="6"/>
      <c r="CM1139" s="6"/>
      <c r="CN1139" s="6"/>
      <c r="CO1139" s="6"/>
      <c r="CP1139" s="6"/>
      <c r="CQ1139" s="6"/>
      <c r="CR1139" s="6"/>
      <c r="CS1139" s="6"/>
      <c r="CT1139" s="6"/>
      <c r="CU1139" s="6"/>
      <c r="CV1139" s="6"/>
      <c r="CW1139" s="6"/>
      <c r="CX1139" s="6"/>
      <c r="CY1139" s="6"/>
      <c r="CZ1139" s="6"/>
      <c r="DA1139" s="6"/>
      <c r="DB1139" s="6"/>
      <c r="DC1139" s="6"/>
      <c r="DD1139" s="6"/>
      <c r="DE1139" s="6"/>
      <c r="DF1139" s="6"/>
      <c r="DG1139" s="6"/>
      <c r="DH1139" s="6"/>
      <c r="DI1139" s="6"/>
      <c r="DJ1139" s="6"/>
      <c r="DK1139" s="6"/>
      <c r="DL1139" s="6"/>
      <c r="DM1139" s="6"/>
      <c r="DN1139" s="6"/>
      <c r="DO1139" s="6"/>
      <c r="DP1139" s="6"/>
      <c r="DQ1139" s="6"/>
      <c r="DR1139" s="6"/>
      <c r="DS1139" s="6"/>
      <c r="DT1139" s="6"/>
      <c r="DU1139" s="6"/>
      <c r="DV1139" s="6"/>
      <c r="DW1139" s="6"/>
      <c r="DX1139" s="6"/>
      <c r="DY1139" s="6"/>
      <c r="DZ1139" s="6"/>
      <c r="EA1139" s="6"/>
      <c r="EB1139" s="6"/>
      <c r="EC1139" s="6"/>
      <c r="ED1139" s="6"/>
      <c r="EE1139" s="6"/>
    </row>
    <row r="1140" spans="1:135" ht="15.75" customHeight="1" thickBot="1" x14ac:dyDescent="0.3">
      <c r="A1140" s="578" t="s">
        <v>1211</v>
      </c>
      <c r="B1140" s="23"/>
      <c r="C1140" s="249" t="s">
        <v>1207</v>
      </c>
      <c r="D1140" s="15" t="s">
        <v>1172</v>
      </c>
      <c r="E1140" s="28" t="s">
        <v>25</v>
      </c>
      <c r="F1140" s="20" t="s">
        <v>1173</v>
      </c>
      <c r="G1140" s="15" t="s">
        <v>1175</v>
      </c>
      <c r="H1140" s="17" t="s">
        <v>470</v>
      </c>
      <c r="I1140" s="54" t="s">
        <v>135</v>
      </c>
      <c r="J1140" s="24" t="s">
        <v>1210</v>
      </c>
      <c r="K1140" s="23" t="s">
        <v>1228</v>
      </c>
      <c r="L1140" s="21" t="str">
        <f>"RUTL-"&amp;RIGHT(K1140,8)</f>
        <v>RUTL-R90RVMF6</v>
      </c>
      <c r="M1140" s="23"/>
      <c r="N1140" s="15" t="s">
        <v>319</v>
      </c>
      <c r="O1140" s="23"/>
      <c r="P1140" s="23" t="s">
        <v>1231</v>
      </c>
      <c r="Q1140" s="23"/>
      <c r="R1140" s="15" t="s">
        <v>56</v>
      </c>
      <c r="S1140" s="37" t="s">
        <v>57</v>
      </c>
      <c r="T1140" s="23" t="s">
        <v>96</v>
      </c>
      <c r="U1140" s="47" t="s">
        <v>1234</v>
      </c>
      <c r="V1140" s="23"/>
      <c r="W1140" s="23"/>
      <c r="X1140" s="195"/>
      <c r="Y1140" s="195"/>
      <c r="Z1140" s="195"/>
      <c r="AA1140" s="195"/>
      <c r="AB1140" s="195"/>
      <c r="AC1140" s="195"/>
      <c r="AD1140" s="195"/>
      <c r="AE1140" s="195"/>
      <c r="AF1140" s="195"/>
      <c r="AG1140" s="195"/>
      <c r="AH1140" s="195"/>
      <c r="AI1140" s="195"/>
      <c r="AJ1140" s="195"/>
      <c r="AK1140" s="195"/>
      <c r="AL1140" s="195"/>
      <c r="AM1140" s="195"/>
      <c r="AN1140" s="195"/>
      <c r="AO1140" s="195"/>
      <c r="AP1140" s="195"/>
      <c r="AQ1140" s="195"/>
      <c r="AR1140" s="195"/>
      <c r="AS1140" s="195"/>
      <c r="AT1140" s="195"/>
      <c r="AU1140" s="195"/>
      <c r="AV1140" s="195"/>
      <c r="AW1140" s="195"/>
      <c r="AX1140" s="195"/>
      <c r="AY1140" s="195"/>
      <c r="AZ1140" s="195"/>
      <c r="BA1140" s="195"/>
      <c r="BB1140" s="195"/>
      <c r="BC1140" s="195"/>
      <c r="BD1140" s="195"/>
      <c r="BE1140" s="195"/>
      <c r="BF1140" s="195"/>
      <c r="BG1140" s="195"/>
      <c r="BH1140" s="195"/>
      <c r="BI1140" s="195"/>
      <c r="BJ1140" s="195"/>
      <c r="BK1140" s="195"/>
      <c r="BL1140" s="195"/>
      <c r="BM1140" s="195"/>
      <c r="BN1140" s="195"/>
      <c r="BO1140" s="195"/>
      <c r="BP1140" s="195"/>
      <c r="BQ1140" s="195"/>
      <c r="BR1140" s="195"/>
      <c r="BS1140" s="195"/>
      <c r="BT1140" s="195"/>
      <c r="BU1140" s="195"/>
      <c r="BV1140" s="195"/>
      <c r="BW1140" s="195"/>
      <c r="BX1140" s="195"/>
      <c r="BY1140" s="195"/>
      <c r="BZ1140" s="195"/>
      <c r="CA1140" s="195"/>
      <c r="CB1140" s="195"/>
      <c r="CC1140" s="195"/>
      <c r="CD1140" s="195"/>
      <c r="CE1140" s="195"/>
      <c r="CF1140" s="195"/>
      <c r="CG1140" s="195"/>
      <c r="CH1140" s="195"/>
      <c r="CI1140" s="195"/>
      <c r="CJ1140" s="195"/>
      <c r="CK1140" s="195"/>
      <c r="CL1140" s="195"/>
      <c r="CM1140" s="195"/>
      <c r="CN1140" s="195"/>
      <c r="CO1140" s="195"/>
      <c r="CP1140" s="195"/>
      <c r="CQ1140" s="195"/>
      <c r="CR1140" s="195"/>
      <c r="CS1140" s="195"/>
      <c r="CT1140" s="195"/>
      <c r="CU1140" s="195"/>
      <c r="CV1140" s="195"/>
      <c r="CW1140" s="195"/>
      <c r="CX1140" s="195"/>
      <c r="CY1140" s="195"/>
      <c r="CZ1140" s="195"/>
      <c r="DA1140" s="195"/>
      <c r="DB1140" s="195"/>
      <c r="DC1140" s="195"/>
      <c r="DD1140" s="195"/>
      <c r="DE1140" s="195"/>
      <c r="DF1140" s="195"/>
      <c r="DG1140" s="195"/>
      <c r="DH1140" s="195"/>
      <c r="DI1140" s="195"/>
      <c r="DJ1140" s="195"/>
      <c r="DK1140" s="195"/>
      <c r="DL1140" s="195"/>
      <c r="DM1140" s="195"/>
      <c r="DN1140" s="195"/>
      <c r="DO1140" s="195"/>
      <c r="DP1140" s="195"/>
      <c r="DQ1140" s="195"/>
      <c r="DR1140" s="195"/>
      <c r="DS1140" s="195"/>
      <c r="DT1140" s="195"/>
      <c r="DU1140" s="195"/>
      <c r="DV1140" s="195"/>
      <c r="DW1140" s="195"/>
      <c r="DX1140" s="195"/>
      <c r="DY1140" s="195"/>
      <c r="DZ1140" s="195"/>
      <c r="EA1140" s="195"/>
      <c r="EB1140" s="195"/>
      <c r="EC1140" s="195"/>
      <c r="ED1140" s="195"/>
      <c r="EE1140" s="195"/>
    </row>
    <row r="1141" spans="1:135" ht="15.75" customHeight="1" thickBot="1" x14ac:dyDescent="0.3">
      <c r="A1141" s="578" t="s">
        <v>625</v>
      </c>
      <c r="B1141" s="172"/>
      <c r="C1141" s="249" t="s">
        <v>619</v>
      </c>
      <c r="D1141" s="462" t="s">
        <v>583</v>
      </c>
      <c r="E1141" s="23"/>
      <c r="F1141" s="23" t="s">
        <v>621</v>
      </c>
      <c r="G1141" s="15" t="s">
        <v>588</v>
      </c>
      <c r="H1141" s="17" t="s">
        <v>591</v>
      </c>
      <c r="I1141" s="18" t="s">
        <v>350</v>
      </c>
      <c r="J1141" s="18" t="s">
        <v>624</v>
      </c>
      <c r="K1141" s="23" t="s">
        <v>631</v>
      </c>
      <c r="L1141" s="21" t="str">
        <f>"RUTL-"&amp;RIGHT(K1141,8)</f>
        <v>RUTL-YL003MHN</v>
      </c>
      <c r="M1141" s="23"/>
      <c r="N1141" s="23"/>
      <c r="O1141" s="23"/>
      <c r="P1141" s="23"/>
      <c r="Q1141" s="23"/>
      <c r="R1141" s="23"/>
      <c r="S1141" s="493"/>
      <c r="T1141" s="23"/>
      <c r="U1141" s="23"/>
      <c r="V1141" s="23"/>
      <c r="W1141" s="23"/>
      <c r="X1141" s="251"/>
      <c r="Y1141" s="252"/>
      <c r="Z1141" s="252"/>
      <c r="AA1141" s="252"/>
      <c r="AB1141" s="252"/>
      <c r="AC1141" s="252"/>
      <c r="AD1141" s="252"/>
      <c r="AE1141" s="252"/>
      <c r="AF1141" s="252"/>
      <c r="AG1141" s="252"/>
      <c r="AH1141" s="252"/>
      <c r="AI1141" s="252"/>
      <c r="AJ1141" s="252"/>
      <c r="AK1141" s="252"/>
      <c r="AL1141" s="252"/>
      <c r="AM1141" s="252"/>
      <c r="AN1141" s="252"/>
      <c r="AO1141" s="252"/>
      <c r="AP1141" s="252"/>
      <c r="AQ1141" s="252"/>
      <c r="AR1141" s="252"/>
      <c r="AS1141" s="252"/>
      <c r="AT1141" s="252"/>
      <c r="AU1141" s="252"/>
      <c r="AV1141" s="252"/>
      <c r="AW1141" s="252"/>
      <c r="AX1141" s="252"/>
      <c r="AY1141" s="252"/>
      <c r="AZ1141" s="252"/>
      <c r="BA1141" s="252"/>
      <c r="BB1141" s="252"/>
      <c r="BC1141" s="252"/>
      <c r="BD1141" s="252"/>
      <c r="BE1141" s="252"/>
      <c r="BF1141" s="252"/>
      <c r="BG1141" s="252"/>
      <c r="BH1141" s="252"/>
      <c r="BI1141" s="252"/>
      <c r="BJ1141" s="252"/>
      <c r="BK1141" s="252"/>
      <c r="BL1141" s="252"/>
      <c r="BM1141" s="252"/>
      <c r="BN1141" s="252"/>
      <c r="BO1141" s="252"/>
      <c r="BP1141" s="252"/>
      <c r="BQ1141" s="252"/>
      <c r="BR1141" s="252"/>
      <c r="BS1141" s="252"/>
      <c r="BT1141" s="252"/>
      <c r="BU1141" s="252"/>
      <c r="BV1141" s="252"/>
      <c r="BW1141" s="252"/>
      <c r="BX1141" s="252"/>
      <c r="BY1141" s="252"/>
      <c r="BZ1141" s="252"/>
      <c r="CA1141" s="252"/>
      <c r="CB1141" s="252"/>
      <c r="CC1141" s="252"/>
      <c r="CD1141" s="252"/>
      <c r="CE1141" s="252"/>
      <c r="CF1141" s="252"/>
      <c r="CG1141" s="252"/>
      <c r="CH1141" s="252"/>
      <c r="CI1141" s="252"/>
      <c r="CJ1141" s="252"/>
      <c r="CK1141" s="252"/>
      <c r="CL1141" s="252"/>
      <c r="CM1141" s="252"/>
      <c r="CN1141" s="252"/>
      <c r="CO1141" s="252"/>
      <c r="CP1141" s="252"/>
      <c r="CQ1141" s="252"/>
      <c r="CR1141" s="252"/>
      <c r="CS1141" s="252"/>
      <c r="CT1141" s="252"/>
      <c r="CU1141" s="252"/>
      <c r="CV1141" s="252"/>
      <c r="CW1141" s="252"/>
      <c r="CX1141" s="252"/>
      <c r="CY1141" s="252"/>
      <c r="CZ1141" s="252"/>
      <c r="DA1141" s="252"/>
      <c r="DB1141" s="252"/>
      <c r="DC1141" s="252"/>
      <c r="DD1141" s="252"/>
      <c r="DE1141" s="252"/>
      <c r="DF1141" s="252"/>
      <c r="DG1141" s="252"/>
      <c r="DH1141" s="252"/>
      <c r="DI1141" s="252"/>
      <c r="DJ1141" s="252"/>
      <c r="DK1141" s="252"/>
      <c r="DL1141" s="252"/>
      <c r="DM1141" s="252"/>
      <c r="DN1141" s="252"/>
      <c r="DO1141" s="252"/>
      <c r="DP1141" s="252"/>
      <c r="DQ1141" s="252"/>
      <c r="DR1141" s="252"/>
      <c r="DS1141" s="252"/>
      <c r="DT1141" s="252"/>
      <c r="DU1141" s="252"/>
      <c r="DV1141" s="252"/>
      <c r="DW1141" s="252"/>
      <c r="DX1141" s="252"/>
      <c r="DY1141" s="252"/>
      <c r="DZ1141" s="252"/>
      <c r="EA1141" s="252"/>
      <c r="EB1141" s="252"/>
      <c r="EC1141" s="252"/>
      <c r="ED1141" s="252"/>
      <c r="EE1141" s="252"/>
    </row>
    <row r="1142" spans="1:135" ht="15.75" customHeight="1" thickBot="1" x14ac:dyDescent="0.3">
      <c r="A1142" s="578" t="s">
        <v>640</v>
      </c>
      <c r="B1142" s="23"/>
      <c r="C1142" s="99" t="s">
        <v>638</v>
      </c>
      <c r="D1142" s="460" t="s">
        <v>583</v>
      </c>
      <c r="E1142" s="23"/>
      <c r="F1142" s="23"/>
      <c r="G1142" s="15" t="s">
        <v>588</v>
      </c>
      <c r="H1142" s="17" t="s">
        <v>591</v>
      </c>
      <c r="I1142" s="18" t="s">
        <v>350</v>
      </c>
      <c r="J1142" s="18" t="s">
        <v>639</v>
      </c>
      <c r="K1142" s="23" t="s">
        <v>641</v>
      </c>
      <c r="L1142" s="21" t="str">
        <f>"RUTL-"&amp;RIGHT(K1142,8)</f>
        <v>RUTL-YL002URP</v>
      </c>
      <c r="M1142" s="23"/>
      <c r="N1142" s="23"/>
      <c r="O1142" s="23"/>
      <c r="P1142" s="23"/>
      <c r="Q1142" s="248"/>
      <c r="R1142" s="23"/>
      <c r="S1142" s="23"/>
      <c r="T1142" s="23" t="s">
        <v>96</v>
      </c>
      <c r="U1142" s="47" t="s">
        <v>643</v>
      </c>
      <c r="V1142" s="23"/>
      <c r="W1142" s="23"/>
      <c r="X1142" s="71"/>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c r="AW1142" s="5"/>
      <c r="AX1142" s="5"/>
      <c r="AY1142" s="5"/>
      <c r="AZ1142" s="5"/>
      <c r="BA1142" s="5"/>
      <c r="BB1142" s="5"/>
      <c r="BC1142" s="5"/>
      <c r="BD1142" s="5"/>
      <c r="BE1142" s="5"/>
      <c r="BF1142" s="5"/>
      <c r="BG1142" s="5"/>
      <c r="BH1142" s="5"/>
      <c r="BI1142" s="5"/>
      <c r="BJ1142" s="5"/>
      <c r="BK1142" s="5"/>
      <c r="BL1142" s="5"/>
      <c r="BM1142" s="5"/>
      <c r="BN1142" s="5"/>
      <c r="BO1142" s="5"/>
      <c r="BP1142" s="5"/>
      <c r="BQ1142" s="5"/>
      <c r="BR1142" s="5"/>
      <c r="BS1142" s="5"/>
      <c r="BT1142" s="5"/>
      <c r="BU1142" s="5"/>
      <c r="BV1142" s="5"/>
      <c r="BW1142" s="5"/>
      <c r="BX1142" s="5"/>
      <c r="BY1142" s="5"/>
      <c r="BZ1142" s="5"/>
      <c r="CA1142" s="5"/>
      <c r="CB1142" s="5"/>
      <c r="CC1142" s="5"/>
      <c r="CD1142" s="5"/>
      <c r="CE1142" s="5"/>
      <c r="CF1142" s="5"/>
      <c r="CG1142" s="5"/>
      <c r="CH1142" s="5"/>
      <c r="CI1142" s="5"/>
      <c r="CJ1142" s="5"/>
      <c r="CK1142" s="5"/>
      <c r="CL1142" s="5"/>
      <c r="CM1142" s="5"/>
      <c r="CN1142" s="5"/>
      <c r="CO1142" s="5"/>
      <c r="CP1142" s="5"/>
      <c r="CQ1142" s="5"/>
      <c r="CR1142" s="5"/>
      <c r="CS1142" s="5"/>
      <c r="CT1142" s="5"/>
      <c r="CU1142" s="5"/>
      <c r="CV1142" s="5"/>
      <c r="CW1142" s="5"/>
      <c r="CX1142" s="5"/>
      <c r="CY1142" s="5"/>
      <c r="CZ1142" s="5"/>
      <c r="DA1142" s="5"/>
      <c r="DB1142" s="5"/>
      <c r="DC1142" s="5"/>
      <c r="DD1142" s="5"/>
      <c r="DE1142" s="5"/>
      <c r="DF1142" s="5"/>
      <c r="DG1142" s="5"/>
      <c r="DH1142" s="5"/>
      <c r="DI1142" s="5"/>
      <c r="DJ1142" s="5"/>
      <c r="DK1142" s="5"/>
      <c r="DL1142" s="5"/>
      <c r="DM1142" s="5"/>
      <c r="DN1142" s="5"/>
      <c r="DO1142" s="5"/>
      <c r="DP1142" s="5"/>
      <c r="DQ1142" s="5"/>
      <c r="DR1142" s="5"/>
      <c r="DS1142" s="5"/>
      <c r="DT1142" s="5"/>
      <c r="DU1142" s="5"/>
      <c r="DV1142" s="5"/>
      <c r="DW1142" s="5"/>
      <c r="DX1142" s="5"/>
      <c r="DY1142" s="5"/>
      <c r="DZ1142" s="5"/>
      <c r="EA1142" s="5"/>
      <c r="EB1142" s="5"/>
      <c r="EC1142" s="5"/>
      <c r="ED1142" s="5"/>
      <c r="EE1142" s="5"/>
    </row>
    <row r="1143" spans="1:135" ht="15.75" customHeight="1" x14ac:dyDescent="0.25">
      <c r="A1143" s="578" t="s">
        <v>2818</v>
      </c>
      <c r="B1143" s="8">
        <v>1739</v>
      </c>
      <c r="C1143" s="72" t="s">
        <v>2814</v>
      </c>
      <c r="D1143" s="155" t="s">
        <v>2815</v>
      </c>
      <c r="E1143" s="11" t="s">
        <v>25</v>
      </c>
      <c r="F1143" s="20" t="s">
        <v>2816</v>
      </c>
      <c r="G1143" s="15" t="s">
        <v>285</v>
      </c>
      <c r="H1143" s="147" t="s">
        <v>1882</v>
      </c>
      <c r="I1143" s="18" t="s">
        <v>2817</v>
      </c>
      <c r="J1143" s="18" t="s">
        <v>315</v>
      </c>
      <c r="K1143" s="33" t="s">
        <v>2819</v>
      </c>
      <c r="L1143" s="25" t="str">
        <f>"RUTL-"&amp;RIGHT(K1143,8)</f>
        <v>RUTL-PC10AS94</v>
      </c>
      <c r="M1143" s="34" t="s">
        <v>40</v>
      </c>
      <c r="N1143" s="23"/>
      <c r="O1143" s="23"/>
      <c r="P1143" s="23"/>
      <c r="Q1143" s="63" t="s">
        <v>2821</v>
      </c>
      <c r="R1143" s="15" t="s">
        <v>235</v>
      </c>
      <c r="S1143" s="23"/>
      <c r="T1143" s="53"/>
      <c r="U1143" s="23" t="s">
        <v>2825</v>
      </c>
      <c r="V1143" s="23"/>
      <c r="W1143" s="2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c r="AT1143" s="13"/>
      <c r="AU1143" s="13"/>
      <c r="AV1143" s="13"/>
      <c r="AW1143" s="13"/>
      <c r="AX1143" s="13"/>
      <c r="AY1143" s="13"/>
      <c r="AZ1143" s="13"/>
      <c r="BA1143" s="13"/>
      <c r="BB1143" s="13"/>
      <c r="BC1143" s="13"/>
      <c r="BD1143" s="13"/>
      <c r="BE1143" s="13"/>
      <c r="BF1143" s="13"/>
      <c r="BG1143" s="13"/>
      <c r="BH1143" s="13"/>
      <c r="BI1143" s="13"/>
      <c r="BJ1143" s="13"/>
      <c r="BK1143" s="13"/>
      <c r="BL1143" s="13"/>
      <c r="BM1143" s="13"/>
      <c r="BN1143" s="13"/>
      <c r="BO1143" s="13"/>
      <c r="BP1143" s="13"/>
      <c r="BQ1143" s="13"/>
      <c r="BR1143" s="13"/>
      <c r="BS1143" s="13"/>
      <c r="BT1143" s="13"/>
      <c r="BU1143" s="13"/>
      <c r="BV1143" s="13"/>
      <c r="BW1143" s="13"/>
      <c r="BX1143" s="13"/>
      <c r="BY1143" s="13"/>
      <c r="BZ1143" s="13"/>
      <c r="CA1143" s="13"/>
      <c r="CB1143" s="13"/>
      <c r="CC1143" s="13"/>
      <c r="CD1143" s="13"/>
      <c r="CE1143" s="13"/>
      <c r="CF1143" s="13"/>
      <c r="CG1143" s="13"/>
      <c r="CH1143" s="13"/>
      <c r="CI1143" s="13"/>
      <c r="CJ1143" s="13"/>
      <c r="CK1143" s="13"/>
      <c r="CL1143" s="13"/>
      <c r="CM1143" s="13"/>
      <c r="CN1143" s="13"/>
      <c r="CO1143" s="13"/>
      <c r="CP1143" s="13"/>
      <c r="CQ1143" s="13"/>
      <c r="CR1143" s="13"/>
      <c r="CS1143" s="13"/>
      <c r="CT1143" s="13"/>
      <c r="CU1143" s="13"/>
      <c r="CV1143" s="13"/>
      <c r="CW1143" s="13"/>
      <c r="CX1143" s="13"/>
      <c r="CY1143" s="13"/>
      <c r="CZ1143" s="13"/>
      <c r="DA1143" s="13"/>
      <c r="DB1143" s="13"/>
      <c r="DC1143" s="13"/>
      <c r="DD1143" s="13"/>
      <c r="DE1143" s="13"/>
    </row>
    <row r="1144" spans="1:135" ht="15.75" customHeight="1" x14ac:dyDescent="0.25">
      <c r="A1144" s="578" t="s">
        <v>4645</v>
      </c>
      <c r="B1144" s="16">
        <v>9593</v>
      </c>
      <c r="C1144" s="167" t="s">
        <v>4643</v>
      </c>
      <c r="D1144" s="174" t="s">
        <v>1471</v>
      </c>
      <c r="E1144" s="11" t="s">
        <v>25</v>
      </c>
      <c r="F1144" s="20" t="s">
        <v>4644</v>
      </c>
      <c r="G1144" s="15" t="s">
        <v>2794</v>
      </c>
      <c r="H1144" s="313" t="s">
        <v>2182</v>
      </c>
      <c r="I1144" s="18" t="s">
        <v>350</v>
      </c>
      <c r="J1144" s="18" t="s">
        <v>315</v>
      </c>
      <c r="K1144" s="33" t="s">
        <v>4646</v>
      </c>
      <c r="L1144" s="25" t="str">
        <f>"RUTL-"&amp;RIGHT(K1144,8)</f>
        <v>RUTL-PC10AS99</v>
      </c>
      <c r="M1144" s="34" t="s">
        <v>40</v>
      </c>
      <c r="N1144" s="15" t="s">
        <v>410</v>
      </c>
      <c r="O1144" s="227"/>
      <c r="P1144" s="39" t="s">
        <v>90</v>
      </c>
      <c r="Q1144" s="63" t="s">
        <v>4647</v>
      </c>
      <c r="R1144" s="15" t="s">
        <v>56</v>
      </c>
      <c r="S1144" s="37" t="s">
        <v>57</v>
      </c>
      <c r="T1144" s="107" t="s">
        <v>453</v>
      </c>
      <c r="U1144" s="39" t="s">
        <v>2337</v>
      </c>
      <c r="V1144" s="23"/>
      <c r="W1144" s="2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c r="AT1144" s="13"/>
      <c r="AU1144" s="13"/>
      <c r="AV1144" s="13"/>
      <c r="AW1144" s="13"/>
      <c r="AX1144" s="13"/>
      <c r="AY1144" s="13"/>
      <c r="AZ1144" s="13"/>
      <c r="BA1144" s="13"/>
      <c r="BB1144" s="13"/>
      <c r="BC1144" s="13"/>
      <c r="BD1144" s="13"/>
      <c r="BE1144" s="13"/>
      <c r="BF1144" s="13"/>
      <c r="BG1144" s="13"/>
      <c r="BH1144" s="13"/>
      <c r="BI1144" s="13"/>
      <c r="BJ1144" s="13"/>
      <c r="BK1144" s="13"/>
      <c r="BL1144" s="13"/>
      <c r="BM1144" s="13"/>
      <c r="BN1144" s="13"/>
      <c r="BO1144" s="13"/>
      <c r="BP1144" s="13"/>
      <c r="BQ1144" s="13"/>
      <c r="BR1144" s="13"/>
      <c r="BS1144" s="13"/>
      <c r="BT1144" s="13"/>
      <c r="BU1144" s="13"/>
      <c r="BV1144" s="13"/>
      <c r="BW1144" s="13"/>
      <c r="BX1144" s="13"/>
      <c r="BY1144" s="13"/>
      <c r="BZ1144" s="13"/>
      <c r="CA1144" s="13"/>
      <c r="CB1144" s="13"/>
      <c r="CC1144" s="13"/>
      <c r="CD1144" s="13"/>
      <c r="CE1144" s="13"/>
      <c r="CF1144" s="13"/>
      <c r="CG1144" s="13"/>
      <c r="CH1144" s="13"/>
      <c r="CI1144" s="13"/>
      <c r="CJ1144" s="13"/>
      <c r="CK1144" s="13"/>
      <c r="CL1144" s="13"/>
      <c r="CM1144" s="13"/>
      <c r="CN1144" s="13"/>
      <c r="CO1144" s="13"/>
      <c r="CP1144" s="13"/>
      <c r="CQ1144" s="13"/>
      <c r="CR1144" s="13"/>
      <c r="CS1144" s="13"/>
      <c r="CT1144" s="13"/>
      <c r="CU1144" s="13"/>
      <c r="CV1144" s="13"/>
      <c r="CW1144" s="13"/>
      <c r="CX1144" s="13"/>
      <c r="CY1144" s="13"/>
      <c r="CZ1144" s="13"/>
      <c r="DA1144" s="13"/>
      <c r="DB1144" s="13"/>
      <c r="DC1144" s="13"/>
      <c r="DD1144" s="13"/>
      <c r="DE1144" s="13"/>
      <c r="DF1144" s="13"/>
      <c r="DG1144" s="13"/>
      <c r="DH1144" s="13"/>
      <c r="DI1144" s="13"/>
      <c r="DJ1144" s="13"/>
      <c r="DK1144" s="13"/>
      <c r="DL1144" s="13"/>
      <c r="DM1144" s="13"/>
      <c r="DN1144" s="13"/>
      <c r="DO1144" s="13"/>
      <c r="DP1144" s="13"/>
      <c r="DQ1144" s="13"/>
      <c r="DR1144" s="13"/>
      <c r="DS1144" s="13"/>
      <c r="DT1144" s="13"/>
      <c r="DU1144" s="13"/>
      <c r="DV1144" s="13"/>
      <c r="DW1144" s="13"/>
      <c r="DX1144" s="13"/>
      <c r="DY1144" s="13"/>
      <c r="DZ1144" s="13"/>
      <c r="EA1144" s="13"/>
      <c r="EB1144" s="13"/>
      <c r="EC1144" s="13"/>
      <c r="ED1144" s="13"/>
      <c r="EE1144" s="13"/>
    </row>
    <row r="1145" spans="1:135" ht="27.75" customHeight="1" x14ac:dyDescent="0.25">
      <c r="A1145" s="578" t="s">
        <v>3202</v>
      </c>
      <c r="B1145" s="8">
        <v>3146</v>
      </c>
      <c r="C1145" s="72" t="s">
        <v>3199</v>
      </c>
      <c r="D1145" s="15" t="s">
        <v>24</v>
      </c>
      <c r="E1145" s="11" t="s">
        <v>25</v>
      </c>
      <c r="F1145" s="20" t="s">
        <v>3200</v>
      </c>
      <c r="G1145" s="15" t="s">
        <v>3201</v>
      </c>
      <c r="H1145" s="17" t="s">
        <v>470</v>
      </c>
      <c r="I1145" s="18" t="s">
        <v>350</v>
      </c>
      <c r="J1145" s="18" t="s">
        <v>315</v>
      </c>
      <c r="K1145" s="33" t="s">
        <v>3203</v>
      </c>
      <c r="L1145" s="25" t="str">
        <f>"RUTL-"&amp;RIGHT(K1145,8)</f>
        <v>RUTL-PC10AS91</v>
      </c>
      <c r="M1145" s="240" t="s">
        <v>40</v>
      </c>
      <c r="N1145" s="23" t="s">
        <v>1018</v>
      </c>
      <c r="O1145" s="23"/>
      <c r="P1145" s="258" t="s">
        <v>90</v>
      </c>
      <c r="Q1145" s="533" t="s">
        <v>3204</v>
      </c>
      <c r="R1145" s="59" t="s">
        <v>56</v>
      </c>
      <c r="S1145" s="37" t="s">
        <v>57</v>
      </c>
      <c r="T1145" s="105" t="s">
        <v>148</v>
      </c>
      <c r="U1145" s="39" t="s">
        <v>761</v>
      </c>
      <c r="V1145" s="23"/>
      <c r="W1145" s="247"/>
      <c r="X1145" s="6"/>
      <c r="Y1145" s="6"/>
      <c r="Z1145" s="6"/>
      <c r="AA1145" s="6"/>
      <c r="AB1145" s="6"/>
      <c r="AC1145" s="6"/>
      <c r="AD1145" s="6"/>
      <c r="AE1145" s="6"/>
      <c r="AF1145" s="6"/>
      <c r="AG1145" s="6"/>
      <c r="AH1145" s="13"/>
      <c r="AI1145" s="13"/>
      <c r="AJ1145" s="13"/>
      <c r="AK1145" s="13"/>
      <c r="AL1145" s="13"/>
      <c r="AM1145" s="13"/>
      <c r="AN1145" s="13"/>
      <c r="AO1145" s="13"/>
      <c r="AP1145" s="13"/>
      <c r="AQ1145" s="13"/>
      <c r="AR1145" s="13"/>
      <c r="AS1145" s="13"/>
      <c r="AT1145" s="13"/>
      <c r="AU1145" s="13"/>
      <c r="AV1145" s="13"/>
      <c r="AW1145" s="13"/>
      <c r="AX1145" s="13"/>
      <c r="AY1145" s="13"/>
      <c r="AZ1145" s="13"/>
      <c r="BA1145" s="13"/>
      <c r="BB1145" s="13"/>
      <c r="BC1145" s="13"/>
      <c r="BD1145" s="13"/>
      <c r="BE1145" s="13"/>
      <c r="BF1145" s="13"/>
      <c r="BG1145" s="13"/>
      <c r="BH1145" s="13"/>
      <c r="BI1145" s="13"/>
      <c r="BJ1145" s="13"/>
      <c r="BK1145" s="13"/>
      <c r="BL1145" s="13"/>
      <c r="BM1145" s="13"/>
      <c r="BN1145" s="13"/>
      <c r="BO1145" s="13"/>
      <c r="BP1145" s="13"/>
      <c r="BQ1145" s="13"/>
      <c r="BR1145" s="13"/>
      <c r="BS1145" s="13"/>
      <c r="BT1145" s="13"/>
      <c r="BU1145" s="13"/>
      <c r="BV1145" s="13"/>
      <c r="BW1145" s="13"/>
      <c r="BX1145" s="13"/>
      <c r="BY1145" s="13"/>
      <c r="BZ1145" s="13"/>
      <c r="CA1145" s="13"/>
      <c r="CB1145" s="13"/>
      <c r="CC1145" s="13"/>
      <c r="CD1145" s="13"/>
      <c r="CE1145" s="13"/>
      <c r="CF1145" s="13"/>
      <c r="CG1145" s="13"/>
      <c r="CH1145" s="13"/>
      <c r="CI1145" s="13"/>
      <c r="CJ1145" s="13"/>
      <c r="CK1145" s="13"/>
      <c r="CL1145" s="13"/>
      <c r="CM1145" s="13"/>
      <c r="CN1145" s="13"/>
      <c r="CO1145" s="13"/>
      <c r="CP1145" s="13"/>
      <c r="CQ1145" s="13"/>
      <c r="CR1145" s="13"/>
      <c r="CS1145" s="13"/>
      <c r="CT1145" s="13"/>
      <c r="CU1145" s="13"/>
      <c r="CV1145" s="13"/>
      <c r="CW1145" s="13"/>
      <c r="CX1145" s="13"/>
      <c r="CY1145" s="13"/>
      <c r="CZ1145" s="13"/>
      <c r="DA1145" s="13"/>
      <c r="DB1145" s="13"/>
      <c r="DC1145" s="13"/>
      <c r="DD1145" s="13"/>
      <c r="DE1145" s="13"/>
      <c r="DF1145" s="13"/>
      <c r="DG1145" s="13"/>
      <c r="DH1145" s="13"/>
      <c r="DI1145" s="13"/>
      <c r="DJ1145" s="13"/>
      <c r="DK1145" s="13"/>
      <c r="DL1145" s="13"/>
      <c r="DM1145" s="13"/>
      <c r="DN1145" s="13"/>
      <c r="DO1145" s="13"/>
      <c r="DP1145" s="13"/>
      <c r="DQ1145" s="13"/>
      <c r="DR1145" s="13"/>
      <c r="DS1145" s="13"/>
      <c r="DT1145" s="13"/>
      <c r="DU1145" s="13"/>
      <c r="DV1145" s="13"/>
      <c r="DW1145" s="13"/>
      <c r="DX1145" s="13"/>
      <c r="DY1145" s="13"/>
      <c r="DZ1145" s="13"/>
      <c r="EA1145" s="13"/>
      <c r="EB1145" s="13"/>
      <c r="EC1145" s="13"/>
      <c r="ED1145" s="13"/>
      <c r="EE1145" s="13"/>
    </row>
    <row r="1146" spans="1:135" ht="51" customHeight="1" x14ac:dyDescent="0.25">
      <c r="A1146" s="578" t="s">
        <v>3710</v>
      </c>
      <c r="B1146" s="8">
        <v>5334</v>
      </c>
      <c r="C1146" s="72" t="s">
        <v>3707</v>
      </c>
      <c r="D1146" s="15" t="s">
        <v>24</v>
      </c>
      <c r="E1146" s="11" t="s">
        <v>25</v>
      </c>
      <c r="F1146" s="20" t="s">
        <v>3708</v>
      </c>
      <c r="G1146" s="15" t="s">
        <v>3709</v>
      </c>
      <c r="H1146" s="17" t="s">
        <v>470</v>
      </c>
      <c r="I1146" s="18" t="s">
        <v>350</v>
      </c>
      <c r="J1146" s="18" t="s">
        <v>315</v>
      </c>
      <c r="K1146" s="33" t="s">
        <v>3711</v>
      </c>
      <c r="L1146" s="25" t="str">
        <f>"RUTL-"&amp;RIGHT(K1146,8)</f>
        <v>RUTL-PC10AS92</v>
      </c>
      <c r="M1146" s="34" t="s">
        <v>40</v>
      </c>
      <c r="N1146" s="15" t="s">
        <v>319</v>
      </c>
      <c r="O1146" s="227"/>
      <c r="P1146" s="39" t="s">
        <v>90</v>
      </c>
      <c r="Q1146" s="63" t="s">
        <v>3712</v>
      </c>
      <c r="R1146" s="15" t="s">
        <v>235</v>
      </c>
      <c r="S1146" s="37" t="s">
        <v>57</v>
      </c>
      <c r="T1146" s="107" t="s">
        <v>453</v>
      </c>
      <c r="U1146" s="39" t="s">
        <v>3713</v>
      </c>
      <c r="V1146" s="23"/>
      <c r="W1146" s="23"/>
      <c r="X1146" s="6"/>
      <c r="Y1146" s="6"/>
      <c r="Z1146" s="6"/>
      <c r="AA1146" s="6"/>
      <c r="AB1146" s="6"/>
      <c r="AC1146" s="6"/>
      <c r="AD1146" s="6"/>
      <c r="AE1146" s="6"/>
      <c r="AF1146" s="6"/>
      <c r="AG1146" s="6"/>
      <c r="AH1146" s="6"/>
      <c r="AI1146" s="6"/>
      <c r="AJ1146" s="6"/>
      <c r="AK1146" s="6"/>
      <c r="AL1146" s="13"/>
      <c r="AM1146" s="13"/>
      <c r="AN1146" s="13"/>
      <c r="AO1146" s="13"/>
      <c r="AP1146" s="13"/>
      <c r="AQ1146" s="13"/>
      <c r="AR1146" s="13"/>
      <c r="AS1146" s="13"/>
      <c r="AT1146" s="13"/>
      <c r="AU1146" s="13"/>
      <c r="AV1146" s="13"/>
      <c r="AW1146" s="13"/>
      <c r="AX1146" s="13"/>
      <c r="AY1146" s="13"/>
      <c r="AZ1146" s="13"/>
      <c r="BA1146" s="13"/>
      <c r="BB1146" s="13"/>
      <c r="BC1146" s="13"/>
      <c r="BD1146" s="13"/>
      <c r="BE1146" s="13"/>
      <c r="BF1146" s="13"/>
      <c r="BG1146" s="13"/>
      <c r="BH1146" s="13"/>
      <c r="BI1146" s="13"/>
      <c r="BJ1146" s="13"/>
      <c r="BK1146" s="13"/>
      <c r="BL1146" s="13"/>
      <c r="BM1146" s="13"/>
      <c r="BN1146" s="13"/>
      <c r="BO1146" s="13"/>
      <c r="BP1146" s="13"/>
      <c r="BQ1146" s="13"/>
      <c r="BR1146" s="13"/>
      <c r="BS1146" s="13"/>
      <c r="BT1146" s="13"/>
      <c r="BU1146" s="13"/>
      <c r="BV1146" s="13"/>
      <c r="BW1146" s="13"/>
      <c r="BX1146" s="13"/>
      <c r="BY1146" s="13"/>
      <c r="BZ1146" s="13"/>
      <c r="CA1146" s="13"/>
      <c r="CB1146" s="13"/>
      <c r="CC1146" s="13"/>
      <c r="CD1146" s="13"/>
      <c r="CE1146" s="13"/>
      <c r="CF1146" s="13"/>
      <c r="CG1146" s="13"/>
      <c r="CH1146" s="13"/>
      <c r="CI1146" s="13"/>
      <c r="CJ1146" s="13"/>
      <c r="CK1146" s="13"/>
      <c r="CL1146" s="13"/>
      <c r="CM1146" s="13"/>
      <c r="CN1146" s="13"/>
      <c r="CO1146" s="13"/>
      <c r="CP1146" s="13"/>
      <c r="CQ1146" s="13"/>
      <c r="CR1146" s="13"/>
      <c r="CS1146" s="13"/>
      <c r="CT1146" s="13"/>
      <c r="CU1146" s="13"/>
      <c r="CV1146" s="13"/>
      <c r="CW1146" s="13"/>
      <c r="CX1146" s="13"/>
      <c r="CY1146" s="13"/>
      <c r="CZ1146" s="13"/>
      <c r="DA1146" s="13"/>
      <c r="DB1146" s="13"/>
      <c r="DC1146" s="13"/>
      <c r="DD1146" s="13"/>
      <c r="DE1146" s="13"/>
      <c r="DF1146" s="13"/>
      <c r="DG1146" s="13"/>
      <c r="DH1146" s="13"/>
      <c r="DI1146" s="13"/>
      <c r="DJ1146" s="13"/>
      <c r="DK1146" s="13"/>
      <c r="DL1146" s="13"/>
      <c r="DM1146" s="13"/>
      <c r="DN1146" s="13"/>
      <c r="DO1146" s="13"/>
      <c r="DP1146" s="13"/>
      <c r="DQ1146" s="13"/>
      <c r="DR1146" s="13"/>
      <c r="DS1146" s="13"/>
      <c r="DT1146" s="13"/>
      <c r="DU1146" s="13"/>
      <c r="DV1146" s="13"/>
      <c r="DW1146" s="13"/>
      <c r="DX1146" s="13"/>
      <c r="DY1146" s="13"/>
      <c r="DZ1146" s="13"/>
      <c r="EA1146" s="13"/>
      <c r="EB1146" s="13"/>
      <c r="EC1146" s="13"/>
      <c r="ED1146" s="13"/>
      <c r="EE1146" s="13"/>
    </row>
    <row r="1147" spans="1:135" ht="15.75" customHeight="1" thickBot="1" x14ac:dyDescent="0.3">
      <c r="A1147" s="578" t="s">
        <v>5037</v>
      </c>
      <c r="B1147" s="16">
        <v>11457</v>
      </c>
      <c r="C1147" s="72" t="s">
        <v>5034</v>
      </c>
      <c r="D1147" s="10" t="s">
        <v>24</v>
      </c>
      <c r="E1147" s="11" t="s">
        <v>25</v>
      </c>
      <c r="F1147" s="20" t="s">
        <v>5035</v>
      </c>
      <c r="G1147" s="15" t="s">
        <v>3201</v>
      </c>
      <c r="H1147" s="104" t="s">
        <v>349</v>
      </c>
      <c r="I1147" s="18" t="s">
        <v>5036</v>
      </c>
      <c r="J1147" s="18" t="s">
        <v>315</v>
      </c>
      <c r="K1147" s="23" t="s">
        <v>5038</v>
      </c>
      <c r="L1147" s="25" t="str">
        <f>"RUTL-"&amp;RIGHT(K1147,8)</f>
        <v>RUTL-PC10AS95</v>
      </c>
      <c r="M1147" s="34" t="s">
        <v>40</v>
      </c>
      <c r="N1147" s="23" t="s">
        <v>43</v>
      </c>
      <c r="O1147" s="15"/>
      <c r="P1147" s="23"/>
      <c r="Q1147" s="63" t="s">
        <v>5039</v>
      </c>
      <c r="R1147" s="15" t="s">
        <v>56</v>
      </c>
      <c r="S1147" s="37" t="s">
        <v>57</v>
      </c>
      <c r="T1147" s="107" t="s">
        <v>453</v>
      </c>
      <c r="U1147" s="39" t="s">
        <v>5040</v>
      </c>
      <c r="V1147" s="23"/>
      <c r="W1147" s="2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3"/>
      <c r="AX1147" s="13"/>
      <c r="AY1147" s="13"/>
      <c r="AZ1147" s="13"/>
      <c r="BA1147" s="13"/>
      <c r="BB1147" s="13"/>
      <c r="BC1147" s="13"/>
      <c r="BD1147" s="13"/>
      <c r="BE1147" s="13"/>
      <c r="BF1147" s="13"/>
      <c r="BG1147" s="13"/>
      <c r="BH1147" s="13"/>
      <c r="BI1147" s="13"/>
      <c r="BJ1147" s="13"/>
      <c r="BK1147" s="13"/>
      <c r="BL1147" s="13"/>
      <c r="BM1147" s="13"/>
      <c r="BN1147" s="13"/>
      <c r="BO1147" s="13"/>
      <c r="BP1147" s="13"/>
      <c r="BQ1147" s="13"/>
      <c r="BR1147" s="13"/>
      <c r="BS1147" s="13"/>
      <c r="BT1147" s="13"/>
      <c r="BU1147" s="13"/>
      <c r="BV1147" s="13"/>
      <c r="BW1147" s="13"/>
      <c r="BX1147" s="13"/>
      <c r="BY1147" s="13"/>
      <c r="BZ1147" s="13"/>
      <c r="CA1147" s="13"/>
      <c r="CB1147" s="13"/>
      <c r="CC1147" s="13"/>
      <c r="CD1147" s="13"/>
      <c r="CE1147" s="13"/>
      <c r="CF1147" s="13"/>
      <c r="CG1147" s="13"/>
      <c r="CH1147" s="13"/>
      <c r="CI1147" s="13"/>
      <c r="CJ1147" s="13"/>
      <c r="CK1147" s="13"/>
      <c r="CL1147" s="13"/>
      <c r="CM1147" s="13"/>
      <c r="CN1147" s="13"/>
      <c r="CO1147" s="13"/>
      <c r="CP1147" s="13"/>
      <c r="CQ1147" s="13"/>
      <c r="CR1147" s="13"/>
      <c r="CS1147" s="13"/>
      <c r="CT1147" s="13"/>
      <c r="CU1147" s="13"/>
      <c r="CV1147" s="13"/>
      <c r="CW1147" s="13"/>
      <c r="CX1147" s="13"/>
      <c r="CY1147" s="13"/>
      <c r="CZ1147" s="13"/>
      <c r="DA1147" s="13"/>
      <c r="DB1147" s="13"/>
      <c r="DC1147" s="13"/>
      <c r="DD1147" s="13"/>
      <c r="DE1147" s="13"/>
      <c r="DF1147" s="13"/>
      <c r="DG1147" s="13"/>
      <c r="DH1147" s="13"/>
      <c r="DI1147" s="13"/>
      <c r="DJ1147" s="13"/>
      <c r="DK1147" s="13"/>
      <c r="DL1147" s="13"/>
      <c r="DM1147" s="13"/>
      <c r="DN1147" s="13"/>
      <c r="DO1147" s="13"/>
      <c r="DP1147" s="13"/>
      <c r="DQ1147" s="13"/>
      <c r="DR1147" s="13"/>
      <c r="DS1147" s="13"/>
      <c r="DT1147" s="13"/>
      <c r="DU1147" s="13"/>
      <c r="DV1147" s="13"/>
      <c r="DW1147" s="13"/>
      <c r="DX1147" s="13"/>
      <c r="DY1147" s="13"/>
      <c r="DZ1147" s="13"/>
      <c r="EA1147" s="13"/>
      <c r="EB1147" s="13"/>
      <c r="EC1147" s="13"/>
      <c r="ED1147" s="13"/>
      <c r="EE1147" s="13"/>
    </row>
    <row r="1148" spans="1:135" ht="27.75" customHeight="1" thickBot="1" x14ac:dyDescent="0.3">
      <c r="A1148" s="578" t="s">
        <v>4858</v>
      </c>
      <c r="B1148" s="16">
        <v>10719</v>
      </c>
      <c r="C1148" s="457" t="s">
        <v>4854</v>
      </c>
      <c r="D1148" s="10" t="s">
        <v>24</v>
      </c>
      <c r="E1148" s="10" t="s">
        <v>25</v>
      </c>
      <c r="F1148" s="29" t="s">
        <v>4855</v>
      </c>
      <c r="G1148" s="15" t="s">
        <v>4856</v>
      </c>
      <c r="H1148" s="53" t="s">
        <v>609</v>
      </c>
      <c r="I1148" s="18" t="s">
        <v>4857</v>
      </c>
      <c r="J1148" s="18" t="s">
        <v>315</v>
      </c>
      <c r="K1148" s="23" t="s">
        <v>4859</v>
      </c>
      <c r="L1148" s="25" t="str">
        <f>"RUTL-"&amp;RIGHT(K1148,8)</f>
        <v>RUTL-PC10AS8W</v>
      </c>
      <c r="M1148" s="34" t="s">
        <v>40</v>
      </c>
      <c r="N1148" s="39" t="s">
        <v>414</v>
      </c>
      <c r="O1148" s="90" t="s">
        <v>4860</v>
      </c>
      <c r="P1148" s="39" t="s">
        <v>90</v>
      </c>
      <c r="Q1148" s="63" t="s">
        <v>4861</v>
      </c>
      <c r="R1148" s="15" t="s">
        <v>56</v>
      </c>
      <c r="S1148" s="40" t="s">
        <v>57</v>
      </c>
      <c r="T1148" s="105" t="s">
        <v>148</v>
      </c>
      <c r="U1148" s="39" t="s">
        <v>4862</v>
      </c>
      <c r="V1148" s="263"/>
      <c r="W1148" s="32" t="s">
        <v>4863</v>
      </c>
      <c r="X1148" s="30"/>
      <c r="Y1148" s="30"/>
      <c r="Z1148" s="30"/>
      <c r="AA1148" s="30"/>
      <c r="AB1148" s="30"/>
      <c r="AC1148" s="30"/>
      <c r="AD1148" s="30"/>
      <c r="AE1148" s="30"/>
      <c r="AF1148" s="30"/>
      <c r="AG1148" s="30"/>
      <c r="AH1148" s="30"/>
      <c r="AI1148" s="30"/>
      <c r="AJ1148" s="30"/>
      <c r="AK1148" s="30"/>
      <c r="AL1148" s="30"/>
      <c r="AM1148" s="30"/>
      <c r="AN1148" s="30"/>
      <c r="AO1148" s="30"/>
      <c r="AP1148" s="30"/>
      <c r="AQ1148" s="30"/>
      <c r="AR1148" s="30"/>
      <c r="AS1148" s="30"/>
      <c r="AT1148" s="30"/>
      <c r="AU1148" s="30"/>
      <c r="AV1148" s="30"/>
      <c r="AW1148" s="30"/>
      <c r="AX1148" s="30"/>
      <c r="AY1148" s="30"/>
      <c r="AZ1148" s="30"/>
      <c r="BA1148" s="30"/>
      <c r="BB1148" s="30"/>
      <c r="BC1148" s="30"/>
      <c r="BD1148" s="30"/>
      <c r="BE1148" s="30"/>
      <c r="BF1148" s="30"/>
      <c r="BG1148" s="30"/>
      <c r="BH1148" s="30"/>
      <c r="BI1148" s="30"/>
      <c r="BJ1148" s="30"/>
      <c r="BK1148" s="30"/>
      <c r="BL1148" s="30"/>
      <c r="BM1148" s="30"/>
      <c r="BN1148" s="30"/>
      <c r="BO1148" s="30"/>
      <c r="BP1148" s="30"/>
      <c r="BQ1148" s="30"/>
      <c r="BR1148" s="30"/>
      <c r="BS1148" s="30"/>
      <c r="BT1148" s="30"/>
      <c r="BU1148" s="30"/>
      <c r="BV1148" s="30"/>
      <c r="BW1148" s="30"/>
      <c r="BX1148" s="30"/>
      <c r="BY1148" s="30"/>
      <c r="BZ1148" s="30"/>
      <c r="CA1148" s="30"/>
      <c r="CB1148" s="30"/>
      <c r="CC1148" s="30"/>
      <c r="CD1148" s="30"/>
      <c r="CE1148" s="30"/>
      <c r="CF1148" s="30"/>
      <c r="CG1148" s="30"/>
      <c r="CH1148" s="30"/>
      <c r="CI1148" s="30"/>
      <c r="CJ1148" s="30"/>
      <c r="CK1148" s="30"/>
      <c r="CL1148" s="30"/>
      <c r="CM1148" s="30"/>
      <c r="CN1148" s="30"/>
      <c r="CO1148" s="30"/>
      <c r="CP1148" s="30"/>
      <c r="CQ1148" s="30"/>
      <c r="CR1148" s="30"/>
      <c r="CS1148" s="30"/>
      <c r="CT1148" s="30"/>
      <c r="CU1148" s="30"/>
      <c r="CV1148" s="30"/>
      <c r="CW1148" s="30"/>
      <c r="CX1148" s="30"/>
      <c r="CY1148" s="30"/>
      <c r="CZ1148" s="30"/>
      <c r="DA1148" s="30"/>
      <c r="DB1148" s="30"/>
      <c r="DC1148" s="30"/>
      <c r="DD1148" s="30"/>
      <c r="DE1148" s="30"/>
      <c r="DF1148" s="30"/>
      <c r="DG1148" s="30"/>
      <c r="DH1148" s="30"/>
      <c r="DI1148" s="30"/>
      <c r="DJ1148" s="30"/>
      <c r="DK1148" s="30"/>
      <c r="DL1148" s="30"/>
      <c r="DM1148" s="30"/>
      <c r="DN1148" s="30"/>
      <c r="DO1148" s="30"/>
      <c r="DP1148" s="30"/>
      <c r="DQ1148" s="30"/>
      <c r="DR1148" s="30"/>
      <c r="DS1148" s="30"/>
      <c r="DT1148" s="30"/>
      <c r="DU1148" s="30"/>
      <c r="DV1148" s="30"/>
      <c r="DW1148" s="30"/>
      <c r="DX1148" s="30"/>
      <c r="DY1148" s="30"/>
      <c r="DZ1148" s="30"/>
      <c r="EA1148" s="30"/>
      <c r="EB1148" s="30"/>
      <c r="EC1148" s="30"/>
      <c r="ED1148" s="30"/>
      <c r="EE1148" s="30"/>
    </row>
    <row r="1149" spans="1:135" ht="27.75" customHeight="1" thickBot="1" x14ac:dyDescent="0.3">
      <c r="A1149" s="578" t="s">
        <v>5150</v>
      </c>
      <c r="B1149" s="8">
        <v>12098</v>
      </c>
      <c r="C1149" s="337" t="s">
        <v>5147</v>
      </c>
      <c r="D1149" s="10" t="s">
        <v>24</v>
      </c>
      <c r="E1149" s="11" t="s">
        <v>25</v>
      </c>
      <c r="F1149" s="20" t="s">
        <v>5148</v>
      </c>
      <c r="G1149" s="15" t="s">
        <v>5149</v>
      </c>
      <c r="H1149" s="104" t="s">
        <v>349</v>
      </c>
      <c r="I1149" s="18" t="s">
        <v>5036</v>
      </c>
      <c r="J1149" s="18" t="s">
        <v>315</v>
      </c>
      <c r="K1149" s="23" t="s">
        <v>5151</v>
      </c>
      <c r="L1149" s="25" t="str">
        <f>"RUTL-"&amp;RIGHT(K1149,8)</f>
        <v>RUTL-PC10AS97</v>
      </c>
      <c r="M1149" s="34" t="s">
        <v>40</v>
      </c>
      <c r="N1149" s="34" t="s">
        <v>664</v>
      </c>
      <c r="O1149" s="34"/>
      <c r="P1149" s="39" t="s">
        <v>90</v>
      </c>
      <c r="Q1149" s="63" t="s">
        <v>5152</v>
      </c>
      <c r="R1149" s="15" t="s">
        <v>235</v>
      </c>
      <c r="S1149" s="37" t="s">
        <v>57</v>
      </c>
      <c r="T1149" s="38" t="s">
        <v>58</v>
      </c>
      <c r="U1149" s="39" t="s">
        <v>3794</v>
      </c>
      <c r="V1149" s="242"/>
      <c r="W1149" s="23"/>
      <c r="X1149" s="30"/>
      <c r="Y1149" s="30"/>
      <c r="Z1149" s="30"/>
      <c r="AA1149" s="30"/>
      <c r="AB1149" s="30"/>
      <c r="AC1149" s="30"/>
      <c r="AD1149" s="30"/>
      <c r="AE1149" s="30"/>
      <c r="AF1149" s="30"/>
      <c r="AG1149" s="30"/>
      <c r="AH1149" s="30"/>
      <c r="AI1149" s="30"/>
      <c r="AJ1149" s="30"/>
      <c r="AK1149" s="30"/>
      <c r="AL1149" s="30"/>
      <c r="AM1149" s="30"/>
      <c r="AN1149" s="30"/>
      <c r="AO1149" s="30"/>
      <c r="AP1149" s="30"/>
      <c r="AQ1149" s="30"/>
      <c r="AR1149" s="30"/>
      <c r="AS1149" s="30"/>
      <c r="AT1149" s="30"/>
      <c r="AU1149" s="30"/>
      <c r="AV1149" s="30"/>
      <c r="AW1149" s="30"/>
      <c r="AX1149" s="30"/>
      <c r="AY1149" s="30"/>
      <c r="AZ1149" s="30"/>
      <c r="BA1149" s="30"/>
      <c r="BB1149" s="30"/>
      <c r="BC1149" s="30"/>
      <c r="BD1149" s="30"/>
      <c r="BE1149" s="30"/>
      <c r="BF1149" s="30"/>
      <c r="BG1149" s="30"/>
      <c r="BH1149" s="30"/>
      <c r="BI1149" s="30"/>
      <c r="BJ1149" s="30"/>
      <c r="BK1149" s="30"/>
      <c r="BL1149" s="30"/>
      <c r="BM1149" s="30"/>
      <c r="BN1149" s="30"/>
      <c r="BO1149" s="30"/>
      <c r="BP1149" s="30"/>
      <c r="BQ1149" s="30"/>
      <c r="BR1149" s="30"/>
      <c r="BS1149" s="30"/>
      <c r="BT1149" s="30"/>
      <c r="BU1149" s="30"/>
      <c r="BV1149" s="30"/>
      <c r="BW1149" s="30"/>
      <c r="BX1149" s="30"/>
      <c r="BY1149" s="30"/>
      <c r="BZ1149" s="30"/>
      <c r="CA1149" s="30"/>
      <c r="CB1149" s="30"/>
      <c r="CC1149" s="30"/>
      <c r="CD1149" s="30"/>
      <c r="CE1149" s="30"/>
      <c r="CF1149" s="30"/>
      <c r="CG1149" s="30"/>
      <c r="CH1149" s="30"/>
      <c r="CI1149" s="30"/>
      <c r="CJ1149" s="30"/>
      <c r="CK1149" s="30"/>
      <c r="CL1149" s="30"/>
      <c r="CM1149" s="30"/>
      <c r="CN1149" s="30"/>
      <c r="CO1149" s="30"/>
      <c r="CP1149" s="30"/>
      <c r="CQ1149" s="30"/>
      <c r="CR1149" s="30"/>
      <c r="CS1149" s="30"/>
      <c r="CT1149" s="30"/>
      <c r="CU1149" s="30"/>
      <c r="CV1149" s="30"/>
      <c r="CW1149" s="30"/>
      <c r="CX1149" s="30"/>
      <c r="CY1149" s="30"/>
      <c r="CZ1149" s="30"/>
      <c r="DA1149" s="30"/>
      <c r="DB1149" s="30"/>
      <c r="DC1149" s="30"/>
      <c r="DD1149" s="30"/>
      <c r="DE1149" s="30"/>
      <c r="DF1149" s="30"/>
      <c r="DG1149" s="30"/>
      <c r="DH1149" s="30"/>
      <c r="DI1149" s="30"/>
      <c r="DJ1149" s="30"/>
      <c r="DK1149" s="30"/>
      <c r="DL1149" s="30"/>
      <c r="DM1149" s="30"/>
      <c r="DN1149" s="30"/>
      <c r="DO1149" s="30"/>
      <c r="DP1149" s="30"/>
      <c r="DQ1149" s="30"/>
      <c r="DR1149" s="30"/>
      <c r="DS1149" s="30"/>
      <c r="DT1149" s="30"/>
      <c r="DU1149" s="30"/>
      <c r="DV1149" s="30"/>
      <c r="DW1149" s="30"/>
      <c r="DX1149" s="30"/>
      <c r="DY1149" s="30"/>
      <c r="DZ1149" s="30"/>
      <c r="EA1149" s="30"/>
      <c r="EB1149" s="30"/>
      <c r="EC1149" s="30"/>
      <c r="ED1149" s="30"/>
      <c r="EE1149" s="30"/>
    </row>
    <row r="1150" spans="1:135" ht="198.75" customHeight="1" thickBot="1" x14ac:dyDescent="0.3">
      <c r="A1150" s="578" t="s">
        <v>316</v>
      </c>
      <c r="B1150" s="8">
        <v>101</v>
      </c>
      <c r="C1150" s="72" t="s">
        <v>306</v>
      </c>
      <c r="D1150" s="140" t="s">
        <v>307</v>
      </c>
      <c r="E1150" s="11" t="s">
        <v>25</v>
      </c>
      <c r="F1150" s="20" t="s">
        <v>309</v>
      </c>
      <c r="G1150" s="15" t="s">
        <v>310</v>
      </c>
      <c r="H1150" s="119" t="s">
        <v>312</v>
      </c>
      <c r="I1150" s="18" t="s">
        <v>314</v>
      </c>
      <c r="J1150" s="18" t="s">
        <v>315</v>
      </c>
      <c r="K1150" s="23" t="s">
        <v>317</v>
      </c>
      <c r="L1150" s="25" t="str">
        <f>"RUTL-"&amp;RIGHT(K1150,8)</f>
        <v>RUTL-PC10AS8Y</v>
      </c>
      <c r="M1150" s="34" t="s">
        <v>40</v>
      </c>
      <c r="N1150" s="39" t="s">
        <v>319</v>
      </c>
      <c r="O1150" s="23"/>
      <c r="P1150" s="39" t="s">
        <v>90</v>
      </c>
      <c r="Q1150" s="63" t="s">
        <v>320</v>
      </c>
      <c r="R1150" s="15" t="s">
        <v>235</v>
      </c>
      <c r="S1150" s="37" t="s">
        <v>57</v>
      </c>
      <c r="T1150" s="23"/>
      <c r="U1150" s="39" t="s">
        <v>321</v>
      </c>
      <c r="V1150" s="242"/>
      <c r="W1150" s="23"/>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c r="AX1150" s="6"/>
      <c r="AY1150" s="6"/>
      <c r="AZ1150" s="6"/>
      <c r="BA1150" s="6"/>
      <c r="BB1150" s="6"/>
      <c r="BC1150" s="6"/>
      <c r="BD1150" s="6"/>
      <c r="BE1150" s="6"/>
      <c r="BF1150" s="6"/>
      <c r="BG1150" s="6"/>
      <c r="BH1150" s="6"/>
      <c r="BI1150" s="6"/>
      <c r="BJ1150" s="6"/>
      <c r="BK1150" s="6"/>
      <c r="BL1150" s="6"/>
      <c r="BM1150" s="6"/>
      <c r="BN1150" s="6"/>
      <c r="BO1150" s="6"/>
      <c r="BP1150" s="6"/>
      <c r="BQ1150" s="6"/>
      <c r="BR1150" s="6"/>
      <c r="BS1150" s="6"/>
      <c r="BT1150" s="6"/>
      <c r="BU1150" s="6"/>
      <c r="BV1150" s="6"/>
      <c r="BW1150" s="6"/>
      <c r="BX1150" s="6"/>
      <c r="BY1150" s="6"/>
      <c r="BZ1150" s="6"/>
      <c r="CA1150" s="6"/>
      <c r="CB1150" s="6"/>
      <c r="CC1150" s="6"/>
      <c r="CD1150" s="6"/>
      <c r="CE1150" s="6"/>
      <c r="CF1150" s="6"/>
      <c r="CG1150" s="6"/>
      <c r="CH1150" s="6"/>
      <c r="CI1150" s="6"/>
      <c r="CJ1150" s="6"/>
      <c r="CK1150" s="6"/>
      <c r="CL1150" s="6"/>
      <c r="CM1150" s="6"/>
      <c r="CN1150" s="6"/>
      <c r="CO1150" s="6"/>
      <c r="CP1150" s="6"/>
      <c r="CQ1150" s="6"/>
      <c r="CR1150" s="6"/>
      <c r="CS1150" s="6"/>
      <c r="CT1150" s="6"/>
      <c r="CU1150" s="6"/>
      <c r="CV1150" s="6"/>
      <c r="CW1150" s="6"/>
      <c r="CX1150" s="6"/>
      <c r="CY1150" s="6"/>
      <c r="CZ1150" s="6"/>
      <c r="DA1150" s="6"/>
      <c r="DB1150" s="6"/>
      <c r="DC1150" s="6"/>
      <c r="DD1150" s="6"/>
      <c r="DE1150" s="6"/>
      <c r="DF1150" s="6"/>
      <c r="DG1150" s="6"/>
      <c r="DH1150" s="6"/>
      <c r="DI1150" s="6"/>
      <c r="DJ1150" s="6"/>
      <c r="DK1150" s="6"/>
      <c r="DL1150" s="6"/>
      <c r="DM1150" s="6"/>
      <c r="DN1150" s="6"/>
      <c r="DO1150" s="6"/>
      <c r="DP1150" s="6"/>
      <c r="DQ1150" s="6"/>
      <c r="DR1150" s="6"/>
      <c r="DS1150" s="6"/>
      <c r="DT1150" s="6"/>
      <c r="DU1150" s="6"/>
      <c r="DV1150" s="6"/>
      <c r="DW1150" s="6"/>
      <c r="DX1150" s="6"/>
      <c r="DY1150" s="6"/>
      <c r="DZ1150" s="6"/>
      <c r="EA1150" s="6"/>
      <c r="EB1150" s="6"/>
      <c r="EC1150" s="6"/>
      <c r="ED1150" s="6"/>
      <c r="EE1150" s="6"/>
    </row>
    <row r="1151" spans="1:135" ht="27.75" customHeight="1" x14ac:dyDescent="0.25">
      <c r="A1151" s="578" t="s">
        <v>4431</v>
      </c>
      <c r="B1151" s="16">
        <v>8426</v>
      </c>
      <c r="C1151" s="72" t="s">
        <v>4426</v>
      </c>
      <c r="D1151" s="10" t="s">
        <v>4427</v>
      </c>
      <c r="E1151" s="11" t="s">
        <v>25</v>
      </c>
      <c r="F1151" s="20" t="s">
        <v>4428</v>
      </c>
      <c r="G1151" s="15" t="s">
        <v>4429</v>
      </c>
      <c r="H1151" s="119" t="s">
        <v>839</v>
      </c>
      <c r="I1151" s="54" t="s">
        <v>4430</v>
      </c>
      <c r="J1151" s="18" t="s">
        <v>315</v>
      </c>
      <c r="K1151" s="33" t="s">
        <v>4432</v>
      </c>
      <c r="L1151" s="25" t="str">
        <f>"RUTL-"&amp;RIGHT(K1151,8)</f>
        <v>RUTL-PC10AS96</v>
      </c>
      <c r="M1151" s="34" t="s">
        <v>40</v>
      </c>
      <c r="N1151" s="39" t="s">
        <v>87</v>
      </c>
      <c r="O1151" s="39" t="s">
        <v>4433</v>
      </c>
      <c r="P1151" s="39" t="s">
        <v>90</v>
      </c>
      <c r="Q1151" s="243" t="s">
        <v>4434</v>
      </c>
      <c r="R1151" s="15" t="s">
        <v>56</v>
      </c>
      <c r="S1151" s="232" t="s">
        <v>296</v>
      </c>
      <c r="T1151" s="107" t="s">
        <v>148</v>
      </c>
      <c r="U1151" s="39" t="s">
        <v>4435</v>
      </c>
      <c r="V1151" s="23"/>
      <c r="W1151" s="23"/>
      <c r="X1151" s="30"/>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c r="AW1151" s="5"/>
      <c r="AX1151" s="5"/>
      <c r="AY1151" s="5"/>
      <c r="AZ1151" s="5"/>
      <c r="BA1151" s="5"/>
      <c r="BB1151" s="5"/>
      <c r="BC1151" s="5"/>
      <c r="BD1151" s="5"/>
      <c r="BE1151" s="5"/>
      <c r="BF1151" s="5"/>
      <c r="BG1151" s="5"/>
      <c r="BH1151" s="5"/>
      <c r="BI1151" s="5"/>
      <c r="BJ1151" s="5"/>
      <c r="BK1151" s="5"/>
      <c r="BL1151" s="5"/>
      <c r="BM1151" s="5"/>
      <c r="BN1151" s="5"/>
      <c r="BO1151" s="5"/>
      <c r="BP1151" s="5"/>
      <c r="BQ1151" s="5"/>
      <c r="BR1151" s="5"/>
      <c r="BS1151" s="5"/>
      <c r="BT1151" s="5"/>
      <c r="BU1151" s="5"/>
      <c r="BV1151" s="5"/>
      <c r="BW1151" s="5"/>
      <c r="BX1151" s="5"/>
      <c r="BY1151" s="5"/>
      <c r="BZ1151" s="5"/>
      <c r="CA1151" s="5"/>
      <c r="CB1151" s="5"/>
      <c r="CC1151" s="5"/>
      <c r="CD1151" s="5"/>
      <c r="CE1151" s="5"/>
      <c r="CF1151" s="5"/>
      <c r="CG1151" s="5"/>
      <c r="CH1151" s="5"/>
      <c r="CI1151" s="5"/>
      <c r="CJ1151" s="5"/>
      <c r="CK1151" s="5"/>
      <c r="CL1151" s="5"/>
      <c r="CM1151" s="5"/>
      <c r="CN1151" s="5"/>
      <c r="CO1151" s="5"/>
      <c r="CP1151" s="5"/>
      <c r="CQ1151" s="5"/>
      <c r="CR1151" s="5"/>
      <c r="CS1151" s="5"/>
      <c r="CT1151" s="5"/>
      <c r="CU1151" s="5"/>
      <c r="CV1151" s="5"/>
      <c r="CW1151" s="5"/>
      <c r="CX1151" s="5"/>
      <c r="CY1151" s="5"/>
      <c r="CZ1151" s="5"/>
      <c r="DA1151" s="5"/>
      <c r="DB1151" s="5"/>
      <c r="DC1151" s="5"/>
      <c r="DD1151" s="5"/>
      <c r="DE1151" s="5"/>
      <c r="DF1151" s="5"/>
      <c r="DG1151" s="5"/>
      <c r="DH1151" s="5"/>
      <c r="DI1151" s="5"/>
      <c r="DJ1151" s="5"/>
      <c r="DK1151" s="5"/>
      <c r="DL1151" s="5"/>
      <c r="DM1151" s="5"/>
      <c r="DN1151" s="5"/>
      <c r="DO1151" s="5"/>
      <c r="DP1151" s="5"/>
      <c r="DQ1151" s="5"/>
      <c r="DR1151" s="5"/>
      <c r="DS1151" s="5"/>
      <c r="DT1151" s="5"/>
      <c r="DU1151" s="5"/>
      <c r="DV1151" s="5"/>
      <c r="DW1151" s="5"/>
      <c r="DX1151" s="5"/>
      <c r="DY1151" s="5"/>
      <c r="DZ1151" s="5"/>
      <c r="EA1151" s="5"/>
      <c r="EB1151" s="5"/>
      <c r="EC1151" s="5"/>
      <c r="ED1151" s="5"/>
      <c r="EE1151" s="5"/>
    </row>
    <row r="1152" spans="1:135" ht="15.75" customHeight="1" thickBot="1" x14ac:dyDescent="0.3">
      <c r="A1152" s="578" t="s">
        <v>2972</v>
      </c>
      <c r="B1152" s="51">
        <v>2169</v>
      </c>
      <c r="C1152" s="72" t="s">
        <v>2967</v>
      </c>
      <c r="D1152" s="10" t="s">
        <v>24</v>
      </c>
      <c r="E1152" s="11" t="s">
        <v>25</v>
      </c>
      <c r="F1152" s="20" t="s">
        <v>2968</v>
      </c>
      <c r="G1152" s="15" t="s">
        <v>2969</v>
      </c>
      <c r="H1152" s="108" t="s">
        <v>225</v>
      </c>
      <c r="I1152" s="18" t="s">
        <v>2970</v>
      </c>
      <c r="J1152" s="18" t="s">
        <v>2971</v>
      </c>
      <c r="K1152" s="23" t="s">
        <v>2973</v>
      </c>
      <c r="L1152" s="25" t="str">
        <f>"RUTL-"&amp;RIGHT(K1152,8)</f>
        <v>RUTL-S4BP0263</v>
      </c>
      <c r="M1152" s="240" t="s">
        <v>40</v>
      </c>
      <c r="N1152" s="23" t="s">
        <v>54</v>
      </c>
      <c r="O1152" s="23"/>
      <c r="P1152" s="39" t="s">
        <v>90</v>
      </c>
      <c r="Q1152" s="63" t="s">
        <v>2974</v>
      </c>
      <c r="R1152" s="15" t="s">
        <v>56</v>
      </c>
      <c r="S1152" s="37" t="s">
        <v>57</v>
      </c>
      <c r="T1152" s="105" t="s">
        <v>453</v>
      </c>
      <c r="U1152" s="39" t="s">
        <v>2975</v>
      </c>
      <c r="V1152" s="23"/>
      <c r="W1152" s="23"/>
    </row>
    <row r="1153" spans="1:135" ht="27.75" customHeight="1" thickBot="1" x14ac:dyDescent="0.3">
      <c r="A1153" s="578" t="s">
        <v>3931</v>
      </c>
      <c r="B1153" s="51">
        <v>6514</v>
      </c>
      <c r="C1153" s="72" t="s">
        <v>3928</v>
      </c>
      <c r="D1153" s="10" t="s">
        <v>24</v>
      </c>
      <c r="E1153" s="28" t="s">
        <v>25</v>
      </c>
      <c r="F1153" s="20" t="s">
        <v>3929</v>
      </c>
      <c r="G1153" s="15" t="s">
        <v>3930</v>
      </c>
      <c r="H1153" s="382" t="s">
        <v>1477</v>
      </c>
      <c r="I1153" s="18" t="s">
        <v>135</v>
      </c>
      <c r="J1153" s="18" t="s">
        <v>587</v>
      </c>
      <c r="K1153" s="23" t="s">
        <v>3932</v>
      </c>
      <c r="L1153" s="21" t="str">
        <f>"RUTL-"&amp;RIGHT(K1153,8)</f>
        <v>RUTL-PF11AA1G</v>
      </c>
      <c r="M1153" s="509" t="s">
        <v>40</v>
      </c>
      <c r="N1153" s="57" t="s">
        <v>664</v>
      </c>
      <c r="O1153" s="74"/>
      <c r="P1153" s="39" t="s">
        <v>90</v>
      </c>
      <c r="Q1153" s="525"/>
      <c r="R1153" s="15" t="s">
        <v>56</v>
      </c>
      <c r="S1153" s="37" t="s">
        <v>57</v>
      </c>
      <c r="T1153" s="107" t="s">
        <v>453</v>
      </c>
      <c r="U1153" s="39" t="s">
        <v>3933</v>
      </c>
      <c r="V1153" s="559">
        <v>43236</v>
      </c>
      <c r="W1153" s="171" t="s">
        <v>608</v>
      </c>
      <c r="X1153" s="30"/>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c r="AX1153" s="6"/>
      <c r="AY1153" s="6"/>
      <c r="AZ1153" s="6"/>
      <c r="BA1153" s="6"/>
      <c r="BB1153" s="6"/>
      <c r="BC1153" s="6"/>
      <c r="BD1153" s="6"/>
      <c r="BE1153" s="6"/>
      <c r="BF1153" s="6"/>
      <c r="BG1153" s="6"/>
      <c r="BH1153" s="6"/>
      <c r="BI1153" s="6"/>
      <c r="BJ1153" s="6"/>
      <c r="BK1153" s="6"/>
      <c r="BL1153" s="6"/>
      <c r="BM1153" s="6"/>
      <c r="BN1153" s="6"/>
      <c r="BO1153" s="6"/>
      <c r="BP1153" s="6"/>
      <c r="BQ1153" s="6"/>
      <c r="BR1153" s="6"/>
      <c r="BS1153" s="6"/>
      <c r="BT1153" s="6"/>
      <c r="BU1153" s="6"/>
      <c r="BV1153" s="6"/>
      <c r="BW1153" s="6"/>
      <c r="BX1153" s="6"/>
      <c r="BY1153" s="6"/>
      <c r="BZ1153" s="6"/>
      <c r="CA1153" s="6"/>
      <c r="CB1153" s="6"/>
      <c r="CC1153" s="6"/>
      <c r="CD1153" s="6"/>
      <c r="CE1153" s="6"/>
      <c r="CF1153" s="6"/>
      <c r="CG1153" s="6"/>
      <c r="CH1153" s="6"/>
      <c r="CI1153" s="6"/>
      <c r="CJ1153" s="6"/>
      <c r="CK1153" s="6"/>
      <c r="CL1153" s="6"/>
      <c r="CM1153" s="6"/>
      <c r="CN1153" s="6"/>
      <c r="CO1153" s="6"/>
      <c r="CP1153" s="6"/>
      <c r="CQ1153" s="6"/>
      <c r="CR1153" s="6"/>
      <c r="CS1153" s="6"/>
      <c r="CT1153" s="6"/>
      <c r="CU1153" s="6"/>
      <c r="CV1153" s="6"/>
      <c r="CW1153" s="6"/>
      <c r="CX1153" s="6"/>
      <c r="CY1153" s="6"/>
      <c r="CZ1153" s="6"/>
      <c r="DA1153" s="6"/>
      <c r="DB1153" s="6"/>
      <c r="DC1153" s="6"/>
      <c r="DD1153" s="6"/>
      <c r="DE1153" s="6"/>
      <c r="DF1153" s="6"/>
      <c r="DG1153" s="6"/>
      <c r="DH1153" s="6"/>
      <c r="DI1153" s="6"/>
      <c r="DJ1153" s="6"/>
      <c r="DK1153" s="6"/>
      <c r="DL1153" s="6"/>
      <c r="DM1153" s="6"/>
      <c r="DN1153" s="6"/>
      <c r="DO1153" s="6"/>
      <c r="DP1153" s="6"/>
      <c r="DQ1153" s="6"/>
      <c r="DR1153" s="6"/>
      <c r="DS1153" s="6"/>
      <c r="DT1153" s="6"/>
      <c r="DU1153" s="6"/>
      <c r="DV1153" s="6"/>
      <c r="DW1153" s="6"/>
      <c r="DX1153" s="6"/>
      <c r="DY1153" s="6"/>
      <c r="DZ1153" s="6"/>
      <c r="EA1153" s="6"/>
      <c r="EB1153" s="6"/>
      <c r="EC1153" s="6"/>
      <c r="ED1153" s="6"/>
      <c r="EE1153" s="6"/>
    </row>
    <row r="1154" spans="1:135" ht="27.75" customHeight="1" thickBot="1" x14ac:dyDescent="0.3">
      <c r="A1154" s="578" t="s">
        <v>3290</v>
      </c>
      <c r="B1154" s="8">
        <v>3317</v>
      </c>
      <c r="C1154" s="72" t="s">
        <v>3287</v>
      </c>
      <c r="D1154" s="15" t="s">
        <v>3288</v>
      </c>
      <c r="E1154" s="11" t="s">
        <v>25</v>
      </c>
      <c r="F1154" s="20" t="s">
        <v>3289</v>
      </c>
      <c r="G1154" s="15" t="s">
        <v>988</v>
      </c>
      <c r="H1154" s="475" t="s">
        <v>1071</v>
      </c>
      <c r="I1154" s="18" t="s">
        <v>117</v>
      </c>
      <c r="J1154" s="18" t="s">
        <v>587</v>
      </c>
      <c r="K1154" s="33" t="s">
        <v>3291</v>
      </c>
      <c r="L1154" s="25" t="str">
        <f>"RUTL-"&amp;RIGHT(K1154,8)</f>
        <v>RUTL-PF12TV8S</v>
      </c>
      <c r="M1154" s="509" t="s">
        <v>40</v>
      </c>
      <c r="N1154" s="23"/>
      <c r="O1154" s="74"/>
      <c r="P1154" s="23"/>
      <c r="Q1154" s="525"/>
      <c r="R1154" s="15" t="s">
        <v>235</v>
      </c>
      <c r="S1154" s="23"/>
      <c r="T1154" s="23"/>
      <c r="U1154" s="23" t="s">
        <v>3292</v>
      </c>
      <c r="V1154" s="559">
        <v>43236</v>
      </c>
      <c r="W1154" s="171" t="s">
        <v>608</v>
      </c>
      <c r="X1154" s="30"/>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c r="BB1154" s="6"/>
      <c r="BC1154" s="6"/>
      <c r="BD1154" s="6"/>
      <c r="BE1154" s="6"/>
      <c r="BF1154" s="6"/>
      <c r="BG1154" s="6"/>
      <c r="BH1154" s="6"/>
      <c r="BI1154" s="6"/>
      <c r="BJ1154" s="6"/>
      <c r="BK1154" s="6"/>
      <c r="BL1154" s="6"/>
      <c r="BM1154" s="6"/>
      <c r="BN1154" s="6"/>
      <c r="BO1154" s="6"/>
      <c r="BP1154" s="6"/>
      <c r="BQ1154" s="6"/>
      <c r="BR1154" s="6"/>
      <c r="BS1154" s="6"/>
      <c r="BT1154" s="6"/>
      <c r="BU1154" s="6"/>
      <c r="BV1154" s="6"/>
      <c r="BW1154" s="6"/>
      <c r="BX1154" s="6"/>
      <c r="BY1154" s="6"/>
      <c r="BZ1154" s="6"/>
      <c r="CA1154" s="6"/>
      <c r="CB1154" s="6"/>
      <c r="CC1154" s="6"/>
      <c r="CD1154" s="6"/>
      <c r="CE1154" s="6"/>
      <c r="CF1154" s="6"/>
      <c r="CG1154" s="6"/>
      <c r="CH1154" s="6"/>
      <c r="CI1154" s="6"/>
      <c r="CJ1154" s="6"/>
      <c r="CK1154" s="6"/>
      <c r="CL1154" s="6"/>
      <c r="CM1154" s="6"/>
      <c r="CN1154" s="6"/>
      <c r="CO1154" s="6"/>
      <c r="CP1154" s="6"/>
      <c r="CQ1154" s="6"/>
      <c r="CR1154" s="6"/>
      <c r="CS1154" s="6"/>
      <c r="CT1154" s="6"/>
      <c r="CU1154" s="6"/>
      <c r="CV1154" s="6"/>
      <c r="CW1154" s="6"/>
      <c r="CX1154" s="6"/>
      <c r="CY1154" s="6"/>
      <c r="CZ1154" s="6"/>
      <c r="DA1154" s="6"/>
      <c r="DB1154" s="6"/>
      <c r="DC1154" s="6"/>
      <c r="DD1154" s="6"/>
      <c r="DE1154" s="6"/>
      <c r="DF1154" s="6"/>
      <c r="DG1154" s="6"/>
      <c r="DH1154" s="6"/>
      <c r="DI1154" s="6"/>
      <c r="DJ1154" s="6"/>
      <c r="DK1154" s="6"/>
      <c r="DL1154" s="6"/>
      <c r="DM1154" s="6"/>
      <c r="DN1154" s="6"/>
      <c r="DO1154" s="6"/>
      <c r="DP1154" s="6"/>
      <c r="DQ1154" s="6"/>
      <c r="DR1154" s="6"/>
      <c r="DS1154" s="6"/>
      <c r="DT1154" s="6"/>
      <c r="DU1154" s="6"/>
      <c r="DV1154" s="6"/>
      <c r="DW1154" s="6"/>
      <c r="DX1154" s="6"/>
      <c r="DY1154" s="6"/>
      <c r="DZ1154" s="6"/>
      <c r="EA1154" s="6"/>
      <c r="EB1154" s="6"/>
      <c r="EC1154" s="6"/>
      <c r="ED1154" s="6"/>
      <c r="EE1154" s="6"/>
    </row>
    <row r="1155" spans="1:135" ht="27.75" customHeight="1" thickBot="1" x14ac:dyDescent="0.3">
      <c r="A1155" s="578" t="s">
        <v>1247</v>
      </c>
      <c r="B1155" s="23"/>
      <c r="C1155" s="99" t="s">
        <v>1244</v>
      </c>
      <c r="D1155" s="15" t="s">
        <v>24</v>
      </c>
      <c r="E1155" s="28" t="s">
        <v>25</v>
      </c>
      <c r="F1155" s="23"/>
      <c r="G1155" s="23"/>
      <c r="H1155" s="367" t="s">
        <v>470</v>
      </c>
      <c r="I1155" s="18" t="s">
        <v>135</v>
      </c>
      <c r="J1155" s="18" t="s">
        <v>933</v>
      </c>
      <c r="K1155" s="23" t="s">
        <v>1249</v>
      </c>
      <c r="L1155" s="21" t="str">
        <f>"RUTL-"&amp;RIGHT(K1155,8)</f>
        <v>RUTL-PF12TV8F</v>
      </c>
      <c r="M1155" s="247"/>
      <c r="N1155" s="23"/>
      <c r="O1155" s="74"/>
      <c r="P1155" s="23"/>
      <c r="Q1155" s="248"/>
      <c r="R1155" s="15" t="s">
        <v>56</v>
      </c>
      <c r="S1155" s="37" t="s">
        <v>57</v>
      </c>
      <c r="T1155" s="107" t="s">
        <v>148</v>
      </c>
      <c r="U1155" s="47" t="s">
        <v>1251</v>
      </c>
      <c r="V1155" s="559">
        <v>43236</v>
      </c>
      <c r="W1155" s="171" t="s">
        <v>608</v>
      </c>
      <c r="X1155" s="30"/>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c r="AX1155" s="6"/>
      <c r="AY1155" s="6"/>
      <c r="AZ1155" s="6"/>
      <c r="BA1155" s="6"/>
      <c r="BB1155" s="6"/>
      <c r="BC1155" s="6"/>
      <c r="BD1155" s="6"/>
      <c r="BE1155" s="6"/>
      <c r="BF1155" s="6"/>
      <c r="BG1155" s="6"/>
      <c r="BH1155" s="6"/>
      <c r="BI1155" s="6"/>
      <c r="BJ1155" s="6"/>
      <c r="BK1155" s="6"/>
      <c r="BL1155" s="6"/>
      <c r="BM1155" s="6"/>
      <c r="BN1155" s="6"/>
      <c r="BO1155" s="6"/>
      <c r="BP1155" s="6"/>
      <c r="BQ1155" s="6"/>
      <c r="BR1155" s="6"/>
      <c r="BS1155" s="6"/>
      <c r="BT1155" s="6"/>
      <c r="BU1155" s="6"/>
      <c r="BV1155" s="6"/>
      <c r="BW1155" s="6"/>
      <c r="BX1155" s="6"/>
      <c r="BY1155" s="6"/>
      <c r="BZ1155" s="6"/>
      <c r="CA1155" s="6"/>
      <c r="CB1155" s="6"/>
      <c r="CC1155" s="6"/>
      <c r="CD1155" s="6"/>
      <c r="CE1155" s="6"/>
      <c r="CF1155" s="6"/>
      <c r="CG1155" s="6"/>
      <c r="CH1155" s="6"/>
      <c r="CI1155" s="6"/>
      <c r="CJ1155" s="6"/>
      <c r="CK1155" s="6"/>
      <c r="CL1155" s="6"/>
      <c r="CM1155" s="6"/>
      <c r="CN1155" s="6"/>
      <c r="CO1155" s="6"/>
      <c r="CP1155" s="6"/>
      <c r="CQ1155" s="6"/>
      <c r="CR1155" s="6"/>
      <c r="CS1155" s="6"/>
      <c r="CT1155" s="6"/>
      <c r="CU1155" s="6"/>
      <c r="CV1155" s="6"/>
      <c r="CW1155" s="6"/>
      <c r="CX1155" s="6"/>
      <c r="CY1155" s="6"/>
      <c r="CZ1155" s="6"/>
      <c r="DA1155" s="6"/>
      <c r="DB1155" s="6"/>
      <c r="DC1155" s="6"/>
      <c r="DD1155" s="6"/>
      <c r="DE1155" s="6"/>
      <c r="DF1155" s="6"/>
      <c r="DG1155" s="6"/>
      <c r="DH1155" s="6"/>
      <c r="DI1155" s="6"/>
      <c r="DJ1155" s="6"/>
      <c r="DK1155" s="6"/>
      <c r="DL1155" s="6"/>
      <c r="DM1155" s="6"/>
      <c r="DN1155" s="6"/>
      <c r="DO1155" s="6"/>
      <c r="DP1155" s="6"/>
      <c r="DQ1155" s="6"/>
      <c r="DR1155" s="6"/>
      <c r="DS1155" s="6"/>
      <c r="DT1155" s="6"/>
      <c r="DU1155" s="6"/>
      <c r="DV1155" s="6"/>
      <c r="DW1155" s="6"/>
      <c r="DX1155" s="6"/>
      <c r="DY1155" s="6"/>
      <c r="DZ1155" s="6"/>
      <c r="EA1155" s="6"/>
      <c r="EB1155" s="6"/>
      <c r="EC1155" s="6"/>
      <c r="ED1155" s="6"/>
      <c r="EE1155" s="6"/>
    </row>
    <row r="1156" spans="1:135" ht="27.75" customHeight="1" thickBot="1" x14ac:dyDescent="0.3">
      <c r="A1156" s="578" t="s">
        <v>6170</v>
      </c>
      <c r="B1156" s="51">
        <v>15332</v>
      </c>
      <c r="C1156" s="52" t="s">
        <v>6168</v>
      </c>
      <c r="D1156" s="10" t="s">
        <v>24</v>
      </c>
      <c r="E1156" s="11" t="s">
        <v>25</v>
      </c>
      <c r="F1156" s="20" t="s">
        <v>6169</v>
      </c>
      <c r="G1156" s="15" t="s">
        <v>3745</v>
      </c>
      <c r="H1156" s="367" t="s">
        <v>1846</v>
      </c>
      <c r="I1156" s="18" t="s">
        <v>135</v>
      </c>
      <c r="J1156" s="18" t="s">
        <v>587</v>
      </c>
      <c r="K1156" s="23" t="s">
        <v>6171</v>
      </c>
      <c r="L1156" s="25" t="str">
        <f>"RUTL-"&amp;RIGHT(K1156,8)</f>
        <v>RUTL-PF12TW3F</v>
      </c>
      <c r="M1156" s="509" t="s">
        <v>40</v>
      </c>
      <c r="N1156" s="23" t="s">
        <v>43</v>
      </c>
      <c r="O1156" s="74"/>
      <c r="P1156" s="39" t="s">
        <v>90</v>
      </c>
      <c r="Q1156" s="539" t="s">
        <v>6172</v>
      </c>
      <c r="R1156" s="15" t="s">
        <v>56</v>
      </c>
      <c r="S1156" s="40" t="s">
        <v>57</v>
      </c>
      <c r="T1156" s="107" t="s">
        <v>148</v>
      </c>
      <c r="U1156" s="39" t="s">
        <v>2118</v>
      </c>
      <c r="V1156" s="559">
        <v>43236</v>
      </c>
      <c r="W1156" s="171" t="s">
        <v>608</v>
      </c>
      <c r="X1156" s="30"/>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c r="AX1156" s="6"/>
      <c r="AY1156" s="6"/>
      <c r="AZ1156" s="6"/>
      <c r="BA1156" s="6"/>
      <c r="BB1156" s="6"/>
      <c r="BC1156" s="6"/>
      <c r="BD1156" s="6"/>
      <c r="BE1156" s="6"/>
      <c r="BF1156" s="6"/>
      <c r="BG1156" s="6"/>
      <c r="BH1156" s="6"/>
      <c r="BI1156" s="6"/>
      <c r="BJ1156" s="6"/>
      <c r="BK1156" s="6"/>
      <c r="BL1156" s="6"/>
      <c r="BM1156" s="6"/>
      <c r="BN1156" s="6"/>
      <c r="BO1156" s="6"/>
      <c r="BP1156" s="6"/>
      <c r="BQ1156" s="6"/>
      <c r="BR1156" s="6"/>
      <c r="BS1156" s="6"/>
      <c r="BT1156" s="6"/>
      <c r="BU1156" s="6"/>
      <c r="BV1156" s="6"/>
      <c r="BW1156" s="6"/>
      <c r="BX1156" s="6"/>
      <c r="BY1156" s="6"/>
      <c r="BZ1156" s="6"/>
      <c r="CA1156" s="6"/>
      <c r="CB1156" s="6"/>
      <c r="CC1156" s="6"/>
      <c r="CD1156" s="6"/>
      <c r="CE1156" s="6"/>
      <c r="CF1156" s="6"/>
      <c r="CG1156" s="6"/>
      <c r="CH1156" s="6"/>
      <c r="CI1156" s="6"/>
      <c r="CJ1156" s="6"/>
      <c r="CK1156" s="6"/>
      <c r="CL1156" s="6"/>
      <c r="CM1156" s="6"/>
      <c r="CN1156" s="6"/>
      <c r="CO1156" s="6"/>
      <c r="CP1156" s="6"/>
      <c r="CQ1156" s="6"/>
      <c r="CR1156" s="6"/>
      <c r="CS1156" s="6"/>
      <c r="CT1156" s="6"/>
      <c r="CU1156" s="6"/>
      <c r="CV1156" s="6"/>
      <c r="CW1156" s="6"/>
      <c r="CX1156" s="6"/>
      <c r="CY1156" s="6"/>
      <c r="CZ1156" s="6"/>
      <c r="DA1156" s="6"/>
      <c r="DB1156" s="6"/>
      <c r="DC1156" s="6"/>
      <c r="DD1156" s="6"/>
      <c r="DE1156" s="6"/>
      <c r="DF1156" s="6"/>
      <c r="DG1156" s="6"/>
      <c r="DH1156" s="6"/>
      <c r="DI1156" s="6"/>
      <c r="DJ1156" s="6"/>
      <c r="DK1156" s="6"/>
      <c r="DL1156" s="6"/>
      <c r="DM1156" s="6"/>
      <c r="DN1156" s="6"/>
      <c r="DO1156" s="6"/>
      <c r="DP1156" s="6"/>
      <c r="DQ1156" s="6"/>
      <c r="DR1156" s="6"/>
      <c r="DS1156" s="6"/>
      <c r="DT1156" s="6"/>
      <c r="DU1156" s="6"/>
      <c r="DV1156" s="6"/>
      <c r="DW1156" s="6"/>
      <c r="DX1156" s="6"/>
      <c r="DY1156" s="6"/>
      <c r="DZ1156" s="6"/>
      <c r="EA1156" s="6"/>
      <c r="EB1156" s="6"/>
      <c r="EC1156" s="6"/>
      <c r="ED1156" s="6"/>
      <c r="EE1156" s="6"/>
    </row>
    <row r="1157" spans="1:135" ht="27.75" customHeight="1" thickBot="1" x14ac:dyDescent="0.3">
      <c r="A1157" s="578" t="s">
        <v>946</v>
      </c>
      <c r="B1157" s="51">
        <v>402</v>
      </c>
      <c r="C1157" s="52" t="s">
        <v>943</v>
      </c>
      <c r="D1157" s="15" t="s">
        <v>24</v>
      </c>
      <c r="E1157" s="11" t="s">
        <v>25</v>
      </c>
      <c r="F1157" s="20" t="s">
        <v>944</v>
      </c>
      <c r="G1157" s="15" t="s">
        <v>945</v>
      </c>
      <c r="H1157" s="17" t="s">
        <v>682</v>
      </c>
      <c r="I1157" s="18" t="s">
        <v>135</v>
      </c>
      <c r="J1157" s="18" t="s">
        <v>587</v>
      </c>
      <c r="K1157" s="23" t="s">
        <v>947</v>
      </c>
      <c r="L1157" s="25" t="str">
        <f>"RUTL-"&amp;RIGHT(K1157,8)</f>
        <v>RUTL-PF12TWZ6</v>
      </c>
      <c r="M1157" s="509" t="s">
        <v>40</v>
      </c>
      <c r="N1157" s="23" t="s">
        <v>43</v>
      </c>
      <c r="O1157" s="74"/>
      <c r="P1157" s="39"/>
      <c r="Q1157" s="525"/>
      <c r="R1157" s="15" t="s">
        <v>235</v>
      </c>
      <c r="S1157" s="40" t="s">
        <v>57</v>
      </c>
      <c r="T1157" s="107" t="s">
        <v>453</v>
      </c>
      <c r="U1157" s="39" t="s">
        <v>948</v>
      </c>
      <c r="V1157" s="563">
        <v>43236</v>
      </c>
      <c r="W1157" s="171" t="s">
        <v>608</v>
      </c>
      <c r="X1157" s="30"/>
      <c r="Y1157" s="30"/>
      <c r="Z1157" s="30"/>
      <c r="AA1157" s="30"/>
      <c r="AB1157" s="30"/>
      <c r="AC1157" s="30"/>
      <c r="AD1157" s="30"/>
      <c r="AE1157" s="30"/>
      <c r="AF1157" s="30"/>
      <c r="AG1157" s="30"/>
      <c r="AH1157" s="30"/>
      <c r="AI1157" s="30"/>
      <c r="AJ1157" s="30"/>
      <c r="AK1157" s="30"/>
      <c r="AL1157" s="30"/>
      <c r="AM1157" s="30"/>
      <c r="AN1157" s="30"/>
      <c r="AO1157" s="30"/>
      <c r="AP1157" s="30"/>
      <c r="AQ1157" s="30"/>
      <c r="AR1157" s="30"/>
      <c r="AS1157" s="30"/>
      <c r="AT1157" s="30"/>
      <c r="AU1157" s="30"/>
      <c r="AV1157" s="30"/>
      <c r="AW1157" s="30"/>
      <c r="AX1157" s="30"/>
      <c r="AY1157" s="30"/>
      <c r="AZ1157" s="30"/>
      <c r="BA1157" s="30"/>
      <c r="BB1157" s="30"/>
      <c r="BC1157" s="30"/>
      <c r="BD1157" s="30"/>
      <c r="BE1157" s="30"/>
      <c r="BF1157" s="30"/>
      <c r="BG1157" s="30"/>
      <c r="BH1157" s="30"/>
      <c r="BI1157" s="30"/>
      <c r="BJ1157" s="30"/>
      <c r="BK1157" s="30"/>
      <c r="BL1157" s="30"/>
      <c r="BM1157" s="30"/>
      <c r="BN1157" s="30"/>
      <c r="BO1157" s="30"/>
      <c r="BP1157" s="30"/>
      <c r="BQ1157" s="30"/>
      <c r="BR1157" s="30"/>
      <c r="BS1157" s="30"/>
      <c r="BT1157" s="30"/>
      <c r="BU1157" s="30"/>
      <c r="BV1157" s="30"/>
      <c r="BW1157" s="30"/>
      <c r="BX1157" s="30"/>
      <c r="BY1157" s="30"/>
      <c r="BZ1157" s="30"/>
      <c r="CA1157" s="30"/>
      <c r="CB1157" s="30"/>
      <c r="CC1157" s="30"/>
      <c r="CD1157" s="30"/>
      <c r="CE1157" s="30"/>
      <c r="CF1157" s="30"/>
      <c r="CG1157" s="30"/>
      <c r="CH1157" s="30"/>
      <c r="CI1157" s="30"/>
      <c r="CJ1157" s="30"/>
      <c r="CK1157" s="30"/>
      <c r="CL1157" s="30"/>
      <c r="CM1157" s="30"/>
      <c r="CN1157" s="30"/>
      <c r="CO1157" s="30"/>
      <c r="CP1157" s="30"/>
      <c r="CQ1157" s="30"/>
      <c r="CR1157" s="30"/>
      <c r="CS1157" s="30"/>
      <c r="CT1157" s="30"/>
      <c r="CU1157" s="30"/>
      <c r="CV1157" s="30"/>
      <c r="CW1157" s="30"/>
      <c r="CX1157" s="30"/>
      <c r="CY1157" s="30"/>
      <c r="CZ1157" s="30"/>
      <c r="DA1157" s="30"/>
      <c r="DB1157" s="30"/>
      <c r="DC1157" s="30"/>
      <c r="DD1157" s="30"/>
      <c r="DE1157" s="30"/>
      <c r="DF1157" s="30"/>
      <c r="DG1157" s="30"/>
      <c r="DH1157" s="30"/>
      <c r="DI1157" s="30"/>
      <c r="DJ1157" s="30"/>
      <c r="DK1157" s="30"/>
      <c r="DL1157" s="30"/>
      <c r="DM1157" s="30"/>
      <c r="DN1157" s="30"/>
      <c r="DO1157" s="30"/>
      <c r="DP1157" s="30"/>
      <c r="DQ1157" s="30"/>
      <c r="DR1157" s="30"/>
      <c r="DS1157" s="30"/>
      <c r="DT1157" s="30"/>
      <c r="DU1157" s="30"/>
      <c r="DV1157" s="30"/>
      <c r="DW1157" s="30"/>
      <c r="DX1157" s="30"/>
      <c r="DY1157" s="30"/>
      <c r="DZ1157" s="30"/>
      <c r="EA1157" s="30"/>
      <c r="EB1157" s="30"/>
      <c r="EC1157" s="30"/>
      <c r="ED1157" s="30"/>
      <c r="EE1157" s="30"/>
    </row>
    <row r="1158" spans="1:135" ht="27.75" customHeight="1" thickBot="1" x14ac:dyDescent="0.3">
      <c r="A1158" s="578" t="s">
        <v>3097</v>
      </c>
      <c r="B1158" s="8">
        <v>2780</v>
      </c>
      <c r="C1158" s="72" t="s">
        <v>3092</v>
      </c>
      <c r="D1158" s="10" t="s">
        <v>3093</v>
      </c>
      <c r="E1158" s="11" t="s">
        <v>25</v>
      </c>
      <c r="F1158" s="20" t="s">
        <v>3094</v>
      </c>
      <c r="G1158" s="15" t="s">
        <v>3095</v>
      </c>
      <c r="H1158" s="53" t="s">
        <v>3096</v>
      </c>
      <c r="I1158" s="18" t="s">
        <v>135</v>
      </c>
      <c r="J1158" s="18" t="s">
        <v>587</v>
      </c>
      <c r="K1158" s="33" t="s">
        <v>3098</v>
      </c>
      <c r="L1158" s="25" t="str">
        <f>"RUTL-"&amp;RIGHT(K1158,8)</f>
        <v>RUTL-PF12TW4T</v>
      </c>
      <c r="M1158" s="509" t="s">
        <v>40</v>
      </c>
      <c r="N1158" s="15" t="s">
        <v>319</v>
      </c>
      <c r="O1158" s="74"/>
      <c r="P1158" s="39" t="s">
        <v>90</v>
      </c>
      <c r="Q1158" s="417" t="s">
        <v>3099</v>
      </c>
      <c r="R1158" s="23"/>
      <c r="S1158" s="23"/>
      <c r="T1158" s="23"/>
      <c r="U1158" s="39" t="s">
        <v>3100</v>
      </c>
      <c r="V1158" s="559">
        <v>43236</v>
      </c>
      <c r="W1158" s="171" t="s">
        <v>608</v>
      </c>
      <c r="X1158" s="30"/>
      <c r="Y1158" s="30"/>
      <c r="Z1158" s="30"/>
      <c r="AA1158" s="30"/>
      <c r="AB1158" s="30"/>
      <c r="AC1158" s="30"/>
      <c r="AD1158" s="30"/>
      <c r="AE1158" s="30"/>
      <c r="AF1158" s="30"/>
      <c r="AG1158" s="30"/>
      <c r="AH1158" s="30"/>
      <c r="AI1158" s="30"/>
      <c r="AJ1158" s="30"/>
      <c r="AK1158" s="30"/>
      <c r="AL1158" s="30"/>
      <c r="AM1158" s="30"/>
      <c r="AN1158" s="30"/>
      <c r="AO1158" s="30"/>
      <c r="AP1158" s="30"/>
      <c r="AQ1158" s="30"/>
      <c r="AR1158" s="30"/>
      <c r="AS1158" s="30"/>
      <c r="AT1158" s="30"/>
      <c r="AU1158" s="30"/>
      <c r="AV1158" s="30"/>
      <c r="AW1158" s="30"/>
      <c r="AX1158" s="30"/>
      <c r="AY1158" s="30"/>
      <c r="AZ1158" s="30"/>
      <c r="BA1158" s="30"/>
      <c r="BB1158" s="30"/>
      <c r="BC1158" s="30"/>
      <c r="BD1158" s="30"/>
      <c r="BE1158" s="30"/>
      <c r="BF1158" s="30"/>
      <c r="BG1158" s="30"/>
      <c r="BH1158" s="30"/>
      <c r="BI1158" s="30"/>
      <c r="BJ1158" s="30"/>
      <c r="BK1158" s="30"/>
      <c r="BL1158" s="30"/>
      <c r="BM1158" s="30"/>
      <c r="BN1158" s="30"/>
      <c r="BO1158" s="30"/>
      <c r="BP1158" s="30"/>
      <c r="BQ1158" s="30"/>
      <c r="BR1158" s="30"/>
      <c r="BS1158" s="30"/>
      <c r="BT1158" s="30"/>
      <c r="BU1158" s="30"/>
      <c r="BV1158" s="30"/>
      <c r="BW1158" s="30"/>
      <c r="BX1158" s="30"/>
      <c r="BY1158" s="30"/>
      <c r="BZ1158" s="30"/>
      <c r="CA1158" s="30"/>
      <c r="CB1158" s="30"/>
      <c r="CC1158" s="30"/>
      <c r="CD1158" s="30"/>
      <c r="CE1158" s="30"/>
      <c r="CF1158" s="30"/>
      <c r="CG1158" s="30"/>
      <c r="CH1158" s="30"/>
      <c r="CI1158" s="30"/>
      <c r="CJ1158" s="30"/>
      <c r="CK1158" s="30"/>
      <c r="CL1158" s="30"/>
      <c r="CM1158" s="30"/>
      <c r="CN1158" s="30"/>
      <c r="CO1158" s="30"/>
      <c r="CP1158" s="30"/>
      <c r="CQ1158" s="30"/>
      <c r="CR1158" s="30"/>
      <c r="CS1158" s="30"/>
      <c r="CT1158" s="30"/>
      <c r="CU1158" s="30"/>
      <c r="CV1158" s="30"/>
      <c r="CW1158" s="30"/>
      <c r="CX1158" s="30"/>
      <c r="CY1158" s="30"/>
      <c r="CZ1158" s="30"/>
      <c r="DA1158" s="30"/>
      <c r="DB1158" s="30"/>
      <c r="DC1158" s="30"/>
      <c r="DD1158" s="30"/>
      <c r="DE1158" s="30"/>
      <c r="DF1158" s="30"/>
      <c r="DG1158" s="30"/>
      <c r="DH1158" s="30"/>
      <c r="DI1158" s="30"/>
      <c r="DJ1158" s="30"/>
      <c r="DK1158" s="30"/>
      <c r="DL1158" s="30"/>
      <c r="DM1158" s="30"/>
      <c r="DN1158" s="30"/>
      <c r="DO1158" s="30"/>
      <c r="DP1158" s="30"/>
      <c r="DQ1158" s="30"/>
      <c r="DR1158" s="30"/>
      <c r="DS1158" s="30"/>
      <c r="DT1158" s="30"/>
      <c r="DU1158" s="30"/>
      <c r="DV1158" s="30"/>
      <c r="DW1158" s="30"/>
      <c r="DX1158" s="30"/>
      <c r="DY1158" s="30"/>
      <c r="DZ1158" s="30"/>
      <c r="EA1158" s="30"/>
      <c r="EB1158" s="30"/>
      <c r="EC1158" s="30"/>
      <c r="ED1158" s="30"/>
      <c r="EE1158" s="30"/>
    </row>
    <row r="1159" spans="1:135" ht="27.75" customHeight="1" thickBot="1" x14ac:dyDescent="0.3">
      <c r="A1159" s="578" t="s">
        <v>590</v>
      </c>
      <c r="B1159" s="51" t="s">
        <v>578</v>
      </c>
      <c r="C1159" s="72" t="s">
        <v>579</v>
      </c>
      <c r="D1159" s="10" t="s">
        <v>581</v>
      </c>
      <c r="E1159" s="11" t="s">
        <v>25</v>
      </c>
      <c r="F1159" s="20" t="s">
        <v>582</v>
      </c>
      <c r="G1159" s="15" t="s">
        <v>585</v>
      </c>
      <c r="H1159" s="17" t="s">
        <v>381</v>
      </c>
      <c r="I1159" s="18" t="s">
        <v>586</v>
      </c>
      <c r="J1159" s="18" t="s">
        <v>587</v>
      </c>
      <c r="K1159" s="23" t="s">
        <v>592</v>
      </c>
      <c r="L1159" s="127" t="str">
        <f>"RUTL-"&amp;RIGHT(K1159,8)</f>
        <v>RUTL-PF12TWZY</v>
      </c>
      <c r="M1159" s="513" t="s">
        <v>40</v>
      </c>
      <c r="N1159" s="23"/>
      <c r="O1159" s="74"/>
      <c r="P1159" s="39" t="s">
        <v>90</v>
      </c>
      <c r="Q1159" s="80" t="s">
        <v>596</v>
      </c>
      <c r="R1159" s="121" t="s">
        <v>56</v>
      </c>
      <c r="S1159" s="151" t="s">
        <v>57</v>
      </c>
      <c r="T1159" s="23" t="s">
        <v>598</v>
      </c>
      <c r="U1159" s="47" t="s">
        <v>599</v>
      </c>
      <c r="V1159" s="559">
        <v>43236</v>
      </c>
      <c r="W1159" s="171" t="s">
        <v>608</v>
      </c>
      <c r="X1159" s="30"/>
      <c r="Y1159" s="30"/>
      <c r="Z1159" s="30"/>
      <c r="AA1159" s="30"/>
      <c r="AB1159" s="30"/>
      <c r="AC1159" s="30"/>
      <c r="AD1159" s="30"/>
      <c r="AE1159" s="30"/>
      <c r="AF1159" s="30"/>
      <c r="AG1159" s="30"/>
      <c r="AH1159" s="30"/>
      <c r="AI1159" s="30"/>
      <c r="AJ1159" s="30"/>
      <c r="AK1159" s="30"/>
      <c r="AL1159" s="30"/>
      <c r="AM1159" s="30"/>
      <c r="AN1159" s="30"/>
      <c r="AO1159" s="30"/>
      <c r="AP1159" s="30"/>
      <c r="AQ1159" s="30"/>
      <c r="AR1159" s="30"/>
      <c r="AS1159" s="30"/>
      <c r="AT1159" s="30"/>
      <c r="AU1159" s="30"/>
      <c r="AV1159" s="30"/>
      <c r="AW1159" s="30"/>
      <c r="AX1159" s="30"/>
      <c r="AY1159" s="30"/>
      <c r="AZ1159" s="30"/>
      <c r="BA1159" s="30"/>
      <c r="BB1159" s="30"/>
      <c r="BC1159" s="30"/>
      <c r="BD1159" s="30"/>
      <c r="BE1159" s="30"/>
      <c r="BF1159" s="30"/>
      <c r="BG1159" s="30"/>
      <c r="BH1159" s="30"/>
      <c r="BI1159" s="30"/>
      <c r="BJ1159" s="30"/>
      <c r="BK1159" s="30"/>
      <c r="BL1159" s="30"/>
      <c r="BM1159" s="30"/>
      <c r="BN1159" s="30"/>
      <c r="BO1159" s="30"/>
      <c r="BP1159" s="30"/>
      <c r="BQ1159" s="30"/>
      <c r="BR1159" s="30"/>
      <c r="BS1159" s="30"/>
      <c r="BT1159" s="30"/>
      <c r="BU1159" s="30"/>
      <c r="BV1159" s="30"/>
      <c r="BW1159" s="30"/>
      <c r="BX1159" s="30"/>
      <c r="BY1159" s="30"/>
      <c r="BZ1159" s="30"/>
      <c r="CA1159" s="30"/>
      <c r="CB1159" s="30"/>
      <c r="CC1159" s="30"/>
      <c r="CD1159" s="30"/>
      <c r="CE1159" s="30"/>
      <c r="CF1159" s="30"/>
      <c r="CG1159" s="30"/>
      <c r="CH1159" s="30"/>
      <c r="CI1159" s="30"/>
      <c r="CJ1159" s="30"/>
      <c r="CK1159" s="30"/>
      <c r="CL1159" s="30"/>
      <c r="CM1159" s="30"/>
      <c r="CN1159" s="30"/>
      <c r="CO1159" s="30"/>
      <c r="CP1159" s="30"/>
      <c r="CQ1159" s="30"/>
      <c r="CR1159" s="30"/>
      <c r="CS1159" s="30"/>
      <c r="CT1159" s="30"/>
      <c r="CU1159" s="30"/>
      <c r="CV1159" s="30"/>
      <c r="CW1159" s="30"/>
      <c r="CX1159" s="30"/>
      <c r="CY1159" s="30"/>
      <c r="CZ1159" s="30"/>
      <c r="DA1159" s="30"/>
      <c r="DB1159" s="30"/>
      <c r="DC1159" s="30"/>
      <c r="DD1159" s="30"/>
      <c r="DE1159" s="30"/>
      <c r="DF1159" s="30"/>
      <c r="DG1159" s="30"/>
      <c r="DH1159" s="30"/>
      <c r="DI1159" s="30"/>
      <c r="DJ1159" s="30"/>
      <c r="DK1159" s="30"/>
      <c r="DL1159" s="30"/>
      <c r="DM1159" s="30"/>
      <c r="DN1159" s="30"/>
      <c r="DO1159" s="30"/>
      <c r="DP1159" s="30"/>
      <c r="DQ1159" s="30"/>
      <c r="DR1159" s="30"/>
      <c r="DS1159" s="30"/>
      <c r="DT1159" s="30"/>
      <c r="DU1159" s="30"/>
      <c r="DV1159" s="30"/>
      <c r="DW1159" s="30"/>
      <c r="DX1159" s="30"/>
      <c r="DY1159" s="30"/>
      <c r="DZ1159" s="30"/>
      <c r="EA1159" s="30"/>
      <c r="EB1159" s="30"/>
      <c r="EC1159" s="30"/>
      <c r="ED1159" s="30"/>
      <c r="EE1159" s="30"/>
    </row>
    <row r="1160" spans="1:135" ht="27.75" customHeight="1" thickBot="1" x14ac:dyDescent="0.3">
      <c r="A1160" s="578" t="s">
        <v>1791</v>
      </c>
      <c r="B1160" s="16">
        <v>723</v>
      </c>
      <c r="C1160" s="72" t="s">
        <v>1787</v>
      </c>
      <c r="D1160" s="15" t="s">
        <v>1788</v>
      </c>
      <c r="E1160" s="11" t="s">
        <v>25</v>
      </c>
      <c r="F1160" s="20" t="s">
        <v>1789</v>
      </c>
      <c r="G1160" s="15" t="s">
        <v>1790</v>
      </c>
      <c r="H1160" s="17" t="s">
        <v>682</v>
      </c>
      <c r="I1160" s="18" t="s">
        <v>135</v>
      </c>
      <c r="J1160" s="18" t="s">
        <v>587</v>
      </c>
      <c r="K1160" s="23" t="s">
        <v>1800</v>
      </c>
      <c r="L1160" s="25" t="str">
        <f>"RUTL-"&amp;RIGHT(K1160,8)</f>
        <v>RUTL-PF12TV85</v>
      </c>
      <c r="M1160" s="509" t="s">
        <v>40</v>
      </c>
      <c r="N1160" s="39" t="s">
        <v>54</v>
      </c>
      <c r="O1160" s="74"/>
      <c r="P1160" s="39" t="s">
        <v>90</v>
      </c>
      <c r="Q1160" s="417" t="s">
        <v>146</v>
      </c>
      <c r="R1160" s="15" t="s">
        <v>56</v>
      </c>
      <c r="S1160" s="40" t="s">
        <v>57</v>
      </c>
      <c r="T1160" s="35" t="s">
        <v>65</v>
      </c>
      <c r="U1160" s="39" t="s">
        <v>1805</v>
      </c>
      <c r="V1160" s="82">
        <v>43236</v>
      </c>
      <c r="W1160" s="171" t="s">
        <v>608</v>
      </c>
      <c r="X1160" s="30"/>
      <c r="Y1160" s="30"/>
      <c r="Z1160" s="30"/>
      <c r="AA1160" s="30"/>
      <c r="AB1160" s="30"/>
      <c r="AC1160" s="30"/>
      <c r="AD1160" s="30"/>
      <c r="AE1160" s="30"/>
      <c r="AF1160" s="30"/>
      <c r="AG1160" s="30"/>
      <c r="AH1160" s="30"/>
      <c r="AI1160" s="30"/>
      <c r="AJ1160" s="30"/>
      <c r="AK1160" s="30"/>
      <c r="AL1160" s="30"/>
      <c r="AM1160" s="30"/>
      <c r="AN1160" s="30"/>
      <c r="AO1160" s="30"/>
      <c r="AP1160" s="30"/>
      <c r="AQ1160" s="30"/>
      <c r="AR1160" s="30"/>
      <c r="AS1160" s="30"/>
      <c r="AT1160" s="30"/>
      <c r="AU1160" s="30"/>
      <c r="AV1160" s="30"/>
      <c r="AW1160" s="30"/>
      <c r="AX1160" s="30"/>
      <c r="AY1160" s="30"/>
      <c r="AZ1160" s="30"/>
      <c r="BA1160" s="30"/>
      <c r="BB1160" s="30"/>
      <c r="BC1160" s="30"/>
      <c r="BD1160" s="30"/>
      <c r="BE1160" s="30"/>
      <c r="BF1160" s="30"/>
      <c r="BG1160" s="30"/>
      <c r="BH1160" s="30"/>
      <c r="BI1160" s="30"/>
      <c r="BJ1160" s="30"/>
      <c r="BK1160" s="30"/>
      <c r="BL1160" s="30"/>
      <c r="BM1160" s="30"/>
      <c r="BN1160" s="30"/>
      <c r="BO1160" s="30"/>
      <c r="BP1160" s="30"/>
      <c r="BQ1160" s="30"/>
      <c r="BR1160" s="30"/>
      <c r="BS1160" s="30"/>
      <c r="BT1160" s="30"/>
      <c r="BU1160" s="30"/>
      <c r="BV1160" s="30"/>
      <c r="BW1160" s="30"/>
      <c r="BX1160" s="30"/>
      <c r="BY1160" s="30"/>
      <c r="BZ1160" s="30"/>
      <c r="CA1160" s="30"/>
      <c r="CB1160" s="30"/>
      <c r="CC1160" s="30"/>
      <c r="CD1160" s="30"/>
      <c r="CE1160" s="30"/>
      <c r="CF1160" s="30"/>
      <c r="CG1160" s="30"/>
      <c r="CH1160" s="30"/>
      <c r="CI1160" s="30"/>
      <c r="CJ1160" s="30"/>
      <c r="CK1160" s="30"/>
      <c r="CL1160" s="30"/>
      <c r="CM1160" s="30"/>
      <c r="CN1160" s="30"/>
      <c r="CO1160" s="30"/>
      <c r="CP1160" s="30"/>
      <c r="CQ1160" s="30"/>
      <c r="CR1160" s="30"/>
      <c r="CS1160" s="30"/>
      <c r="CT1160" s="30"/>
      <c r="CU1160" s="30"/>
      <c r="CV1160" s="30"/>
      <c r="CW1160" s="30"/>
      <c r="CX1160" s="30"/>
      <c r="CY1160" s="30"/>
      <c r="CZ1160" s="30"/>
      <c r="DA1160" s="30"/>
      <c r="DB1160" s="30"/>
      <c r="DC1160" s="30"/>
      <c r="DD1160" s="30"/>
      <c r="DE1160" s="30"/>
      <c r="DF1160" s="30"/>
      <c r="DG1160" s="30"/>
      <c r="DH1160" s="30"/>
      <c r="DI1160" s="30"/>
      <c r="DJ1160" s="30"/>
      <c r="DK1160" s="30"/>
      <c r="DL1160" s="30"/>
      <c r="DM1160" s="30"/>
      <c r="DN1160" s="30"/>
      <c r="DO1160" s="30"/>
      <c r="DP1160" s="30"/>
      <c r="DQ1160" s="30"/>
      <c r="DR1160" s="30"/>
      <c r="DS1160" s="30"/>
      <c r="DT1160" s="30"/>
      <c r="DU1160" s="30"/>
      <c r="DV1160" s="30"/>
      <c r="DW1160" s="30"/>
      <c r="DX1160" s="30"/>
      <c r="DY1160" s="30"/>
      <c r="DZ1160" s="30"/>
      <c r="EA1160" s="30"/>
      <c r="EB1160" s="30"/>
      <c r="EC1160" s="30"/>
      <c r="ED1160" s="30"/>
      <c r="EE1160" s="30"/>
    </row>
    <row r="1161" spans="1:135" ht="27.75" customHeight="1" thickBot="1" x14ac:dyDescent="0.3">
      <c r="A1161" s="578" t="s">
        <v>2280</v>
      </c>
      <c r="B1161" s="120" t="s">
        <v>2275</v>
      </c>
      <c r="C1161" s="72" t="s">
        <v>2276</v>
      </c>
      <c r="D1161" s="15" t="s">
        <v>2277</v>
      </c>
      <c r="E1161" s="11" t="s">
        <v>25</v>
      </c>
      <c r="F1161" s="20" t="s">
        <v>2278</v>
      </c>
      <c r="G1161" s="15" t="s">
        <v>2279</v>
      </c>
      <c r="H1161" s="17" t="s">
        <v>470</v>
      </c>
      <c r="I1161" s="18" t="s">
        <v>38</v>
      </c>
      <c r="J1161" s="18" t="s">
        <v>587</v>
      </c>
      <c r="K1161" s="33" t="s">
        <v>2283</v>
      </c>
      <c r="L1161" s="25" t="str">
        <f>"RUTL-"&amp;RIGHT(K1161,8)</f>
        <v>RUTL-PF12TV9F</v>
      </c>
      <c r="M1161" s="512" t="s">
        <v>40</v>
      </c>
      <c r="N1161" s="23" t="s">
        <v>2284</v>
      </c>
      <c r="O1161" s="74"/>
      <c r="P1161" s="39" t="s">
        <v>90</v>
      </c>
      <c r="Q1161" s="532"/>
      <c r="R1161" s="121" t="s">
        <v>56</v>
      </c>
      <c r="S1161" s="37" t="s">
        <v>57</v>
      </c>
      <c r="T1161" s="108" t="s">
        <v>2286</v>
      </c>
      <c r="U1161" s="47" t="s">
        <v>2287</v>
      </c>
      <c r="V1161" s="559">
        <v>43236</v>
      </c>
      <c r="W1161" s="171" t="s">
        <v>608</v>
      </c>
      <c r="X1161" s="30"/>
      <c r="Y1161" s="30"/>
      <c r="Z1161" s="30"/>
      <c r="AA1161" s="30"/>
      <c r="AB1161" s="30"/>
      <c r="AC1161" s="30"/>
      <c r="AD1161" s="30"/>
      <c r="AE1161" s="30"/>
      <c r="AF1161" s="30"/>
      <c r="AG1161" s="30"/>
      <c r="AH1161" s="30"/>
      <c r="AI1161" s="30"/>
      <c r="AJ1161" s="30"/>
      <c r="AK1161" s="30"/>
      <c r="AL1161" s="30"/>
      <c r="AM1161" s="30"/>
      <c r="AN1161" s="30"/>
      <c r="AO1161" s="30"/>
      <c r="AP1161" s="30"/>
      <c r="AQ1161" s="30"/>
      <c r="AR1161" s="30"/>
      <c r="AS1161" s="30"/>
      <c r="AT1161" s="30"/>
      <c r="AU1161" s="30"/>
      <c r="AV1161" s="30"/>
      <c r="AW1161" s="30"/>
      <c r="AX1161" s="30"/>
      <c r="AY1161" s="30"/>
      <c r="AZ1161" s="30"/>
      <c r="BA1161" s="30"/>
      <c r="BB1161" s="30"/>
      <c r="BC1161" s="30"/>
      <c r="BD1161" s="30"/>
      <c r="BE1161" s="30"/>
      <c r="BF1161" s="30"/>
      <c r="BG1161" s="30"/>
      <c r="BH1161" s="30"/>
      <c r="BI1161" s="30"/>
      <c r="BJ1161" s="30"/>
      <c r="BK1161" s="30"/>
      <c r="BL1161" s="30"/>
      <c r="BM1161" s="30"/>
      <c r="BN1161" s="30"/>
      <c r="BO1161" s="30"/>
      <c r="BP1161" s="30"/>
      <c r="BQ1161" s="30"/>
      <c r="BR1161" s="30"/>
      <c r="BS1161" s="30"/>
      <c r="BT1161" s="30"/>
      <c r="BU1161" s="30"/>
      <c r="BV1161" s="30"/>
      <c r="BW1161" s="30"/>
      <c r="BX1161" s="30"/>
      <c r="BY1161" s="30"/>
      <c r="BZ1161" s="30"/>
      <c r="CA1161" s="30"/>
      <c r="CB1161" s="30"/>
      <c r="CC1161" s="30"/>
      <c r="CD1161" s="30"/>
      <c r="CE1161" s="30"/>
      <c r="CF1161" s="30"/>
      <c r="CG1161" s="30"/>
      <c r="CH1161" s="30"/>
      <c r="CI1161" s="30"/>
      <c r="CJ1161" s="30"/>
      <c r="CK1161" s="30"/>
      <c r="CL1161" s="30"/>
      <c r="CM1161" s="30"/>
      <c r="CN1161" s="30"/>
      <c r="CO1161" s="30"/>
      <c r="CP1161" s="30"/>
      <c r="CQ1161" s="30"/>
      <c r="CR1161" s="30"/>
      <c r="CS1161" s="30"/>
      <c r="CT1161" s="30"/>
      <c r="CU1161" s="30"/>
      <c r="CV1161" s="30"/>
      <c r="CW1161" s="30"/>
      <c r="CX1161" s="30"/>
      <c r="CY1161" s="30"/>
      <c r="CZ1161" s="30"/>
      <c r="DA1161" s="30"/>
      <c r="DB1161" s="30"/>
      <c r="DC1161" s="30"/>
      <c r="DD1161" s="30"/>
      <c r="DE1161" s="30"/>
      <c r="DF1161" s="30"/>
      <c r="DG1161" s="30"/>
      <c r="DH1161" s="30"/>
      <c r="DI1161" s="30"/>
      <c r="DJ1161" s="30"/>
      <c r="DK1161" s="30"/>
      <c r="DL1161" s="30"/>
      <c r="DM1161" s="30"/>
      <c r="DN1161" s="30"/>
      <c r="DO1161" s="30"/>
      <c r="DP1161" s="30"/>
      <c r="DQ1161" s="30"/>
      <c r="DR1161" s="30"/>
      <c r="DS1161" s="30"/>
      <c r="DT1161" s="30"/>
      <c r="DU1161" s="30"/>
      <c r="DV1161" s="30"/>
      <c r="DW1161" s="30"/>
      <c r="DX1161" s="30"/>
      <c r="DY1161" s="30"/>
      <c r="DZ1161" s="30"/>
      <c r="EA1161" s="30"/>
      <c r="EB1161" s="30"/>
      <c r="EC1161" s="30"/>
      <c r="ED1161" s="30"/>
      <c r="EE1161" s="30"/>
    </row>
    <row r="1162" spans="1:135" ht="27.75" customHeight="1" thickBot="1" x14ac:dyDescent="0.3">
      <c r="A1162" s="578" t="s">
        <v>5899</v>
      </c>
      <c r="B1162" s="437">
        <v>14684</v>
      </c>
      <c r="C1162" s="72" t="s">
        <v>5897</v>
      </c>
      <c r="D1162" s="10" t="s">
        <v>24</v>
      </c>
      <c r="E1162" s="11" t="s">
        <v>25</v>
      </c>
      <c r="F1162" s="20" t="s">
        <v>5898</v>
      </c>
      <c r="G1162" s="15" t="s">
        <v>3295</v>
      </c>
      <c r="H1162" s="22" t="s">
        <v>1221</v>
      </c>
      <c r="I1162" s="18" t="s">
        <v>135</v>
      </c>
      <c r="J1162" s="18" t="s">
        <v>587</v>
      </c>
      <c r="K1162" s="23" t="s">
        <v>5900</v>
      </c>
      <c r="L1162" s="25" t="str">
        <f>"RUTL-"&amp;RIGHT(K1162,8)</f>
        <v>RUTL-PF12TX0R</v>
      </c>
      <c r="M1162" s="509" t="s">
        <v>40</v>
      </c>
      <c r="N1162" s="23"/>
      <c r="O1162" s="74"/>
      <c r="P1162" s="23"/>
      <c r="Q1162" s="525"/>
      <c r="R1162" s="15" t="s">
        <v>235</v>
      </c>
      <c r="S1162" s="37" t="s">
        <v>57</v>
      </c>
      <c r="T1162" s="107" t="s">
        <v>148</v>
      </c>
      <c r="U1162" s="39" t="s">
        <v>3787</v>
      </c>
      <c r="V1162" s="559">
        <v>43236</v>
      </c>
      <c r="W1162" s="171" t="s">
        <v>608</v>
      </c>
      <c r="X1162" s="30"/>
      <c r="Y1162" s="30"/>
      <c r="Z1162" s="30"/>
      <c r="AA1162" s="30"/>
      <c r="AB1162" s="30"/>
      <c r="AC1162" s="30"/>
      <c r="AD1162" s="30"/>
      <c r="AE1162" s="30"/>
      <c r="AF1162" s="30"/>
      <c r="AG1162" s="30"/>
      <c r="AH1162" s="30"/>
      <c r="AI1162" s="30"/>
      <c r="AJ1162" s="30"/>
      <c r="AK1162" s="30"/>
      <c r="AL1162" s="30"/>
      <c r="AM1162" s="30"/>
      <c r="AN1162" s="30"/>
      <c r="AO1162" s="30"/>
      <c r="AP1162" s="30"/>
      <c r="AQ1162" s="30"/>
      <c r="AR1162" s="30"/>
      <c r="AS1162" s="30"/>
      <c r="AT1162" s="30"/>
      <c r="AU1162" s="30"/>
      <c r="AV1162" s="30"/>
      <c r="AW1162" s="30"/>
      <c r="AX1162" s="30"/>
      <c r="AY1162" s="30"/>
      <c r="AZ1162" s="30"/>
      <c r="BA1162" s="30"/>
      <c r="BB1162" s="30"/>
      <c r="BC1162" s="30"/>
      <c r="BD1162" s="30"/>
      <c r="BE1162" s="30"/>
      <c r="BF1162" s="30"/>
      <c r="BG1162" s="30"/>
      <c r="BH1162" s="30"/>
      <c r="BI1162" s="30"/>
      <c r="BJ1162" s="30"/>
      <c r="BK1162" s="30"/>
      <c r="BL1162" s="30"/>
      <c r="BM1162" s="30"/>
      <c r="BN1162" s="30"/>
      <c r="BO1162" s="30"/>
      <c r="BP1162" s="30"/>
      <c r="BQ1162" s="30"/>
      <c r="BR1162" s="30"/>
      <c r="BS1162" s="30"/>
      <c r="BT1162" s="30"/>
      <c r="BU1162" s="30"/>
      <c r="BV1162" s="30"/>
      <c r="BW1162" s="30"/>
      <c r="BX1162" s="30"/>
      <c r="BY1162" s="30"/>
      <c r="BZ1162" s="30"/>
      <c r="CA1162" s="30"/>
      <c r="CB1162" s="30"/>
      <c r="CC1162" s="30"/>
      <c r="CD1162" s="30"/>
      <c r="CE1162" s="30"/>
      <c r="CF1162" s="30"/>
      <c r="CG1162" s="30"/>
      <c r="CH1162" s="30"/>
      <c r="CI1162" s="30"/>
      <c r="CJ1162" s="30"/>
      <c r="CK1162" s="30"/>
      <c r="CL1162" s="30"/>
      <c r="CM1162" s="30"/>
      <c r="CN1162" s="30"/>
      <c r="CO1162" s="30"/>
      <c r="CP1162" s="30"/>
      <c r="CQ1162" s="30"/>
      <c r="CR1162" s="30"/>
      <c r="CS1162" s="30"/>
      <c r="CT1162" s="30"/>
      <c r="CU1162" s="30"/>
      <c r="CV1162" s="30"/>
      <c r="CW1162" s="30"/>
      <c r="CX1162" s="30"/>
      <c r="CY1162" s="30"/>
      <c r="CZ1162" s="30"/>
      <c r="DA1162" s="30"/>
      <c r="DB1162" s="30"/>
      <c r="DC1162" s="30"/>
      <c r="DD1162" s="30"/>
      <c r="DE1162" s="30"/>
      <c r="DF1162" s="30"/>
      <c r="DG1162" s="30"/>
      <c r="DH1162" s="30"/>
      <c r="DI1162" s="30"/>
      <c r="DJ1162" s="30"/>
      <c r="DK1162" s="30"/>
      <c r="DL1162" s="30"/>
      <c r="DM1162" s="30"/>
      <c r="DN1162" s="30"/>
      <c r="DO1162" s="30"/>
      <c r="DP1162" s="30"/>
      <c r="DQ1162" s="30"/>
      <c r="DR1162" s="30"/>
      <c r="DS1162" s="30"/>
      <c r="DT1162" s="30"/>
      <c r="DU1162" s="30"/>
      <c r="DV1162" s="30"/>
      <c r="DW1162" s="30"/>
      <c r="DX1162" s="30"/>
      <c r="DY1162" s="30"/>
      <c r="DZ1162" s="30"/>
      <c r="EA1162" s="30"/>
      <c r="EB1162" s="30"/>
      <c r="EC1162" s="30"/>
      <c r="ED1162" s="30"/>
      <c r="EE1162" s="30"/>
    </row>
    <row r="1163" spans="1:135" ht="27.75" customHeight="1" thickBot="1" x14ac:dyDescent="0.3">
      <c r="A1163" s="578" t="s">
        <v>3971</v>
      </c>
      <c r="B1163" s="8">
        <v>6631</v>
      </c>
      <c r="C1163" s="72" t="s">
        <v>3969</v>
      </c>
      <c r="D1163" s="10" t="s">
        <v>2548</v>
      </c>
      <c r="E1163" s="11" t="s">
        <v>25</v>
      </c>
      <c r="F1163" s="20" t="s">
        <v>3970</v>
      </c>
      <c r="G1163" s="15" t="s">
        <v>2794</v>
      </c>
      <c r="H1163" s="313" t="s">
        <v>2182</v>
      </c>
      <c r="I1163" s="18" t="s">
        <v>117</v>
      </c>
      <c r="J1163" s="18" t="s">
        <v>587</v>
      </c>
      <c r="K1163" s="33" t="s">
        <v>3972</v>
      </c>
      <c r="L1163" s="25" t="str">
        <f>"RUTL-"&amp;RIGHT(K1163,8)</f>
        <v>RUTL-PF12TW4F</v>
      </c>
      <c r="M1163" s="509" t="s">
        <v>40</v>
      </c>
      <c r="N1163" s="23"/>
      <c r="O1163" s="74"/>
      <c r="P1163" s="23"/>
      <c r="Q1163" s="525"/>
      <c r="R1163" s="15" t="s">
        <v>56</v>
      </c>
      <c r="S1163" s="37" t="s">
        <v>57</v>
      </c>
      <c r="T1163" s="107" t="s">
        <v>453</v>
      </c>
      <c r="U1163" s="39" t="s">
        <v>511</v>
      </c>
      <c r="V1163" s="559">
        <v>43236</v>
      </c>
      <c r="W1163" s="171" t="s">
        <v>608</v>
      </c>
      <c r="X1163" s="30"/>
      <c r="Y1163" s="30"/>
      <c r="Z1163" s="30"/>
      <c r="AA1163" s="30"/>
      <c r="AB1163" s="30"/>
      <c r="AC1163" s="30"/>
      <c r="AD1163" s="30"/>
      <c r="AE1163" s="30"/>
      <c r="AF1163" s="30"/>
      <c r="AG1163" s="30"/>
      <c r="AH1163" s="30"/>
      <c r="AI1163" s="30"/>
      <c r="AJ1163" s="30"/>
      <c r="AK1163" s="30"/>
      <c r="AL1163" s="30"/>
      <c r="AM1163" s="30"/>
      <c r="AN1163" s="30"/>
      <c r="AO1163" s="30"/>
      <c r="AP1163" s="30"/>
      <c r="AQ1163" s="30"/>
      <c r="AR1163" s="30"/>
      <c r="AS1163" s="30"/>
      <c r="AT1163" s="30"/>
      <c r="AU1163" s="30"/>
      <c r="AV1163" s="30"/>
      <c r="AW1163" s="30"/>
      <c r="AX1163" s="30"/>
      <c r="AY1163" s="30"/>
      <c r="AZ1163" s="30"/>
      <c r="BA1163" s="30"/>
      <c r="BB1163" s="30"/>
      <c r="BC1163" s="30"/>
      <c r="BD1163" s="30"/>
      <c r="BE1163" s="30"/>
      <c r="BF1163" s="30"/>
      <c r="BG1163" s="30"/>
      <c r="BH1163" s="30"/>
      <c r="BI1163" s="30"/>
      <c r="BJ1163" s="30"/>
      <c r="BK1163" s="30"/>
      <c r="BL1163" s="30"/>
      <c r="BM1163" s="30"/>
      <c r="BN1163" s="30"/>
      <c r="BO1163" s="30"/>
      <c r="BP1163" s="30"/>
      <c r="BQ1163" s="30"/>
      <c r="BR1163" s="30"/>
      <c r="BS1163" s="30"/>
      <c r="BT1163" s="30"/>
      <c r="BU1163" s="30"/>
      <c r="BV1163" s="30"/>
      <c r="BW1163" s="30"/>
      <c r="BX1163" s="30"/>
      <c r="BY1163" s="30"/>
      <c r="BZ1163" s="30"/>
      <c r="CA1163" s="30"/>
      <c r="CB1163" s="30"/>
      <c r="CC1163" s="30"/>
      <c r="CD1163" s="30"/>
      <c r="CE1163" s="30"/>
      <c r="CF1163" s="30"/>
      <c r="CG1163" s="30"/>
      <c r="CH1163" s="30"/>
      <c r="CI1163" s="30"/>
      <c r="CJ1163" s="30"/>
      <c r="CK1163" s="30"/>
      <c r="CL1163" s="30"/>
      <c r="CM1163" s="30"/>
      <c r="CN1163" s="30"/>
      <c r="CO1163" s="30"/>
      <c r="CP1163" s="30"/>
      <c r="CQ1163" s="30"/>
      <c r="CR1163" s="30"/>
      <c r="CS1163" s="30"/>
      <c r="CT1163" s="30"/>
      <c r="CU1163" s="30"/>
      <c r="CV1163" s="30"/>
      <c r="CW1163" s="30"/>
      <c r="CX1163" s="30"/>
      <c r="CY1163" s="30"/>
      <c r="CZ1163" s="30"/>
      <c r="DA1163" s="30"/>
      <c r="DB1163" s="30"/>
      <c r="DC1163" s="30"/>
      <c r="DD1163" s="30"/>
      <c r="DE1163" s="30"/>
      <c r="DF1163" s="30"/>
      <c r="DG1163" s="30"/>
      <c r="DH1163" s="30"/>
      <c r="DI1163" s="30"/>
      <c r="DJ1163" s="30"/>
      <c r="DK1163" s="30"/>
      <c r="DL1163" s="30"/>
      <c r="DM1163" s="30"/>
      <c r="DN1163" s="30"/>
      <c r="DO1163" s="30"/>
      <c r="DP1163" s="30"/>
      <c r="DQ1163" s="30"/>
      <c r="DR1163" s="30"/>
      <c r="DS1163" s="30"/>
      <c r="DT1163" s="30"/>
      <c r="DU1163" s="30"/>
      <c r="DV1163" s="30"/>
      <c r="DW1163" s="30"/>
      <c r="DX1163" s="30"/>
      <c r="DY1163" s="30"/>
      <c r="DZ1163" s="30"/>
      <c r="EA1163" s="30"/>
      <c r="EB1163" s="30"/>
      <c r="EC1163" s="30"/>
      <c r="ED1163" s="30"/>
      <c r="EE1163" s="30"/>
    </row>
    <row r="1164" spans="1:135" ht="27.75" customHeight="1" thickBot="1" x14ac:dyDescent="0.3">
      <c r="A1164" s="578" t="s">
        <v>935</v>
      </c>
      <c r="B1164" s="23"/>
      <c r="C1164" s="99" t="s">
        <v>930</v>
      </c>
      <c r="D1164" s="174" t="s">
        <v>583</v>
      </c>
      <c r="E1164" s="23"/>
      <c r="F1164" s="23"/>
      <c r="G1164" s="23"/>
      <c r="H1164" s="119" t="s">
        <v>931</v>
      </c>
      <c r="I1164" s="18" t="s">
        <v>135</v>
      </c>
      <c r="J1164" s="18" t="s">
        <v>933</v>
      </c>
      <c r="K1164" s="135" t="s">
        <v>936</v>
      </c>
      <c r="L1164" s="21" t="str">
        <f>"RUTL-"&amp;RIGHT(K1164,8)</f>
        <v>RUTL-PF12TWY1</v>
      </c>
      <c r="M1164" s="247"/>
      <c r="N1164" s="23"/>
      <c r="O1164" s="74"/>
      <c r="P1164" s="23"/>
      <c r="Q1164" s="248"/>
      <c r="R1164" s="23"/>
      <c r="S1164" s="23"/>
      <c r="T1164" s="23"/>
      <c r="U1164" s="47" t="s">
        <v>938</v>
      </c>
      <c r="V1164" s="559">
        <v>43236</v>
      </c>
      <c r="W1164" s="171" t="s">
        <v>608</v>
      </c>
      <c r="X1164" s="30"/>
      <c r="Y1164" s="30"/>
      <c r="Z1164" s="30"/>
      <c r="AA1164" s="30"/>
      <c r="AB1164" s="30"/>
      <c r="AC1164" s="30"/>
      <c r="AD1164" s="30"/>
      <c r="AE1164" s="30"/>
      <c r="AF1164" s="30"/>
      <c r="AG1164" s="30"/>
      <c r="AH1164" s="30"/>
      <c r="AI1164" s="30"/>
      <c r="AJ1164" s="30"/>
      <c r="AK1164" s="30"/>
      <c r="AL1164" s="30"/>
      <c r="AM1164" s="30"/>
      <c r="AN1164" s="30"/>
      <c r="AO1164" s="30"/>
      <c r="AP1164" s="30"/>
      <c r="AQ1164" s="30"/>
      <c r="AR1164" s="30"/>
      <c r="AS1164" s="30"/>
      <c r="AT1164" s="30"/>
      <c r="AU1164" s="30"/>
      <c r="AV1164" s="30"/>
      <c r="AW1164" s="30"/>
      <c r="AX1164" s="30"/>
      <c r="AY1164" s="30"/>
      <c r="AZ1164" s="30"/>
      <c r="BA1164" s="30"/>
      <c r="BB1164" s="30"/>
      <c r="BC1164" s="30"/>
      <c r="BD1164" s="30"/>
      <c r="BE1164" s="30"/>
      <c r="BF1164" s="30"/>
      <c r="BG1164" s="30"/>
      <c r="BH1164" s="30"/>
      <c r="BI1164" s="30"/>
      <c r="BJ1164" s="30"/>
      <c r="BK1164" s="30"/>
      <c r="BL1164" s="30"/>
      <c r="BM1164" s="30"/>
      <c r="BN1164" s="30"/>
      <c r="BO1164" s="30"/>
      <c r="BP1164" s="30"/>
      <c r="BQ1164" s="30"/>
      <c r="BR1164" s="30"/>
      <c r="BS1164" s="30"/>
      <c r="BT1164" s="30"/>
      <c r="BU1164" s="30"/>
      <c r="BV1164" s="30"/>
      <c r="BW1164" s="30"/>
      <c r="BX1164" s="30"/>
      <c r="BY1164" s="30"/>
      <c r="BZ1164" s="30"/>
      <c r="CA1164" s="30"/>
      <c r="CB1164" s="30"/>
      <c r="CC1164" s="30"/>
      <c r="CD1164" s="30"/>
      <c r="CE1164" s="30"/>
      <c r="CF1164" s="30"/>
      <c r="CG1164" s="30"/>
      <c r="CH1164" s="30"/>
      <c r="CI1164" s="30"/>
      <c r="CJ1164" s="30"/>
      <c r="CK1164" s="30"/>
      <c r="CL1164" s="30"/>
      <c r="CM1164" s="30"/>
      <c r="CN1164" s="30"/>
      <c r="CO1164" s="30"/>
      <c r="CP1164" s="30"/>
      <c r="CQ1164" s="30"/>
      <c r="CR1164" s="30"/>
      <c r="CS1164" s="30"/>
      <c r="CT1164" s="30"/>
      <c r="CU1164" s="30"/>
      <c r="CV1164" s="30"/>
      <c r="CW1164" s="30"/>
      <c r="CX1164" s="30"/>
      <c r="CY1164" s="30"/>
      <c r="CZ1164" s="30"/>
      <c r="DA1164" s="30"/>
      <c r="DB1164" s="30"/>
      <c r="DC1164" s="30"/>
      <c r="DD1164" s="30"/>
      <c r="DE1164" s="30"/>
      <c r="DF1164" s="30"/>
      <c r="DG1164" s="30"/>
      <c r="DH1164" s="30"/>
      <c r="DI1164" s="30"/>
      <c r="DJ1164" s="30"/>
      <c r="DK1164" s="30"/>
      <c r="DL1164" s="30"/>
      <c r="DM1164" s="30"/>
      <c r="DN1164" s="30"/>
      <c r="DO1164" s="30"/>
      <c r="DP1164" s="30"/>
      <c r="DQ1164" s="30"/>
      <c r="DR1164" s="30"/>
      <c r="DS1164" s="30"/>
      <c r="DT1164" s="30"/>
      <c r="DU1164" s="30"/>
      <c r="DV1164" s="30"/>
      <c r="DW1164" s="30"/>
      <c r="DX1164" s="30"/>
      <c r="DY1164" s="30"/>
      <c r="DZ1164" s="30"/>
      <c r="EA1164" s="30"/>
      <c r="EB1164" s="30"/>
      <c r="EC1164" s="30"/>
      <c r="ED1164" s="30"/>
      <c r="EE1164" s="30"/>
    </row>
    <row r="1165" spans="1:135" ht="27.75" customHeight="1" thickBot="1" x14ac:dyDescent="0.3">
      <c r="A1165" s="578" t="s">
        <v>1826</v>
      </c>
      <c r="B1165" s="120" t="s">
        <v>1822</v>
      </c>
      <c r="C1165" s="69" t="s">
        <v>1823</v>
      </c>
      <c r="D1165" s="10" t="s">
        <v>24</v>
      </c>
      <c r="E1165" s="122" t="s">
        <v>25</v>
      </c>
      <c r="F1165" s="20" t="s">
        <v>1824</v>
      </c>
      <c r="G1165" s="15" t="s">
        <v>1825</v>
      </c>
      <c r="H1165" s="17" t="s">
        <v>1777</v>
      </c>
      <c r="I1165" s="18" t="s">
        <v>38</v>
      </c>
      <c r="J1165" s="18" t="s">
        <v>587</v>
      </c>
      <c r="K1165" s="124" t="s">
        <v>1827</v>
      </c>
      <c r="L1165" s="127" t="str">
        <f>"RUTL-"&amp;RIGHT(K1165,8)</f>
        <v>RUTL-PF12TWZN</v>
      </c>
      <c r="M1165" s="512" t="s">
        <v>40</v>
      </c>
      <c r="N1165" s="14" t="s">
        <v>43</v>
      </c>
      <c r="O1165" s="520"/>
      <c r="P1165" s="39" t="s">
        <v>90</v>
      </c>
      <c r="Q1165" s="538"/>
      <c r="R1165" s="121" t="s">
        <v>56</v>
      </c>
      <c r="S1165" s="283"/>
      <c r="T1165" s="137" t="s">
        <v>1830</v>
      </c>
      <c r="U1165" s="187" t="s">
        <v>1831</v>
      </c>
      <c r="V1165" s="284">
        <v>43236</v>
      </c>
      <c r="W1165" s="213" t="s">
        <v>608</v>
      </c>
      <c r="X1165" s="30"/>
      <c r="Y1165" s="30"/>
      <c r="Z1165" s="30"/>
      <c r="AA1165" s="30"/>
      <c r="AB1165" s="30"/>
      <c r="AC1165" s="30"/>
      <c r="AD1165" s="30"/>
      <c r="AE1165" s="30"/>
      <c r="AF1165" s="30"/>
      <c r="AG1165" s="30"/>
      <c r="AH1165" s="30"/>
      <c r="AI1165" s="30"/>
      <c r="AJ1165" s="30"/>
      <c r="AK1165" s="30"/>
      <c r="AL1165" s="30"/>
      <c r="AM1165" s="30"/>
      <c r="AN1165" s="30"/>
      <c r="AO1165" s="30"/>
      <c r="AP1165" s="30"/>
      <c r="AQ1165" s="30"/>
      <c r="AR1165" s="30"/>
      <c r="AS1165" s="30"/>
      <c r="AT1165" s="30"/>
      <c r="AU1165" s="30"/>
      <c r="AV1165" s="30"/>
      <c r="AW1165" s="30"/>
      <c r="AX1165" s="30"/>
      <c r="AY1165" s="30"/>
      <c r="AZ1165" s="30"/>
      <c r="BA1165" s="30"/>
      <c r="BB1165" s="30"/>
      <c r="BC1165" s="30"/>
      <c r="BD1165" s="30"/>
      <c r="BE1165" s="30"/>
      <c r="BF1165" s="30"/>
      <c r="BG1165" s="30"/>
      <c r="BH1165" s="30"/>
      <c r="BI1165" s="30"/>
      <c r="BJ1165" s="30"/>
      <c r="BK1165" s="30"/>
      <c r="BL1165" s="30"/>
      <c r="BM1165" s="30"/>
      <c r="BN1165" s="30"/>
      <c r="BO1165" s="30"/>
      <c r="BP1165" s="30"/>
      <c r="BQ1165" s="30"/>
      <c r="BR1165" s="30"/>
      <c r="BS1165" s="30"/>
      <c r="BT1165" s="30"/>
      <c r="BU1165" s="30"/>
      <c r="BV1165" s="30"/>
      <c r="BW1165" s="30"/>
      <c r="BX1165" s="30"/>
      <c r="BY1165" s="30"/>
      <c r="BZ1165" s="30"/>
      <c r="CA1165" s="30"/>
      <c r="CB1165" s="30"/>
      <c r="CC1165" s="30"/>
      <c r="CD1165" s="30"/>
      <c r="CE1165" s="30"/>
      <c r="CF1165" s="30"/>
      <c r="CG1165" s="30"/>
      <c r="CH1165" s="30"/>
      <c r="CI1165" s="30"/>
      <c r="CJ1165" s="30"/>
      <c r="CK1165" s="30"/>
      <c r="CL1165" s="30"/>
      <c r="CM1165" s="30"/>
      <c r="CN1165" s="30"/>
      <c r="CO1165" s="30"/>
      <c r="CP1165" s="30"/>
      <c r="CQ1165" s="30"/>
      <c r="CR1165" s="30"/>
      <c r="CS1165" s="30"/>
      <c r="CT1165" s="30"/>
      <c r="CU1165" s="30"/>
      <c r="CV1165" s="30"/>
      <c r="CW1165" s="30"/>
      <c r="CX1165" s="30"/>
      <c r="CY1165" s="30"/>
      <c r="CZ1165" s="30"/>
      <c r="DA1165" s="30"/>
      <c r="DB1165" s="30"/>
      <c r="DC1165" s="30"/>
      <c r="DD1165" s="30"/>
      <c r="DE1165" s="30"/>
      <c r="DF1165" s="30"/>
      <c r="DG1165" s="30"/>
      <c r="DH1165" s="30"/>
      <c r="DI1165" s="30"/>
      <c r="DJ1165" s="30"/>
      <c r="DK1165" s="30"/>
      <c r="DL1165" s="30"/>
      <c r="DM1165" s="30"/>
      <c r="DN1165" s="30"/>
      <c r="DO1165" s="30"/>
      <c r="DP1165" s="30"/>
      <c r="DQ1165" s="30"/>
      <c r="DR1165" s="30"/>
      <c r="DS1165" s="30"/>
      <c r="DT1165" s="30"/>
      <c r="DU1165" s="30"/>
      <c r="DV1165" s="30"/>
      <c r="DW1165" s="30"/>
      <c r="DX1165" s="30"/>
      <c r="DY1165" s="30"/>
      <c r="DZ1165" s="30"/>
      <c r="EA1165" s="30"/>
      <c r="EB1165" s="30"/>
      <c r="EC1165" s="30"/>
      <c r="ED1165" s="30"/>
      <c r="EE1165" s="30"/>
    </row>
    <row r="1166" spans="1:135" ht="27.75" customHeight="1" thickBot="1" x14ac:dyDescent="0.3">
      <c r="A1166" s="578" t="s">
        <v>3680</v>
      </c>
      <c r="B1166" s="8">
        <v>5074</v>
      </c>
      <c r="C1166" s="72" t="s">
        <v>3678</v>
      </c>
      <c r="D1166" s="15" t="s">
        <v>24</v>
      </c>
      <c r="E1166" s="11" t="s">
        <v>25</v>
      </c>
      <c r="F1166" s="20" t="s">
        <v>3679</v>
      </c>
      <c r="G1166" s="15" t="s">
        <v>1698</v>
      </c>
      <c r="H1166" s="53" t="s">
        <v>1204</v>
      </c>
      <c r="I1166" s="18" t="s">
        <v>135</v>
      </c>
      <c r="J1166" s="18" t="s">
        <v>587</v>
      </c>
      <c r="K1166" s="33" t="s">
        <v>3681</v>
      </c>
      <c r="L1166" s="25" t="str">
        <f>"RUTL-"&amp;RIGHT(K1166,8)</f>
        <v>RUTL-PF12TV9V</v>
      </c>
      <c r="M1166" s="509" t="s">
        <v>40</v>
      </c>
      <c r="N1166" s="23" t="s">
        <v>43</v>
      </c>
      <c r="O1166" s="74"/>
      <c r="P1166" s="39" t="s">
        <v>90</v>
      </c>
      <c r="Q1166" s="525"/>
      <c r="R1166" s="15" t="s">
        <v>56</v>
      </c>
      <c r="S1166" s="23"/>
      <c r="T1166" s="87" t="s">
        <v>273</v>
      </c>
      <c r="U1166" s="23" t="s">
        <v>3682</v>
      </c>
      <c r="V1166" s="559">
        <v>43236</v>
      </c>
      <c r="W1166" s="171" t="s">
        <v>608</v>
      </c>
      <c r="X1166" s="30"/>
      <c r="Y1166" s="30"/>
      <c r="Z1166" s="30"/>
      <c r="AA1166" s="30"/>
      <c r="AB1166" s="30"/>
      <c r="AC1166" s="30"/>
      <c r="AD1166" s="30"/>
      <c r="AE1166" s="30"/>
      <c r="AF1166" s="30"/>
      <c r="AG1166" s="30"/>
      <c r="AH1166" s="30"/>
      <c r="AI1166" s="30"/>
      <c r="AJ1166" s="30"/>
      <c r="AK1166" s="30"/>
      <c r="AL1166" s="30"/>
      <c r="AM1166" s="30"/>
      <c r="AN1166" s="30"/>
      <c r="AO1166" s="30"/>
      <c r="AP1166" s="30"/>
      <c r="AQ1166" s="30"/>
      <c r="AR1166" s="30"/>
      <c r="AS1166" s="30"/>
      <c r="AT1166" s="30"/>
      <c r="AU1166" s="30"/>
      <c r="AV1166" s="30"/>
      <c r="AW1166" s="30"/>
      <c r="AX1166" s="30"/>
      <c r="AY1166" s="30"/>
      <c r="AZ1166" s="30"/>
      <c r="BA1166" s="30"/>
      <c r="BB1166" s="30"/>
      <c r="BC1166" s="30"/>
      <c r="BD1166" s="30"/>
      <c r="BE1166" s="30"/>
      <c r="BF1166" s="30"/>
      <c r="BG1166" s="30"/>
      <c r="BH1166" s="30"/>
      <c r="BI1166" s="30"/>
      <c r="BJ1166" s="30"/>
      <c r="BK1166" s="30"/>
      <c r="BL1166" s="30"/>
      <c r="BM1166" s="30"/>
      <c r="BN1166" s="30"/>
      <c r="BO1166" s="30"/>
      <c r="BP1166" s="30"/>
      <c r="BQ1166" s="30"/>
      <c r="BR1166" s="30"/>
      <c r="BS1166" s="30"/>
      <c r="BT1166" s="30"/>
      <c r="BU1166" s="30"/>
      <c r="BV1166" s="30"/>
      <c r="BW1166" s="30"/>
      <c r="BX1166" s="30"/>
      <c r="BY1166" s="30"/>
      <c r="BZ1166" s="30"/>
      <c r="CA1166" s="30"/>
      <c r="CB1166" s="30"/>
      <c r="CC1166" s="30"/>
      <c r="CD1166" s="30"/>
      <c r="CE1166" s="30"/>
      <c r="CF1166" s="30"/>
      <c r="CG1166" s="30"/>
      <c r="CH1166" s="30"/>
      <c r="CI1166" s="30"/>
      <c r="CJ1166" s="30"/>
      <c r="CK1166" s="30"/>
      <c r="CL1166" s="30"/>
      <c r="CM1166" s="30"/>
      <c r="CN1166" s="30"/>
      <c r="CO1166" s="30"/>
      <c r="CP1166" s="30"/>
      <c r="CQ1166" s="30"/>
      <c r="CR1166" s="30"/>
      <c r="CS1166" s="30"/>
      <c r="CT1166" s="30"/>
      <c r="CU1166" s="30"/>
      <c r="CV1166" s="30"/>
      <c r="CW1166" s="30"/>
      <c r="CX1166" s="30"/>
      <c r="CY1166" s="30"/>
      <c r="CZ1166" s="30"/>
      <c r="DA1166" s="30"/>
      <c r="DB1166" s="30"/>
      <c r="DC1166" s="30"/>
      <c r="DD1166" s="30"/>
      <c r="DE1166" s="30"/>
      <c r="DF1166" s="30"/>
      <c r="DG1166" s="30"/>
      <c r="DH1166" s="30"/>
      <c r="DI1166" s="30"/>
      <c r="DJ1166" s="30"/>
      <c r="DK1166" s="30"/>
      <c r="DL1166" s="30"/>
      <c r="DM1166" s="30"/>
      <c r="DN1166" s="30"/>
      <c r="DO1166" s="30"/>
      <c r="DP1166" s="30"/>
      <c r="DQ1166" s="30"/>
      <c r="DR1166" s="30"/>
      <c r="DS1166" s="30"/>
      <c r="DT1166" s="30"/>
      <c r="DU1166" s="30"/>
      <c r="DV1166" s="30"/>
      <c r="DW1166" s="30"/>
      <c r="DX1166" s="30"/>
      <c r="DY1166" s="30"/>
      <c r="DZ1166" s="30"/>
      <c r="EA1166" s="30"/>
      <c r="EB1166" s="30"/>
      <c r="EC1166" s="30"/>
      <c r="ED1166" s="30"/>
      <c r="EE1166" s="30"/>
    </row>
    <row r="1167" spans="1:135" ht="27.75" customHeight="1" thickBot="1" x14ac:dyDescent="0.3">
      <c r="A1167" s="578" t="s">
        <v>862</v>
      </c>
      <c r="B1167" s="120" t="s">
        <v>856</v>
      </c>
      <c r="C1167" s="9" t="s">
        <v>859</v>
      </c>
      <c r="D1167" s="121" t="s">
        <v>24</v>
      </c>
      <c r="E1167" s="122" t="s">
        <v>25</v>
      </c>
      <c r="F1167" s="162" t="s">
        <v>860</v>
      </c>
      <c r="G1167" s="15" t="s">
        <v>861</v>
      </c>
      <c r="H1167" s="119" t="s">
        <v>839</v>
      </c>
      <c r="I1167" s="18" t="s">
        <v>38</v>
      </c>
      <c r="J1167" s="18" t="s">
        <v>587</v>
      </c>
      <c r="K1167" s="23" t="s">
        <v>865</v>
      </c>
      <c r="L1167" s="127" t="str">
        <f>"RUTL-"&amp;RIGHT(K1167,8)</f>
        <v>RUTL-PF12TW42</v>
      </c>
      <c r="M1167" s="512" t="s">
        <v>40</v>
      </c>
      <c r="N1167" s="14" t="s">
        <v>43</v>
      </c>
      <c r="O1167" s="519"/>
      <c r="P1167" s="39" t="s">
        <v>90</v>
      </c>
      <c r="Q1167" s="80" t="s">
        <v>868</v>
      </c>
      <c r="R1167" s="121" t="s">
        <v>56</v>
      </c>
      <c r="S1167" s="151" t="s">
        <v>57</v>
      </c>
      <c r="T1167" s="211" t="s">
        <v>273</v>
      </c>
      <c r="U1167" s="187" t="s">
        <v>870</v>
      </c>
      <c r="V1167" s="284">
        <v>43236</v>
      </c>
      <c r="W1167" s="213" t="s">
        <v>608</v>
      </c>
      <c r="X1167" s="30"/>
      <c r="Y1167" s="30"/>
      <c r="Z1167" s="30"/>
      <c r="AA1167" s="30"/>
      <c r="AB1167" s="30"/>
      <c r="AC1167" s="30"/>
      <c r="AD1167" s="30"/>
      <c r="AE1167" s="30"/>
      <c r="AF1167" s="30"/>
      <c r="AG1167" s="30"/>
      <c r="AH1167" s="30"/>
      <c r="AI1167" s="30"/>
      <c r="AJ1167" s="30"/>
      <c r="AK1167" s="30"/>
      <c r="AL1167" s="30"/>
      <c r="AM1167" s="30"/>
      <c r="AN1167" s="30"/>
      <c r="AO1167" s="30"/>
      <c r="AP1167" s="30"/>
      <c r="AQ1167" s="30"/>
      <c r="AR1167" s="30"/>
      <c r="AS1167" s="30"/>
      <c r="AT1167" s="30"/>
      <c r="AU1167" s="30"/>
      <c r="AV1167" s="30"/>
      <c r="AW1167" s="30"/>
      <c r="AX1167" s="30"/>
      <c r="AY1167" s="30"/>
      <c r="AZ1167" s="30"/>
      <c r="BA1167" s="30"/>
      <c r="BB1167" s="30"/>
      <c r="BC1167" s="30"/>
      <c r="BD1167" s="30"/>
      <c r="BE1167" s="30"/>
      <c r="BF1167" s="30"/>
      <c r="BG1167" s="30"/>
      <c r="BH1167" s="30"/>
      <c r="BI1167" s="30"/>
      <c r="BJ1167" s="30"/>
      <c r="BK1167" s="30"/>
      <c r="BL1167" s="30"/>
      <c r="BM1167" s="30"/>
      <c r="BN1167" s="30"/>
      <c r="BO1167" s="30"/>
      <c r="BP1167" s="30"/>
      <c r="BQ1167" s="30"/>
      <c r="BR1167" s="30"/>
      <c r="BS1167" s="30"/>
      <c r="BT1167" s="30"/>
      <c r="BU1167" s="30"/>
      <c r="BV1167" s="30"/>
      <c r="BW1167" s="30"/>
      <c r="BX1167" s="30"/>
      <c r="BY1167" s="30"/>
      <c r="BZ1167" s="30"/>
      <c r="CA1167" s="30"/>
      <c r="CB1167" s="30"/>
      <c r="CC1167" s="30"/>
      <c r="CD1167" s="30"/>
      <c r="CE1167" s="30"/>
      <c r="CF1167" s="30"/>
      <c r="CG1167" s="30"/>
      <c r="CH1167" s="30"/>
      <c r="CI1167" s="30"/>
      <c r="CJ1167" s="30"/>
      <c r="CK1167" s="30"/>
      <c r="CL1167" s="30"/>
      <c r="CM1167" s="30"/>
      <c r="CN1167" s="30"/>
      <c r="CO1167" s="30"/>
      <c r="CP1167" s="30"/>
      <c r="CQ1167" s="30"/>
      <c r="CR1167" s="30"/>
      <c r="CS1167" s="30"/>
      <c r="CT1167" s="30"/>
      <c r="CU1167" s="30"/>
      <c r="CV1167" s="30"/>
      <c r="CW1167" s="30"/>
      <c r="CX1167" s="30"/>
      <c r="CY1167" s="30"/>
      <c r="CZ1167" s="30"/>
      <c r="DA1167" s="30"/>
      <c r="DB1167" s="30"/>
      <c r="DC1167" s="30"/>
      <c r="DD1167" s="30"/>
      <c r="DE1167" s="30"/>
      <c r="DF1167" s="30"/>
      <c r="DG1167" s="30"/>
      <c r="DH1167" s="30"/>
      <c r="DI1167" s="30"/>
      <c r="DJ1167" s="30"/>
      <c r="DK1167" s="30"/>
      <c r="DL1167" s="30"/>
      <c r="DM1167" s="30"/>
      <c r="DN1167" s="30"/>
      <c r="DO1167" s="30"/>
      <c r="DP1167" s="30"/>
      <c r="DQ1167" s="30"/>
      <c r="DR1167" s="30"/>
      <c r="DS1167" s="30"/>
      <c r="DT1167" s="30"/>
      <c r="DU1167" s="30"/>
      <c r="DV1167" s="30"/>
      <c r="DW1167" s="30"/>
      <c r="DX1167" s="30"/>
      <c r="DY1167" s="30"/>
      <c r="DZ1167" s="30"/>
      <c r="EA1167" s="30"/>
      <c r="EB1167" s="30"/>
      <c r="EC1167" s="30"/>
      <c r="ED1167" s="30"/>
      <c r="EE1167" s="30"/>
    </row>
    <row r="1168" spans="1:135" ht="27.75" customHeight="1" thickBot="1" x14ac:dyDescent="0.3">
      <c r="A1168" s="578" t="s">
        <v>3307</v>
      </c>
      <c r="B1168" s="8">
        <v>3317</v>
      </c>
      <c r="C1168" s="167" t="s">
        <v>3305</v>
      </c>
      <c r="D1168" s="15" t="s">
        <v>24</v>
      </c>
      <c r="E1168" s="11" t="s">
        <v>25</v>
      </c>
      <c r="F1168" s="20" t="s">
        <v>3306</v>
      </c>
      <c r="G1168" s="15" t="s">
        <v>1698</v>
      </c>
      <c r="H1168" s="17" t="s">
        <v>1846</v>
      </c>
      <c r="I1168" s="18" t="s">
        <v>135</v>
      </c>
      <c r="J1168" s="18" t="s">
        <v>587</v>
      </c>
      <c r="K1168" s="33" t="s">
        <v>3308</v>
      </c>
      <c r="L1168" s="25" t="str">
        <f>"RUTL-"&amp;RIGHT(K1168,8)</f>
        <v>RUTL-PF12TWYF</v>
      </c>
      <c r="M1168" s="509" t="s">
        <v>40</v>
      </c>
      <c r="N1168" s="23" t="s">
        <v>43</v>
      </c>
      <c r="O1168" s="74"/>
      <c r="P1168" s="39" t="s">
        <v>90</v>
      </c>
      <c r="Q1168" s="525"/>
      <c r="R1168" s="15" t="s">
        <v>56</v>
      </c>
      <c r="S1168" s="37" t="s">
        <v>57</v>
      </c>
      <c r="T1168" s="105" t="s">
        <v>148</v>
      </c>
      <c r="U1168" s="23" t="s">
        <v>1887</v>
      </c>
      <c r="V1168" s="559">
        <v>43236</v>
      </c>
      <c r="W1168" s="171" t="s">
        <v>608</v>
      </c>
      <c r="X1168" s="30"/>
      <c r="Y1168" s="30"/>
      <c r="Z1168" s="30"/>
      <c r="AA1168" s="30"/>
      <c r="AB1168" s="30"/>
      <c r="AC1168" s="30"/>
      <c r="AD1168" s="30"/>
      <c r="AE1168" s="30"/>
      <c r="AF1168" s="30"/>
      <c r="AG1168" s="30"/>
      <c r="AH1168" s="30"/>
      <c r="AI1168" s="30"/>
      <c r="AJ1168" s="30"/>
      <c r="AK1168" s="30"/>
      <c r="AL1168" s="30"/>
      <c r="AM1168" s="30"/>
      <c r="AN1168" s="30"/>
      <c r="AO1168" s="30"/>
      <c r="AP1168" s="30"/>
      <c r="AQ1168" s="30"/>
      <c r="AR1168" s="30"/>
      <c r="AS1168" s="30"/>
      <c r="AT1168" s="30"/>
      <c r="AU1168" s="30"/>
      <c r="AV1168" s="30"/>
      <c r="AW1168" s="30"/>
      <c r="AX1168" s="30"/>
      <c r="AY1168" s="30"/>
      <c r="AZ1168" s="30"/>
      <c r="BA1168" s="30"/>
      <c r="BB1168" s="30"/>
      <c r="BC1168" s="30"/>
      <c r="BD1168" s="30"/>
      <c r="BE1168" s="30"/>
      <c r="BF1168" s="30"/>
      <c r="BG1168" s="30"/>
      <c r="BH1168" s="30"/>
      <c r="BI1168" s="30"/>
      <c r="BJ1168" s="30"/>
      <c r="BK1168" s="30"/>
      <c r="BL1168" s="30"/>
      <c r="BM1168" s="30"/>
      <c r="BN1168" s="30"/>
      <c r="BO1168" s="30"/>
      <c r="BP1168" s="30"/>
      <c r="BQ1168" s="30"/>
      <c r="BR1168" s="30"/>
      <c r="BS1168" s="30"/>
      <c r="BT1168" s="30"/>
      <c r="BU1168" s="30"/>
      <c r="BV1168" s="30"/>
      <c r="BW1168" s="30"/>
      <c r="BX1168" s="30"/>
      <c r="BY1168" s="30"/>
      <c r="BZ1168" s="30"/>
      <c r="CA1168" s="30"/>
      <c r="CB1168" s="30"/>
      <c r="CC1168" s="30"/>
      <c r="CD1168" s="30"/>
      <c r="CE1168" s="30"/>
      <c r="CF1168" s="30"/>
      <c r="CG1168" s="30"/>
      <c r="CH1168" s="30"/>
      <c r="CI1168" s="30"/>
      <c r="CJ1168" s="30"/>
      <c r="CK1168" s="30"/>
      <c r="CL1168" s="30"/>
      <c r="CM1168" s="30"/>
      <c r="CN1168" s="30"/>
      <c r="CO1168" s="30"/>
      <c r="CP1168" s="30"/>
      <c r="CQ1168" s="30"/>
      <c r="CR1168" s="30"/>
      <c r="CS1168" s="30"/>
      <c r="CT1168" s="30"/>
      <c r="CU1168" s="30"/>
      <c r="CV1168" s="30"/>
      <c r="CW1168" s="30"/>
      <c r="CX1168" s="30"/>
      <c r="CY1168" s="30"/>
      <c r="CZ1168" s="30"/>
      <c r="DA1168" s="30"/>
      <c r="DB1168" s="30"/>
      <c r="DC1168" s="30"/>
      <c r="DD1168" s="30"/>
      <c r="DE1168" s="30"/>
      <c r="DF1168" s="30"/>
      <c r="DG1168" s="30"/>
      <c r="DH1168" s="30"/>
      <c r="DI1168" s="30"/>
      <c r="DJ1168" s="30"/>
      <c r="DK1168" s="30"/>
      <c r="DL1168" s="30"/>
      <c r="DM1168" s="30"/>
      <c r="DN1168" s="30"/>
      <c r="DO1168" s="30"/>
      <c r="DP1168" s="30"/>
      <c r="DQ1168" s="30"/>
      <c r="DR1168" s="30"/>
      <c r="DS1168" s="30"/>
      <c r="DT1168" s="30"/>
      <c r="DU1168" s="30"/>
      <c r="DV1168" s="30"/>
      <c r="DW1168" s="30"/>
      <c r="DX1168" s="30"/>
      <c r="DY1168" s="30"/>
      <c r="DZ1168" s="30"/>
      <c r="EA1168" s="30"/>
      <c r="EB1168" s="30"/>
      <c r="EC1168" s="30"/>
      <c r="ED1168" s="30"/>
      <c r="EE1168" s="30"/>
    </row>
    <row r="1169" spans="1:135" ht="27.75" customHeight="1" thickBot="1" x14ac:dyDescent="0.3">
      <c r="A1169" s="578" t="s">
        <v>739</v>
      </c>
      <c r="B1169" s="241"/>
      <c r="C1169" s="99" t="s">
        <v>721</v>
      </c>
      <c r="D1169" s="59" t="s">
        <v>72</v>
      </c>
      <c r="E1169" s="11" t="s">
        <v>25</v>
      </c>
      <c r="F1169" s="247"/>
      <c r="G1169" s="241"/>
      <c r="H1169" s="387" t="s">
        <v>730</v>
      </c>
      <c r="I1169" s="142" t="s">
        <v>737</v>
      </c>
      <c r="J1169" s="18" t="s">
        <v>738</v>
      </c>
      <c r="K1169" s="23" t="s">
        <v>741</v>
      </c>
      <c r="L1169" s="21" t="str">
        <f>"RUTL-"&amp;RIGHT(K1169,8)</f>
        <v>RUTL-P901FSPN</v>
      </c>
      <c r="M1169" s="247"/>
      <c r="N1169" s="23"/>
      <c r="O1169" s="23"/>
      <c r="P1169" s="23"/>
      <c r="Q1169" s="324"/>
      <c r="R1169" s="23"/>
      <c r="S1169" s="248"/>
      <c r="T1169" s="23" t="s">
        <v>96</v>
      </c>
      <c r="U1169" s="23" t="s">
        <v>744</v>
      </c>
      <c r="V1169" s="242"/>
      <c r="W1169" s="23"/>
      <c r="X1169" s="30"/>
      <c r="Y1169" s="30"/>
      <c r="Z1169" s="30"/>
      <c r="AA1169" s="30"/>
      <c r="AB1169" s="30"/>
      <c r="AC1169" s="30"/>
      <c r="AD1169" s="30"/>
      <c r="AE1169" s="30"/>
      <c r="AF1169" s="30"/>
      <c r="AG1169" s="30"/>
      <c r="AH1169" s="30"/>
      <c r="AI1169" s="30"/>
      <c r="AJ1169" s="30"/>
      <c r="AK1169" s="30"/>
      <c r="AL1169" s="30"/>
      <c r="AM1169" s="30"/>
      <c r="AN1169" s="30"/>
      <c r="AO1169" s="30"/>
      <c r="AP1169" s="30"/>
      <c r="AQ1169" s="30"/>
      <c r="AR1169" s="30"/>
      <c r="AS1169" s="30"/>
      <c r="AT1169" s="30"/>
      <c r="AU1169" s="30"/>
      <c r="AV1169" s="30"/>
      <c r="AW1169" s="30"/>
      <c r="AX1169" s="30"/>
      <c r="AY1169" s="30"/>
      <c r="AZ1169" s="30"/>
      <c r="BA1169" s="30"/>
      <c r="BB1169" s="30"/>
      <c r="BC1169" s="30"/>
      <c r="BD1169" s="30"/>
      <c r="BE1169" s="30"/>
      <c r="BF1169" s="30"/>
      <c r="BG1169" s="30"/>
      <c r="BH1169" s="30"/>
      <c r="BI1169" s="30"/>
      <c r="BJ1169" s="30"/>
      <c r="BK1169" s="30"/>
      <c r="BL1169" s="30"/>
      <c r="BM1169" s="30"/>
      <c r="BN1169" s="30"/>
      <c r="BO1169" s="30"/>
      <c r="BP1169" s="30"/>
      <c r="BQ1169" s="30"/>
      <c r="BR1169" s="30"/>
      <c r="BS1169" s="30"/>
      <c r="BT1169" s="30"/>
      <c r="BU1169" s="30"/>
      <c r="BV1169" s="30"/>
      <c r="BW1169" s="30"/>
      <c r="BX1169" s="30"/>
      <c r="BY1169" s="30"/>
      <c r="BZ1169" s="30"/>
      <c r="CA1169" s="30"/>
      <c r="CB1169" s="30"/>
      <c r="CC1169" s="30"/>
      <c r="CD1169" s="30"/>
      <c r="CE1169" s="30"/>
      <c r="CF1169" s="30"/>
      <c r="CG1169" s="30"/>
      <c r="CH1169" s="30"/>
      <c r="CI1169" s="30"/>
      <c r="CJ1169" s="30"/>
      <c r="CK1169" s="30"/>
      <c r="CL1169" s="30"/>
      <c r="CM1169" s="30"/>
      <c r="CN1169" s="30"/>
      <c r="CO1169" s="30"/>
      <c r="CP1169" s="30"/>
      <c r="CQ1169" s="30"/>
      <c r="CR1169" s="30"/>
      <c r="CS1169" s="30"/>
      <c r="CT1169" s="30"/>
      <c r="CU1169" s="30"/>
      <c r="CV1169" s="30"/>
      <c r="CW1169" s="30"/>
      <c r="CX1169" s="30"/>
      <c r="CY1169" s="30"/>
      <c r="CZ1169" s="30"/>
      <c r="DA1169" s="30"/>
      <c r="DB1169" s="30"/>
      <c r="DC1169" s="30"/>
      <c r="DD1169" s="30"/>
      <c r="DE1169" s="30"/>
      <c r="DF1169" s="30"/>
      <c r="DG1169" s="30"/>
      <c r="DH1169" s="30"/>
      <c r="DI1169" s="30"/>
      <c r="DJ1169" s="30"/>
      <c r="DK1169" s="30"/>
      <c r="DL1169" s="30"/>
      <c r="DM1169" s="30"/>
      <c r="DN1169" s="30"/>
      <c r="DO1169" s="30"/>
      <c r="DP1169" s="30"/>
      <c r="DQ1169" s="30"/>
      <c r="DR1169" s="30"/>
      <c r="DS1169" s="30"/>
      <c r="DT1169" s="30"/>
      <c r="DU1169" s="30"/>
      <c r="DV1169" s="30"/>
      <c r="DW1169" s="30"/>
      <c r="DX1169" s="30"/>
      <c r="DY1169" s="30"/>
      <c r="DZ1169" s="30"/>
      <c r="EA1169" s="30"/>
      <c r="EB1169" s="30"/>
      <c r="EC1169" s="30"/>
      <c r="ED1169" s="30"/>
      <c r="EE1169" s="30"/>
    </row>
    <row r="1170" spans="1:135" ht="15.75" customHeight="1" thickBot="1" x14ac:dyDescent="0.3">
      <c r="A1170" s="578" t="s">
        <v>3877</v>
      </c>
      <c r="B1170" s="438">
        <v>6239</v>
      </c>
      <c r="C1170" s="72" t="s">
        <v>3874</v>
      </c>
      <c r="D1170" s="460" t="s">
        <v>1471</v>
      </c>
      <c r="E1170" s="11" t="s">
        <v>25</v>
      </c>
      <c r="F1170" s="20" t="s">
        <v>3875</v>
      </c>
      <c r="G1170" s="15" t="s">
        <v>3876</v>
      </c>
      <c r="H1170" s="367" t="s">
        <v>891</v>
      </c>
      <c r="I1170" s="142" t="s">
        <v>135</v>
      </c>
      <c r="J1170" s="18" t="s">
        <v>1556</v>
      </c>
      <c r="K1170" s="33" t="s">
        <v>3878</v>
      </c>
      <c r="L1170" s="25" t="str">
        <f>"RUTL-"&amp;RIGHT(K1170,8)</f>
        <v>RUTL-PF0LC1R1</v>
      </c>
      <c r="M1170" s="34" t="s">
        <v>40</v>
      </c>
      <c r="N1170" s="23" t="s">
        <v>43</v>
      </c>
      <c r="O1170" s="23"/>
      <c r="P1170" s="39" t="s">
        <v>2044</v>
      </c>
      <c r="Q1170" s="113" t="s">
        <v>3879</v>
      </c>
      <c r="R1170" s="15" t="s">
        <v>56</v>
      </c>
      <c r="S1170" s="37" t="s">
        <v>57</v>
      </c>
      <c r="T1170" s="105" t="s">
        <v>148</v>
      </c>
      <c r="U1170" s="39" t="s">
        <v>3286</v>
      </c>
      <c r="V1170" s="23"/>
      <c r="W1170" s="23"/>
      <c r="X1170" s="154"/>
    </row>
    <row r="1171" spans="1:135" ht="27.75" customHeight="1" thickBot="1" x14ac:dyDescent="0.3">
      <c r="A1171" s="578" t="s">
        <v>1588</v>
      </c>
      <c r="B1171" s="453" t="s">
        <v>1579</v>
      </c>
      <c r="C1171" s="72" t="s">
        <v>1580</v>
      </c>
      <c r="D1171" s="59" t="s">
        <v>24</v>
      </c>
      <c r="E1171" s="11" t="s">
        <v>25</v>
      </c>
      <c r="F1171" s="468" t="s">
        <v>1582</v>
      </c>
      <c r="G1171" s="59" t="s">
        <v>1584</v>
      </c>
      <c r="H1171" s="367" t="s">
        <v>891</v>
      </c>
      <c r="I1171" s="142" t="s">
        <v>48</v>
      </c>
      <c r="J1171" s="18" t="s">
        <v>738</v>
      </c>
      <c r="K1171" s="124" t="s">
        <v>1591</v>
      </c>
      <c r="L1171" s="127" t="str">
        <f>"RUTL-"&amp;RIGHT(K1171,8)</f>
        <v>RUTL-P901FSLH</v>
      </c>
      <c r="M1171" s="512" t="s">
        <v>40</v>
      </c>
      <c r="N1171" s="185" t="s">
        <v>410</v>
      </c>
      <c r="O1171" s="124"/>
      <c r="P1171" s="262"/>
      <c r="Q1171" s="540"/>
      <c r="R1171" s="121" t="s">
        <v>56</v>
      </c>
      <c r="S1171" s="146" t="s">
        <v>57</v>
      </c>
      <c r="T1171" s="197" t="s">
        <v>1596</v>
      </c>
      <c r="U1171" s="138" t="s">
        <v>1598</v>
      </c>
      <c r="V1171" s="282"/>
      <c r="W1171" s="124"/>
      <c r="X1171" s="30"/>
      <c r="Y1171" s="30"/>
      <c r="Z1171" s="30"/>
      <c r="AA1171" s="30"/>
      <c r="AB1171" s="30"/>
      <c r="AC1171" s="30"/>
      <c r="AD1171" s="30"/>
      <c r="AE1171" s="30"/>
      <c r="AF1171" s="30"/>
      <c r="AG1171" s="30"/>
      <c r="AH1171" s="30"/>
      <c r="AI1171" s="30"/>
      <c r="AJ1171" s="30"/>
      <c r="AK1171" s="30"/>
      <c r="AL1171" s="30"/>
      <c r="AM1171" s="30"/>
      <c r="AN1171" s="30"/>
      <c r="AO1171" s="30"/>
      <c r="AP1171" s="30"/>
      <c r="AQ1171" s="30"/>
      <c r="AR1171" s="30"/>
      <c r="AS1171" s="30"/>
      <c r="AT1171" s="30"/>
      <c r="AU1171" s="30"/>
      <c r="AV1171" s="30"/>
      <c r="AW1171" s="30"/>
      <c r="AX1171" s="30"/>
      <c r="AY1171" s="30"/>
      <c r="AZ1171" s="30"/>
      <c r="BA1171" s="30"/>
      <c r="BB1171" s="30"/>
      <c r="BC1171" s="30"/>
      <c r="BD1171" s="30"/>
      <c r="BE1171" s="30"/>
      <c r="BF1171" s="30"/>
      <c r="BG1171" s="30"/>
      <c r="BH1171" s="30"/>
      <c r="BI1171" s="30"/>
      <c r="BJ1171" s="30"/>
      <c r="BK1171" s="30"/>
      <c r="BL1171" s="30"/>
      <c r="BM1171" s="30"/>
      <c r="BN1171" s="30"/>
      <c r="BO1171" s="30"/>
      <c r="BP1171" s="30"/>
      <c r="BQ1171" s="30"/>
      <c r="BR1171" s="30"/>
      <c r="BS1171" s="30"/>
      <c r="BT1171" s="30"/>
      <c r="BU1171" s="30"/>
      <c r="BV1171" s="30"/>
      <c r="BW1171" s="30"/>
      <c r="BX1171" s="30"/>
      <c r="BY1171" s="30"/>
      <c r="BZ1171" s="30"/>
      <c r="CA1171" s="30"/>
      <c r="CB1171" s="30"/>
      <c r="CC1171" s="30"/>
      <c r="CD1171" s="30"/>
      <c r="CE1171" s="30"/>
      <c r="CF1171" s="30"/>
      <c r="CG1171" s="30"/>
      <c r="CH1171" s="30"/>
      <c r="CI1171" s="30"/>
      <c r="CJ1171" s="30"/>
      <c r="CK1171" s="30"/>
      <c r="CL1171" s="30"/>
      <c r="CM1171" s="30"/>
      <c r="CN1171" s="30"/>
      <c r="CO1171" s="30"/>
      <c r="CP1171" s="30"/>
      <c r="CQ1171" s="30"/>
      <c r="CR1171" s="30"/>
      <c r="CS1171" s="30"/>
      <c r="CT1171" s="30"/>
      <c r="CU1171" s="30"/>
      <c r="CV1171" s="30"/>
      <c r="CW1171" s="30"/>
      <c r="CX1171" s="30"/>
      <c r="CY1171" s="30"/>
      <c r="CZ1171" s="30"/>
      <c r="DA1171" s="30"/>
      <c r="DB1171" s="30"/>
      <c r="DC1171" s="30"/>
      <c r="DD1171" s="30"/>
      <c r="DE1171" s="30"/>
      <c r="DF1171" s="30"/>
      <c r="DG1171" s="30"/>
      <c r="DH1171" s="30"/>
      <c r="DI1171" s="30"/>
      <c r="DJ1171" s="30"/>
      <c r="DK1171" s="30"/>
      <c r="DL1171" s="30"/>
      <c r="DM1171" s="30"/>
      <c r="DN1171" s="30"/>
      <c r="DO1171" s="30"/>
      <c r="DP1171" s="30"/>
      <c r="DQ1171" s="30"/>
      <c r="DR1171" s="30"/>
      <c r="DS1171" s="30"/>
      <c r="DT1171" s="30"/>
      <c r="DU1171" s="30"/>
      <c r="DV1171" s="30"/>
      <c r="DW1171" s="30"/>
      <c r="DX1171" s="30"/>
      <c r="DY1171" s="30"/>
      <c r="DZ1171" s="30"/>
      <c r="EA1171" s="30"/>
      <c r="EB1171" s="30"/>
      <c r="EC1171" s="30"/>
      <c r="ED1171" s="30"/>
      <c r="EE1171" s="30"/>
    </row>
    <row r="1172" spans="1:135" ht="27.75" customHeight="1" thickBot="1" x14ac:dyDescent="0.3">
      <c r="A1172" s="578" t="s">
        <v>4033</v>
      </c>
      <c r="B1172" s="438">
        <v>6911</v>
      </c>
      <c r="C1172" s="358" t="s">
        <v>4031</v>
      </c>
      <c r="D1172" s="59" t="s">
        <v>24</v>
      </c>
      <c r="E1172" s="11" t="s">
        <v>25</v>
      </c>
      <c r="F1172" s="468" t="s">
        <v>4032</v>
      </c>
      <c r="G1172" s="59" t="s">
        <v>1961</v>
      </c>
      <c r="H1172" s="367" t="s">
        <v>891</v>
      </c>
      <c r="I1172" s="142" t="s">
        <v>48</v>
      </c>
      <c r="J1172" s="18" t="s">
        <v>738</v>
      </c>
      <c r="K1172" s="33" t="s">
        <v>4034</v>
      </c>
      <c r="L1172" s="25" t="str">
        <f>"RUTL-"&amp;RIGHT(K1172,8)</f>
        <v>RUTL-P901FSR6</v>
      </c>
      <c r="M1172" s="509" t="s">
        <v>40</v>
      </c>
      <c r="N1172" s="23" t="s">
        <v>43</v>
      </c>
      <c r="O1172" s="23"/>
      <c r="P1172" s="39" t="s">
        <v>90</v>
      </c>
      <c r="Q1172" s="383" t="s">
        <v>4035</v>
      </c>
      <c r="R1172" s="15" t="s">
        <v>56</v>
      </c>
      <c r="S1172" s="146" t="s">
        <v>57</v>
      </c>
      <c r="T1172" s="105" t="s">
        <v>148</v>
      </c>
      <c r="U1172" s="39" t="s">
        <v>4036</v>
      </c>
      <c r="V1172" s="242"/>
      <c r="W1172" s="23"/>
      <c r="X1172" s="30"/>
      <c r="Y1172" s="30"/>
      <c r="Z1172" s="30"/>
      <c r="AA1172" s="30"/>
      <c r="AB1172" s="30"/>
      <c r="AC1172" s="30"/>
      <c r="AD1172" s="30"/>
      <c r="AE1172" s="30"/>
      <c r="AF1172" s="30"/>
      <c r="AG1172" s="30"/>
      <c r="AH1172" s="30"/>
      <c r="AI1172" s="30"/>
      <c r="AJ1172" s="30"/>
      <c r="AK1172" s="30"/>
      <c r="AL1172" s="30"/>
      <c r="AM1172" s="30"/>
      <c r="AN1172" s="30"/>
      <c r="AO1172" s="30"/>
      <c r="AP1172" s="30"/>
      <c r="AQ1172" s="30"/>
      <c r="AR1172" s="30"/>
      <c r="AS1172" s="30"/>
      <c r="AT1172" s="30"/>
      <c r="AU1172" s="30"/>
      <c r="AV1172" s="30"/>
      <c r="AW1172" s="30"/>
      <c r="AX1172" s="30"/>
      <c r="AY1172" s="30"/>
      <c r="AZ1172" s="30"/>
      <c r="BA1172" s="30"/>
      <c r="BB1172" s="30"/>
      <c r="BC1172" s="30"/>
      <c r="BD1172" s="30"/>
      <c r="BE1172" s="30"/>
      <c r="BF1172" s="30"/>
      <c r="BG1172" s="30"/>
      <c r="BH1172" s="30"/>
      <c r="BI1172" s="30"/>
      <c r="BJ1172" s="30"/>
      <c r="BK1172" s="30"/>
      <c r="BL1172" s="30"/>
      <c r="BM1172" s="30"/>
      <c r="BN1172" s="30"/>
      <c r="BO1172" s="30"/>
      <c r="BP1172" s="30"/>
      <c r="BQ1172" s="30"/>
      <c r="BR1172" s="30"/>
      <c r="BS1172" s="30"/>
      <c r="BT1172" s="30"/>
      <c r="BU1172" s="30"/>
      <c r="BV1172" s="30"/>
      <c r="BW1172" s="30"/>
      <c r="BX1172" s="30"/>
      <c r="BY1172" s="30"/>
      <c r="BZ1172" s="30"/>
      <c r="CA1172" s="30"/>
      <c r="CB1172" s="30"/>
      <c r="CC1172" s="30"/>
      <c r="CD1172" s="30"/>
      <c r="CE1172" s="30"/>
      <c r="CF1172" s="30"/>
      <c r="CG1172" s="30"/>
      <c r="CH1172" s="30"/>
      <c r="CI1172" s="30"/>
      <c r="CJ1172" s="30"/>
      <c r="CK1172" s="30"/>
      <c r="CL1172" s="30"/>
      <c r="CM1172" s="30"/>
      <c r="CN1172" s="30"/>
      <c r="CO1172" s="30"/>
      <c r="CP1172" s="30"/>
      <c r="CQ1172" s="30"/>
      <c r="CR1172" s="30"/>
      <c r="CS1172" s="30"/>
      <c r="CT1172" s="30"/>
      <c r="CU1172" s="30"/>
      <c r="CV1172" s="30"/>
      <c r="CW1172" s="30"/>
      <c r="CX1172" s="30"/>
      <c r="CY1172" s="30"/>
      <c r="CZ1172" s="30"/>
      <c r="DA1172" s="30"/>
      <c r="DB1172" s="30"/>
      <c r="DC1172" s="30"/>
      <c r="DD1172" s="30"/>
      <c r="DE1172" s="30"/>
      <c r="DF1172" s="30"/>
      <c r="DG1172" s="30"/>
      <c r="DH1172" s="30"/>
      <c r="DI1172" s="30"/>
      <c r="DJ1172" s="30"/>
      <c r="DK1172" s="30"/>
      <c r="DL1172" s="30"/>
      <c r="DM1172" s="30"/>
      <c r="DN1172" s="30"/>
      <c r="DO1172" s="30"/>
      <c r="DP1172" s="30"/>
      <c r="DQ1172" s="30"/>
      <c r="DR1172" s="30"/>
      <c r="DS1172" s="30"/>
      <c r="DT1172" s="30"/>
      <c r="DU1172" s="30"/>
      <c r="DV1172" s="30"/>
      <c r="DW1172" s="30"/>
      <c r="DX1172" s="30"/>
      <c r="DY1172" s="30"/>
      <c r="DZ1172" s="30"/>
      <c r="EA1172" s="30"/>
      <c r="EB1172" s="30"/>
      <c r="EC1172" s="30"/>
      <c r="ED1172" s="30"/>
      <c r="EE1172" s="30"/>
    </row>
    <row r="1173" spans="1:135" ht="27.75" customHeight="1" thickBot="1" x14ac:dyDescent="0.3">
      <c r="A1173" s="578" t="s">
        <v>400</v>
      </c>
      <c r="B1173" s="241"/>
      <c r="C1173" s="99" t="s">
        <v>389</v>
      </c>
      <c r="D1173" s="59" t="s">
        <v>24</v>
      </c>
      <c r="E1173" s="11" t="s">
        <v>25</v>
      </c>
      <c r="F1173" s="468" t="s">
        <v>390</v>
      </c>
      <c r="G1173" s="59" t="s">
        <v>391</v>
      </c>
      <c r="H1173" s="388" t="s">
        <v>225</v>
      </c>
      <c r="I1173" s="142" t="s">
        <v>392</v>
      </c>
      <c r="J1173" s="18" t="s">
        <v>230</v>
      </c>
      <c r="K1173" s="23" t="s">
        <v>407</v>
      </c>
      <c r="L1173" s="21" t="str">
        <f>"RUTL-"&amp;RIGHT(K1173,8)</f>
        <v>RUTL-S4AA3128</v>
      </c>
      <c r="M1173" s="508" t="s">
        <v>40</v>
      </c>
      <c r="N1173" s="39" t="s">
        <v>414</v>
      </c>
      <c r="O1173" s="39" t="s">
        <v>415</v>
      </c>
      <c r="P1173" s="39" t="s">
        <v>90</v>
      </c>
      <c r="Q1173" s="145" t="s">
        <v>416</v>
      </c>
      <c r="R1173" s="15" t="s">
        <v>56</v>
      </c>
      <c r="S1173" s="146" t="s">
        <v>57</v>
      </c>
      <c r="T1173" s="107" t="s">
        <v>148</v>
      </c>
      <c r="U1173" s="47" t="s">
        <v>419</v>
      </c>
      <c r="V1173" s="242"/>
      <c r="W1173" s="23"/>
      <c r="X1173" s="30"/>
      <c r="Y1173" s="30"/>
      <c r="Z1173" s="30"/>
      <c r="AA1173" s="30"/>
      <c r="AB1173" s="30"/>
      <c r="AC1173" s="30"/>
      <c r="AD1173" s="30"/>
      <c r="AE1173" s="30"/>
      <c r="AF1173" s="30"/>
      <c r="AG1173" s="30"/>
      <c r="AH1173" s="30"/>
      <c r="AI1173" s="30"/>
      <c r="AJ1173" s="30"/>
      <c r="AK1173" s="30"/>
      <c r="AL1173" s="30"/>
      <c r="AM1173" s="30"/>
      <c r="AN1173" s="30"/>
      <c r="AO1173" s="30"/>
      <c r="AP1173" s="30"/>
      <c r="AQ1173" s="30"/>
      <c r="AR1173" s="30"/>
      <c r="AS1173" s="30"/>
      <c r="AT1173" s="30"/>
      <c r="AU1173" s="30"/>
      <c r="AV1173" s="30"/>
      <c r="AW1173" s="30"/>
      <c r="AX1173" s="30"/>
      <c r="AY1173" s="30"/>
      <c r="AZ1173" s="30"/>
      <c r="BA1173" s="30"/>
      <c r="BB1173" s="30"/>
      <c r="BC1173" s="30"/>
      <c r="BD1173" s="30"/>
      <c r="BE1173" s="30"/>
      <c r="BF1173" s="30"/>
      <c r="BG1173" s="30"/>
      <c r="BH1173" s="30"/>
      <c r="BI1173" s="30"/>
      <c r="BJ1173" s="30"/>
      <c r="BK1173" s="30"/>
      <c r="BL1173" s="30"/>
      <c r="BM1173" s="30"/>
      <c r="BN1173" s="30"/>
      <c r="BO1173" s="30"/>
      <c r="BP1173" s="30"/>
      <c r="BQ1173" s="30"/>
      <c r="BR1173" s="30"/>
      <c r="BS1173" s="30"/>
      <c r="BT1173" s="30"/>
      <c r="BU1173" s="30"/>
      <c r="BV1173" s="30"/>
      <c r="BW1173" s="30"/>
      <c r="BX1173" s="30"/>
      <c r="BY1173" s="30"/>
      <c r="BZ1173" s="30"/>
      <c r="CA1173" s="30"/>
      <c r="CB1173" s="30"/>
      <c r="CC1173" s="30"/>
      <c r="CD1173" s="30"/>
      <c r="CE1173" s="30"/>
      <c r="CF1173" s="30"/>
      <c r="CG1173" s="30"/>
      <c r="CH1173" s="30"/>
      <c r="CI1173" s="30"/>
      <c r="CJ1173" s="30"/>
      <c r="CK1173" s="30"/>
      <c r="CL1173" s="30"/>
      <c r="CM1173" s="30"/>
      <c r="CN1173" s="30"/>
      <c r="CO1173" s="30"/>
      <c r="CP1173" s="30"/>
      <c r="CQ1173" s="30"/>
      <c r="CR1173" s="30"/>
      <c r="CS1173" s="30"/>
      <c r="CT1173" s="30"/>
      <c r="CU1173" s="30"/>
      <c r="CV1173" s="30"/>
      <c r="CW1173" s="30"/>
      <c r="CX1173" s="30"/>
      <c r="CY1173" s="30"/>
      <c r="CZ1173" s="30"/>
      <c r="DA1173" s="30"/>
      <c r="DB1173" s="30"/>
      <c r="DC1173" s="30"/>
      <c r="DD1173" s="30"/>
      <c r="DE1173" s="30"/>
      <c r="DF1173" s="30"/>
      <c r="DG1173" s="30"/>
      <c r="DH1173" s="30"/>
      <c r="DI1173" s="30"/>
      <c r="DJ1173" s="30"/>
      <c r="DK1173" s="30"/>
      <c r="DL1173" s="30"/>
      <c r="DM1173" s="30"/>
      <c r="DN1173" s="30"/>
      <c r="DO1173" s="30"/>
      <c r="DP1173" s="30"/>
      <c r="DQ1173" s="30"/>
      <c r="DR1173" s="30"/>
      <c r="DS1173" s="30"/>
      <c r="DT1173" s="30"/>
      <c r="DU1173" s="30"/>
      <c r="DV1173" s="30"/>
      <c r="DW1173" s="30"/>
      <c r="DX1173" s="30"/>
      <c r="DY1173" s="30"/>
      <c r="DZ1173" s="30"/>
      <c r="EA1173" s="30"/>
      <c r="EB1173" s="30"/>
      <c r="EC1173" s="30"/>
      <c r="ED1173" s="30"/>
      <c r="EE1173" s="30"/>
    </row>
    <row r="1174" spans="1:135" ht="27.75" customHeight="1" thickBot="1" x14ac:dyDescent="0.3">
      <c r="A1174" s="578" t="s">
        <v>7587</v>
      </c>
      <c r="B1174" s="445" t="s">
        <v>7545</v>
      </c>
      <c r="C1174" s="72" t="s">
        <v>7584</v>
      </c>
      <c r="D1174" s="59" t="s">
        <v>7585</v>
      </c>
      <c r="E1174" s="11" t="s">
        <v>25</v>
      </c>
      <c r="F1174" s="468" t="s">
        <v>7586</v>
      </c>
      <c r="G1174" s="59" t="s">
        <v>2619</v>
      </c>
      <c r="H1174" s="367" t="s">
        <v>1846</v>
      </c>
      <c r="I1174" s="142" t="s">
        <v>48</v>
      </c>
      <c r="J1174" s="18" t="s">
        <v>738</v>
      </c>
      <c r="K1174" s="33" t="s">
        <v>7588</v>
      </c>
      <c r="L1174" s="21" t="str">
        <f>"RUTL-"&amp;RIGHT(K1174,8)</f>
        <v>RUTL-P901FSM2</v>
      </c>
      <c r="M1174" s="509" t="s">
        <v>40</v>
      </c>
      <c r="N1174" s="39" t="s">
        <v>410</v>
      </c>
      <c r="O1174" s="23"/>
      <c r="P1174" s="39" t="s">
        <v>90</v>
      </c>
      <c r="Q1174" s="541" t="s">
        <v>7589</v>
      </c>
      <c r="R1174" s="15" t="s">
        <v>56</v>
      </c>
      <c r="S1174" s="146" t="s">
        <v>57</v>
      </c>
      <c r="T1174" s="105" t="s">
        <v>148</v>
      </c>
      <c r="U1174" s="39" t="s">
        <v>4364</v>
      </c>
      <c r="V1174" s="242"/>
      <c r="W1174" s="23"/>
      <c r="X1174" s="30"/>
      <c r="Y1174" s="30"/>
      <c r="Z1174" s="30"/>
      <c r="AA1174" s="30"/>
      <c r="AB1174" s="30"/>
      <c r="AC1174" s="30"/>
      <c r="AD1174" s="30"/>
      <c r="AE1174" s="30"/>
      <c r="AF1174" s="30"/>
      <c r="AG1174" s="30"/>
      <c r="AH1174" s="30"/>
      <c r="AI1174" s="30"/>
      <c r="AJ1174" s="30"/>
      <c r="AK1174" s="30"/>
      <c r="AL1174" s="30"/>
      <c r="AM1174" s="30"/>
      <c r="AN1174" s="30"/>
      <c r="AO1174" s="30"/>
      <c r="AP1174" s="30"/>
      <c r="AQ1174" s="30"/>
      <c r="AR1174" s="30"/>
      <c r="AS1174" s="30"/>
      <c r="AT1174" s="30"/>
      <c r="AU1174" s="30"/>
      <c r="AV1174" s="30"/>
      <c r="AW1174" s="30"/>
      <c r="AX1174" s="30"/>
      <c r="AY1174" s="30"/>
      <c r="AZ1174" s="30"/>
      <c r="BA1174" s="30"/>
      <c r="BB1174" s="30"/>
      <c r="BC1174" s="30"/>
      <c r="BD1174" s="30"/>
      <c r="BE1174" s="30"/>
      <c r="BF1174" s="30"/>
      <c r="BG1174" s="30"/>
      <c r="BH1174" s="30"/>
      <c r="BI1174" s="30"/>
      <c r="BJ1174" s="30"/>
      <c r="BK1174" s="30"/>
      <c r="BL1174" s="30"/>
      <c r="BM1174" s="30"/>
      <c r="BN1174" s="30"/>
      <c r="BO1174" s="30"/>
      <c r="BP1174" s="30"/>
      <c r="BQ1174" s="30"/>
      <c r="BR1174" s="30"/>
      <c r="BS1174" s="30"/>
      <c r="BT1174" s="30"/>
      <c r="BU1174" s="30"/>
      <c r="BV1174" s="30"/>
      <c r="BW1174" s="30"/>
      <c r="BX1174" s="30"/>
      <c r="BY1174" s="30"/>
      <c r="BZ1174" s="30"/>
      <c r="CA1174" s="30"/>
      <c r="CB1174" s="30"/>
      <c r="CC1174" s="30"/>
      <c r="CD1174" s="30"/>
      <c r="CE1174" s="30"/>
      <c r="CF1174" s="30"/>
      <c r="CG1174" s="30"/>
      <c r="CH1174" s="30"/>
      <c r="CI1174" s="30"/>
      <c r="CJ1174" s="30"/>
      <c r="CK1174" s="30"/>
      <c r="CL1174" s="30"/>
      <c r="CM1174" s="30"/>
      <c r="CN1174" s="30"/>
      <c r="CO1174" s="30"/>
      <c r="CP1174" s="30"/>
      <c r="CQ1174" s="30"/>
      <c r="CR1174" s="30"/>
      <c r="CS1174" s="30"/>
      <c r="CT1174" s="30"/>
      <c r="CU1174" s="30"/>
      <c r="CV1174" s="30"/>
      <c r="CW1174" s="30"/>
      <c r="CX1174" s="30"/>
      <c r="CY1174" s="30"/>
      <c r="CZ1174" s="30"/>
      <c r="DA1174" s="30"/>
      <c r="DB1174" s="30"/>
      <c r="DC1174" s="30"/>
      <c r="DD1174" s="30"/>
      <c r="DE1174" s="30"/>
      <c r="DF1174" s="30"/>
      <c r="DG1174" s="30"/>
      <c r="DH1174" s="30"/>
      <c r="DI1174" s="30"/>
      <c r="DJ1174" s="30"/>
      <c r="DK1174" s="30"/>
      <c r="DL1174" s="30"/>
      <c r="DM1174" s="30"/>
      <c r="DN1174" s="30"/>
      <c r="DO1174" s="30"/>
      <c r="DP1174" s="30"/>
      <c r="DQ1174" s="30"/>
      <c r="DR1174" s="30"/>
      <c r="DS1174" s="30"/>
      <c r="DT1174" s="30"/>
      <c r="DU1174" s="30"/>
      <c r="DV1174" s="30"/>
      <c r="DW1174" s="30"/>
      <c r="DX1174" s="30"/>
      <c r="DY1174" s="30"/>
      <c r="DZ1174" s="30"/>
      <c r="EA1174" s="30"/>
      <c r="EB1174" s="30"/>
      <c r="EC1174" s="30"/>
      <c r="ED1174" s="30"/>
      <c r="EE1174" s="30"/>
    </row>
    <row r="1175" spans="1:135" ht="27.75" customHeight="1" thickBot="1" x14ac:dyDescent="0.3">
      <c r="A1175" s="578" t="s">
        <v>1139</v>
      </c>
      <c r="B1175" s="438">
        <v>461</v>
      </c>
      <c r="C1175" s="72" t="s">
        <v>1133</v>
      </c>
      <c r="D1175" s="59" t="s">
        <v>1135</v>
      </c>
      <c r="E1175" s="11" t="s">
        <v>25</v>
      </c>
      <c r="F1175" s="468" t="s">
        <v>1136</v>
      </c>
      <c r="G1175" s="59" t="s">
        <v>1137</v>
      </c>
      <c r="H1175" s="475" t="s">
        <v>1071</v>
      </c>
      <c r="I1175" s="142" t="s">
        <v>48</v>
      </c>
      <c r="J1175" s="18" t="s">
        <v>738</v>
      </c>
      <c r="K1175" s="23" t="s">
        <v>1141</v>
      </c>
      <c r="L1175" s="25" t="str">
        <f>"RUTL-"&amp;RIGHT(K1175,8)</f>
        <v>RUTL-P901FSL3</v>
      </c>
      <c r="M1175" s="509" t="s">
        <v>40</v>
      </c>
      <c r="N1175" s="23"/>
      <c r="O1175" s="23"/>
      <c r="P1175" s="23"/>
      <c r="Q1175" s="383" t="s">
        <v>1142</v>
      </c>
      <c r="R1175" s="15" t="s">
        <v>235</v>
      </c>
      <c r="S1175" s="248"/>
      <c r="T1175" s="23"/>
      <c r="U1175" s="39" t="s">
        <v>1143</v>
      </c>
      <c r="V1175" s="242"/>
      <c r="W1175" s="23"/>
      <c r="X1175" s="30"/>
      <c r="Y1175" s="30"/>
      <c r="Z1175" s="30"/>
      <c r="AA1175" s="30"/>
      <c r="AB1175" s="30"/>
      <c r="AC1175" s="30"/>
      <c r="AD1175" s="30"/>
      <c r="AE1175" s="30"/>
      <c r="AF1175" s="30"/>
      <c r="AG1175" s="30"/>
      <c r="AH1175" s="30"/>
      <c r="AI1175" s="30"/>
      <c r="AJ1175" s="30"/>
      <c r="AK1175" s="30"/>
      <c r="AL1175" s="30"/>
      <c r="AM1175" s="30"/>
      <c r="AN1175" s="30"/>
      <c r="AO1175" s="30"/>
      <c r="AP1175" s="30"/>
      <c r="AQ1175" s="30"/>
      <c r="AR1175" s="30"/>
      <c r="AS1175" s="30"/>
      <c r="AT1175" s="30"/>
      <c r="AU1175" s="30"/>
      <c r="AV1175" s="30"/>
      <c r="AW1175" s="30"/>
      <c r="AX1175" s="30"/>
      <c r="AY1175" s="30"/>
      <c r="AZ1175" s="30"/>
      <c r="BA1175" s="30"/>
      <c r="BB1175" s="30"/>
      <c r="BC1175" s="30"/>
      <c r="BD1175" s="30"/>
      <c r="BE1175" s="30"/>
      <c r="BF1175" s="30"/>
      <c r="BG1175" s="30"/>
      <c r="BH1175" s="30"/>
      <c r="BI1175" s="30"/>
      <c r="BJ1175" s="30"/>
      <c r="BK1175" s="30"/>
      <c r="BL1175" s="30"/>
      <c r="BM1175" s="30"/>
      <c r="BN1175" s="30"/>
      <c r="BO1175" s="30"/>
      <c r="BP1175" s="30"/>
      <c r="BQ1175" s="30"/>
      <c r="BR1175" s="30"/>
      <c r="BS1175" s="30"/>
      <c r="BT1175" s="30"/>
      <c r="BU1175" s="30"/>
      <c r="BV1175" s="30"/>
      <c r="BW1175" s="30"/>
      <c r="BX1175" s="30"/>
      <c r="BY1175" s="30"/>
      <c r="BZ1175" s="30"/>
      <c r="CA1175" s="30"/>
      <c r="CB1175" s="30"/>
      <c r="CC1175" s="30"/>
      <c r="CD1175" s="30"/>
      <c r="CE1175" s="30"/>
      <c r="CF1175" s="30"/>
      <c r="CG1175" s="30"/>
      <c r="CH1175" s="30"/>
      <c r="CI1175" s="30"/>
      <c r="CJ1175" s="30"/>
      <c r="CK1175" s="30"/>
      <c r="CL1175" s="30"/>
      <c r="CM1175" s="30"/>
      <c r="CN1175" s="30"/>
      <c r="CO1175" s="30"/>
      <c r="CP1175" s="30"/>
      <c r="CQ1175" s="30"/>
      <c r="CR1175" s="30"/>
      <c r="CS1175" s="30"/>
      <c r="CT1175" s="30"/>
      <c r="CU1175" s="30"/>
      <c r="CV1175" s="30"/>
      <c r="CW1175" s="30"/>
      <c r="CX1175" s="30"/>
      <c r="CY1175" s="30"/>
      <c r="CZ1175" s="30"/>
      <c r="DA1175" s="30"/>
      <c r="DB1175" s="30"/>
      <c r="DC1175" s="30"/>
      <c r="DD1175" s="30"/>
      <c r="DE1175" s="30"/>
      <c r="DF1175" s="30"/>
      <c r="DG1175" s="30"/>
      <c r="DH1175" s="30"/>
      <c r="DI1175" s="30"/>
      <c r="DJ1175" s="30"/>
      <c r="DK1175" s="30"/>
      <c r="DL1175" s="30"/>
      <c r="DM1175" s="30"/>
      <c r="DN1175" s="30"/>
      <c r="DO1175" s="30"/>
      <c r="DP1175" s="30"/>
      <c r="DQ1175" s="30"/>
      <c r="DR1175" s="30"/>
      <c r="DS1175" s="30"/>
      <c r="DT1175" s="30"/>
      <c r="DU1175" s="30"/>
      <c r="DV1175" s="30"/>
      <c r="DW1175" s="30"/>
      <c r="DX1175" s="30"/>
      <c r="DY1175" s="30"/>
      <c r="DZ1175" s="30"/>
      <c r="EA1175" s="30"/>
      <c r="EB1175" s="30"/>
      <c r="EC1175" s="30"/>
      <c r="ED1175" s="30"/>
      <c r="EE1175" s="30"/>
    </row>
    <row r="1176" spans="1:135" ht="27.75" customHeight="1" thickBot="1" x14ac:dyDescent="0.3">
      <c r="A1176" s="578" t="s">
        <v>4503</v>
      </c>
      <c r="B1176" s="381">
        <v>8989</v>
      </c>
      <c r="C1176" s="72" t="s">
        <v>4500</v>
      </c>
      <c r="D1176" s="140" t="s">
        <v>24</v>
      </c>
      <c r="E1176" s="11" t="s">
        <v>25</v>
      </c>
      <c r="F1176" s="468" t="s">
        <v>4501</v>
      </c>
      <c r="G1176" s="59" t="s">
        <v>4502</v>
      </c>
      <c r="H1176" s="389" t="s">
        <v>2294</v>
      </c>
      <c r="I1176" s="142" t="s">
        <v>48</v>
      </c>
      <c r="J1176" s="18" t="s">
        <v>738</v>
      </c>
      <c r="K1176" s="33" t="s">
        <v>4504</v>
      </c>
      <c r="L1176" s="25" t="str">
        <f>"RUTL-"&amp;RIGHT(K1176,8)</f>
        <v>RUTL-P901FSR8</v>
      </c>
      <c r="M1176" s="509" t="s">
        <v>40</v>
      </c>
      <c r="N1176" s="39" t="s">
        <v>414</v>
      </c>
      <c r="O1176" s="39" t="s">
        <v>4505</v>
      </c>
      <c r="P1176" s="21"/>
      <c r="Q1176" s="530" t="s">
        <v>4506</v>
      </c>
      <c r="R1176" s="15" t="s">
        <v>235</v>
      </c>
      <c r="S1176" s="146" t="s">
        <v>57</v>
      </c>
      <c r="T1176" s="107" t="s">
        <v>453</v>
      </c>
      <c r="U1176" s="39" t="s">
        <v>4507</v>
      </c>
      <c r="V1176" s="242"/>
      <c r="W1176" s="23"/>
      <c r="X1176" s="30"/>
      <c r="Y1176" s="30"/>
      <c r="Z1176" s="30"/>
      <c r="AA1176" s="30"/>
      <c r="AB1176" s="30"/>
      <c r="AC1176" s="30"/>
      <c r="AD1176" s="30"/>
      <c r="AE1176" s="30"/>
      <c r="AF1176" s="30"/>
      <c r="AG1176" s="30"/>
      <c r="AH1176" s="30"/>
      <c r="AI1176" s="30"/>
      <c r="AJ1176" s="30"/>
      <c r="AK1176" s="30"/>
      <c r="AL1176" s="30"/>
      <c r="AM1176" s="30"/>
      <c r="AN1176" s="30"/>
      <c r="AO1176" s="30"/>
      <c r="AP1176" s="30"/>
      <c r="AQ1176" s="30"/>
      <c r="AR1176" s="30"/>
      <c r="AS1176" s="30"/>
      <c r="AT1176" s="30"/>
      <c r="AU1176" s="30"/>
      <c r="AV1176" s="30"/>
      <c r="AW1176" s="30"/>
      <c r="AX1176" s="30"/>
      <c r="AY1176" s="30"/>
      <c r="AZ1176" s="30"/>
      <c r="BA1176" s="30"/>
      <c r="BB1176" s="30"/>
      <c r="BC1176" s="30"/>
      <c r="BD1176" s="30"/>
      <c r="BE1176" s="30"/>
      <c r="BF1176" s="30"/>
      <c r="BG1176" s="30"/>
      <c r="BH1176" s="30"/>
      <c r="BI1176" s="30"/>
      <c r="BJ1176" s="30"/>
      <c r="BK1176" s="30"/>
      <c r="BL1176" s="30"/>
      <c r="BM1176" s="30"/>
      <c r="BN1176" s="30"/>
      <c r="BO1176" s="30"/>
      <c r="BP1176" s="30"/>
      <c r="BQ1176" s="30"/>
      <c r="BR1176" s="30"/>
      <c r="BS1176" s="30"/>
      <c r="BT1176" s="30"/>
      <c r="BU1176" s="30"/>
      <c r="BV1176" s="30"/>
      <c r="BW1176" s="30"/>
      <c r="BX1176" s="30"/>
      <c r="BY1176" s="30"/>
      <c r="BZ1176" s="30"/>
      <c r="CA1176" s="30"/>
      <c r="CB1176" s="30"/>
      <c r="CC1176" s="30"/>
      <c r="CD1176" s="30"/>
      <c r="CE1176" s="30"/>
      <c r="CF1176" s="30"/>
      <c r="CG1176" s="30"/>
      <c r="CH1176" s="30"/>
      <c r="CI1176" s="30"/>
      <c r="CJ1176" s="30"/>
      <c r="CK1176" s="30"/>
      <c r="CL1176" s="30"/>
      <c r="CM1176" s="30"/>
      <c r="CN1176" s="30"/>
      <c r="CO1176" s="30"/>
      <c r="CP1176" s="30"/>
      <c r="CQ1176" s="30"/>
      <c r="CR1176" s="30"/>
      <c r="CS1176" s="30"/>
      <c r="CT1176" s="30"/>
      <c r="CU1176" s="30"/>
      <c r="CV1176" s="30"/>
      <c r="CW1176" s="30"/>
      <c r="CX1176" s="30"/>
      <c r="CY1176" s="30"/>
      <c r="CZ1176" s="30"/>
      <c r="DA1176" s="30"/>
      <c r="DB1176" s="30"/>
      <c r="DC1176" s="30"/>
      <c r="DD1176" s="30"/>
      <c r="DE1176" s="30"/>
      <c r="DF1176" s="30"/>
      <c r="DG1176" s="30"/>
      <c r="DH1176" s="30"/>
      <c r="DI1176" s="30"/>
      <c r="DJ1176" s="30"/>
      <c r="DK1176" s="30"/>
      <c r="DL1176" s="30"/>
      <c r="DM1176" s="30"/>
      <c r="DN1176" s="30"/>
      <c r="DO1176" s="30"/>
      <c r="DP1176" s="30"/>
      <c r="DQ1176" s="30"/>
      <c r="DR1176" s="30"/>
      <c r="DS1176" s="30"/>
      <c r="DT1176" s="30"/>
      <c r="DU1176" s="30"/>
      <c r="DV1176" s="30"/>
      <c r="DW1176" s="30"/>
      <c r="DX1176" s="30"/>
      <c r="DY1176" s="30"/>
      <c r="DZ1176" s="30"/>
      <c r="EA1176" s="30"/>
      <c r="EB1176" s="30"/>
      <c r="EC1176" s="30"/>
      <c r="ED1176" s="30"/>
      <c r="EE1176" s="30"/>
    </row>
    <row r="1177" spans="1:135" ht="27.75" customHeight="1" thickBot="1" x14ac:dyDescent="0.3">
      <c r="A1177" s="578" t="s">
        <v>1561</v>
      </c>
      <c r="B1177" s="241"/>
      <c r="C1177" s="260" t="s">
        <v>1559</v>
      </c>
      <c r="D1177" s="140" t="s">
        <v>24</v>
      </c>
      <c r="E1177" s="28" t="s">
        <v>25</v>
      </c>
      <c r="F1177" s="468"/>
      <c r="G1177" s="339" t="s">
        <v>1270</v>
      </c>
      <c r="H1177" s="421" t="s">
        <v>1273</v>
      </c>
      <c r="I1177" s="142" t="s">
        <v>48</v>
      </c>
      <c r="J1177" s="18" t="s">
        <v>738</v>
      </c>
      <c r="K1177" s="23" t="s">
        <v>1562</v>
      </c>
      <c r="L1177" s="21" t="str">
        <f>"RUTL-"&amp;RIGHT(K1177,8)</f>
        <v>RUTL-P901FSLQ</v>
      </c>
      <c r="M1177" s="508" t="s">
        <v>40</v>
      </c>
      <c r="N1177" s="23"/>
      <c r="O1177" s="23"/>
      <c r="P1177" s="23"/>
      <c r="Q1177" s="324" t="s">
        <v>1563</v>
      </c>
      <c r="R1177" s="15" t="s">
        <v>56</v>
      </c>
      <c r="S1177" s="248"/>
      <c r="T1177" s="107" t="s">
        <v>1390</v>
      </c>
      <c r="U1177" s="23" t="s">
        <v>1568</v>
      </c>
      <c r="V1177" s="242"/>
      <c r="W1177" s="23"/>
      <c r="X1177" s="30"/>
      <c r="Y1177" s="30"/>
      <c r="Z1177" s="30"/>
      <c r="AA1177" s="30"/>
      <c r="AB1177" s="30"/>
      <c r="AC1177" s="30"/>
      <c r="AD1177" s="30"/>
      <c r="AE1177" s="30"/>
      <c r="AF1177" s="30"/>
      <c r="AG1177" s="30"/>
      <c r="AH1177" s="30"/>
      <c r="AI1177" s="30"/>
      <c r="AJ1177" s="30"/>
      <c r="AK1177" s="30"/>
      <c r="AL1177" s="30"/>
      <c r="AM1177" s="30"/>
      <c r="AN1177" s="30"/>
      <c r="AO1177" s="30"/>
      <c r="AP1177" s="30"/>
      <c r="AQ1177" s="30"/>
      <c r="AR1177" s="30"/>
      <c r="AS1177" s="30"/>
      <c r="AT1177" s="30"/>
      <c r="AU1177" s="30"/>
      <c r="AV1177" s="30"/>
      <c r="AW1177" s="30"/>
      <c r="AX1177" s="30"/>
      <c r="AY1177" s="30"/>
      <c r="AZ1177" s="30"/>
      <c r="BA1177" s="30"/>
      <c r="BB1177" s="30"/>
      <c r="BC1177" s="30"/>
      <c r="BD1177" s="30"/>
      <c r="BE1177" s="30"/>
      <c r="BF1177" s="30"/>
      <c r="BG1177" s="30"/>
      <c r="BH1177" s="30"/>
      <c r="BI1177" s="30"/>
      <c r="BJ1177" s="30"/>
      <c r="BK1177" s="30"/>
      <c r="BL1177" s="30"/>
      <c r="BM1177" s="30"/>
      <c r="BN1177" s="30"/>
      <c r="BO1177" s="30"/>
      <c r="BP1177" s="30"/>
      <c r="BQ1177" s="30"/>
      <c r="BR1177" s="30"/>
      <c r="BS1177" s="30"/>
      <c r="BT1177" s="30"/>
      <c r="BU1177" s="30"/>
      <c r="BV1177" s="30"/>
      <c r="BW1177" s="30"/>
      <c r="BX1177" s="30"/>
      <c r="BY1177" s="30"/>
      <c r="BZ1177" s="30"/>
      <c r="CA1177" s="30"/>
      <c r="CB1177" s="30"/>
      <c r="CC1177" s="30"/>
      <c r="CD1177" s="30"/>
      <c r="CE1177" s="30"/>
      <c r="CF1177" s="30"/>
      <c r="CG1177" s="30"/>
      <c r="CH1177" s="30"/>
      <c r="CI1177" s="30"/>
      <c r="CJ1177" s="30"/>
      <c r="CK1177" s="30"/>
      <c r="CL1177" s="30"/>
      <c r="CM1177" s="30"/>
      <c r="CN1177" s="30"/>
      <c r="CO1177" s="30"/>
      <c r="CP1177" s="30"/>
      <c r="CQ1177" s="30"/>
      <c r="CR1177" s="30"/>
      <c r="CS1177" s="30"/>
      <c r="CT1177" s="30"/>
      <c r="CU1177" s="30"/>
      <c r="CV1177" s="30"/>
      <c r="CW1177" s="30"/>
      <c r="CX1177" s="30"/>
      <c r="CY1177" s="30"/>
      <c r="CZ1177" s="30"/>
      <c r="DA1177" s="30"/>
      <c r="DB1177" s="30"/>
      <c r="DC1177" s="30"/>
      <c r="DD1177" s="30"/>
      <c r="DE1177" s="30"/>
      <c r="DF1177" s="30"/>
      <c r="DG1177" s="30"/>
      <c r="DH1177" s="30"/>
      <c r="DI1177" s="30"/>
      <c r="DJ1177" s="30"/>
      <c r="DK1177" s="30"/>
      <c r="DL1177" s="30"/>
      <c r="DM1177" s="30"/>
      <c r="DN1177" s="30"/>
      <c r="DO1177" s="30"/>
      <c r="DP1177" s="30"/>
      <c r="DQ1177" s="30"/>
      <c r="DR1177" s="30"/>
      <c r="DS1177" s="30"/>
      <c r="DT1177" s="30"/>
      <c r="DU1177" s="30"/>
      <c r="DV1177" s="30"/>
      <c r="DW1177" s="30"/>
      <c r="DX1177" s="30"/>
      <c r="DY1177" s="30"/>
      <c r="DZ1177" s="30"/>
      <c r="EA1177" s="30"/>
      <c r="EB1177" s="30"/>
      <c r="EC1177" s="30"/>
      <c r="ED1177" s="30"/>
      <c r="EE1177" s="30"/>
    </row>
    <row r="1178" spans="1:135" ht="27.75" customHeight="1" thickBot="1" x14ac:dyDescent="0.3">
      <c r="A1178" s="578" t="s">
        <v>632</v>
      </c>
      <c r="B1178" s="450" t="s">
        <v>618</v>
      </c>
      <c r="C1178" s="231" t="s">
        <v>623</v>
      </c>
      <c r="D1178" s="121" t="s">
        <v>24</v>
      </c>
      <c r="E1178" s="122" t="s">
        <v>25</v>
      </c>
      <c r="F1178" s="472" t="s">
        <v>627</v>
      </c>
      <c r="G1178" s="59" t="s">
        <v>628</v>
      </c>
      <c r="H1178" s="483" t="s">
        <v>629</v>
      </c>
      <c r="I1178" s="142" t="s">
        <v>48</v>
      </c>
      <c r="J1178" s="18" t="s">
        <v>82</v>
      </c>
      <c r="K1178" s="340" t="s">
        <v>635</v>
      </c>
      <c r="L1178" s="127" t="str">
        <f>"RUTL-"&amp;RIGHT(K1178,8)</f>
        <v>RUTL-PC0KL0L0</v>
      </c>
      <c r="M1178" s="129" t="s">
        <v>40</v>
      </c>
      <c r="N1178" s="14"/>
      <c r="O1178" s="124"/>
      <c r="P1178" s="124"/>
      <c r="Q1178" s="124"/>
      <c r="R1178" s="121" t="s">
        <v>56</v>
      </c>
      <c r="S1178" s="151" t="s">
        <v>57</v>
      </c>
      <c r="T1178" s="137" t="s">
        <v>148</v>
      </c>
      <c r="U1178" s="123" t="s">
        <v>637</v>
      </c>
      <c r="V1178" s="282"/>
      <c r="W1178" s="124"/>
      <c r="X1178" s="30"/>
      <c r="Y1178" s="30"/>
      <c r="Z1178" s="30"/>
      <c r="AA1178" s="30"/>
      <c r="AB1178" s="30"/>
      <c r="AC1178" s="30"/>
      <c r="AD1178" s="30"/>
      <c r="AE1178" s="30"/>
      <c r="AF1178" s="30"/>
      <c r="AG1178" s="30"/>
      <c r="AH1178" s="30"/>
      <c r="AI1178" s="30"/>
      <c r="AJ1178" s="30"/>
      <c r="AK1178" s="30"/>
      <c r="AL1178" s="30"/>
      <c r="AM1178" s="30"/>
      <c r="AN1178" s="30"/>
      <c r="AO1178" s="30"/>
      <c r="AP1178" s="30"/>
      <c r="AQ1178" s="30"/>
      <c r="AR1178" s="30"/>
      <c r="AS1178" s="30"/>
      <c r="AT1178" s="30"/>
      <c r="AU1178" s="30"/>
      <c r="AV1178" s="30"/>
      <c r="AW1178" s="30"/>
      <c r="AX1178" s="30"/>
      <c r="AY1178" s="30"/>
      <c r="AZ1178" s="30"/>
      <c r="BA1178" s="30"/>
      <c r="BB1178" s="30"/>
      <c r="BC1178" s="30"/>
      <c r="BD1178" s="30"/>
      <c r="BE1178" s="30"/>
      <c r="BF1178" s="30"/>
      <c r="BG1178" s="30"/>
      <c r="BH1178" s="30"/>
      <c r="BI1178" s="30"/>
      <c r="BJ1178" s="30"/>
      <c r="BK1178" s="30"/>
      <c r="BL1178" s="30"/>
      <c r="BM1178" s="30"/>
      <c r="BN1178" s="30"/>
      <c r="BO1178" s="30"/>
      <c r="BP1178" s="30"/>
      <c r="BQ1178" s="30"/>
      <c r="BR1178" s="30"/>
      <c r="BS1178" s="30"/>
      <c r="BT1178" s="30"/>
      <c r="BU1178" s="30"/>
      <c r="BV1178" s="30"/>
      <c r="BW1178" s="30"/>
      <c r="BX1178" s="30"/>
      <c r="BY1178" s="30"/>
      <c r="BZ1178" s="30"/>
      <c r="CA1178" s="30"/>
      <c r="CB1178" s="30"/>
      <c r="CC1178" s="30"/>
      <c r="CD1178" s="30"/>
      <c r="CE1178" s="30"/>
      <c r="CF1178" s="30"/>
      <c r="CG1178" s="30"/>
      <c r="CH1178" s="30"/>
      <c r="CI1178" s="30"/>
      <c r="CJ1178" s="30"/>
      <c r="CK1178" s="30"/>
      <c r="CL1178" s="30"/>
      <c r="CM1178" s="30"/>
      <c r="CN1178" s="30"/>
      <c r="CO1178" s="30"/>
      <c r="CP1178" s="30"/>
      <c r="CQ1178" s="30"/>
      <c r="CR1178" s="30"/>
      <c r="CS1178" s="30"/>
      <c r="CT1178" s="30"/>
      <c r="CU1178" s="30"/>
      <c r="CV1178" s="30"/>
      <c r="CW1178" s="30"/>
      <c r="CX1178" s="30"/>
      <c r="CY1178" s="30"/>
      <c r="CZ1178" s="30"/>
      <c r="DA1178" s="30"/>
      <c r="DB1178" s="30"/>
      <c r="DC1178" s="30"/>
      <c r="DD1178" s="30"/>
      <c r="DE1178" s="30"/>
      <c r="DF1178" s="30"/>
      <c r="DG1178" s="30"/>
      <c r="DH1178" s="30"/>
      <c r="DI1178" s="30"/>
      <c r="DJ1178" s="30"/>
      <c r="DK1178" s="30"/>
      <c r="DL1178" s="30"/>
      <c r="DM1178" s="30"/>
      <c r="DN1178" s="30"/>
      <c r="DO1178" s="30"/>
      <c r="DP1178" s="30"/>
      <c r="DQ1178" s="30"/>
      <c r="DR1178" s="30"/>
      <c r="DS1178" s="30"/>
      <c r="DT1178" s="30"/>
      <c r="DU1178" s="30"/>
      <c r="DV1178" s="30"/>
      <c r="DW1178" s="30"/>
      <c r="DX1178" s="30"/>
      <c r="DY1178" s="30"/>
      <c r="DZ1178" s="30"/>
      <c r="EA1178" s="30"/>
      <c r="EB1178" s="30"/>
      <c r="EC1178" s="30"/>
      <c r="ED1178" s="30"/>
      <c r="EE1178" s="30"/>
    </row>
    <row r="1179" spans="1:135" ht="15.75" customHeight="1" thickBot="1" x14ac:dyDescent="0.3">
      <c r="A1179" s="578" t="s">
        <v>83</v>
      </c>
      <c r="B1179" s="381" t="s">
        <v>70</v>
      </c>
      <c r="C1179" s="50" t="s">
        <v>71</v>
      </c>
      <c r="D1179" s="10" t="s">
        <v>72</v>
      </c>
      <c r="E1179" s="11" t="s">
        <v>25</v>
      </c>
      <c r="F1179" s="468" t="s">
        <v>73</v>
      </c>
      <c r="G1179" s="59" t="s">
        <v>74</v>
      </c>
      <c r="H1179" s="421" t="s">
        <v>76</v>
      </c>
      <c r="I1179" s="142" t="s">
        <v>48</v>
      </c>
      <c r="J1179" s="18" t="s">
        <v>82</v>
      </c>
      <c r="K1179" s="33" t="s">
        <v>85</v>
      </c>
      <c r="L1179" s="25" t="str">
        <f>"RUTL-"&amp;RIGHT(K1179,8)</f>
        <v>RUTL-PC0KDWED</v>
      </c>
      <c r="M1179" s="34" t="s">
        <v>40</v>
      </c>
      <c r="N1179" s="39" t="s">
        <v>87</v>
      </c>
      <c r="O1179" s="39" t="s">
        <v>89</v>
      </c>
      <c r="P1179" s="39" t="s">
        <v>90</v>
      </c>
      <c r="Q1179" s="63" t="s">
        <v>93</v>
      </c>
      <c r="R1179" s="15" t="s">
        <v>56</v>
      </c>
      <c r="S1179" s="37" t="s">
        <v>57</v>
      </c>
      <c r="T1179" s="68" t="s">
        <v>101</v>
      </c>
      <c r="U1179" s="39" t="s">
        <v>104</v>
      </c>
      <c r="V1179" s="23"/>
      <c r="W1179" s="23"/>
      <c r="X1179" s="194"/>
      <c r="Y1179" s="195"/>
      <c r="Z1179" s="195"/>
      <c r="AA1179" s="195"/>
      <c r="AB1179" s="195"/>
      <c r="AC1179" s="195"/>
      <c r="AD1179" s="195"/>
      <c r="AE1179" s="195"/>
      <c r="AF1179" s="195"/>
      <c r="AG1179" s="195"/>
      <c r="AH1179" s="195"/>
      <c r="AI1179" s="195"/>
      <c r="AJ1179" s="195"/>
      <c r="AK1179" s="195"/>
      <c r="AL1179" s="195"/>
      <c r="AM1179" s="195"/>
      <c r="AN1179" s="195"/>
      <c r="AO1179" s="195"/>
      <c r="AP1179" s="195"/>
      <c r="AQ1179" s="195"/>
      <c r="AR1179" s="195"/>
      <c r="AS1179" s="195"/>
      <c r="AT1179" s="195"/>
      <c r="AU1179" s="195"/>
      <c r="AV1179" s="195"/>
      <c r="AW1179" s="195"/>
      <c r="AX1179" s="195"/>
      <c r="AY1179" s="195"/>
      <c r="AZ1179" s="195"/>
      <c r="BA1179" s="195"/>
      <c r="BB1179" s="195"/>
      <c r="BC1179" s="195"/>
      <c r="BD1179" s="195"/>
      <c r="BE1179" s="195"/>
      <c r="BF1179" s="195"/>
      <c r="BG1179" s="195"/>
      <c r="BH1179" s="195"/>
      <c r="BI1179" s="195"/>
      <c r="BJ1179" s="195"/>
      <c r="BK1179" s="195"/>
      <c r="BL1179" s="195"/>
      <c r="BM1179" s="195"/>
      <c r="BN1179" s="195"/>
      <c r="BO1179" s="195"/>
      <c r="BP1179" s="195"/>
      <c r="BQ1179" s="195"/>
      <c r="BR1179" s="195"/>
      <c r="BS1179" s="195"/>
      <c r="BT1179" s="195"/>
      <c r="BU1179" s="195"/>
      <c r="BV1179" s="195"/>
      <c r="BW1179" s="195"/>
      <c r="BX1179" s="195"/>
      <c r="BY1179" s="195"/>
      <c r="BZ1179" s="195"/>
      <c r="CA1179" s="195"/>
      <c r="CB1179" s="195"/>
      <c r="CC1179" s="195"/>
      <c r="CD1179" s="195"/>
      <c r="CE1179" s="195"/>
      <c r="CF1179" s="195"/>
      <c r="CG1179" s="195"/>
      <c r="CH1179" s="195"/>
      <c r="CI1179" s="195"/>
      <c r="CJ1179" s="195"/>
      <c r="CK1179" s="195"/>
      <c r="CL1179" s="195"/>
      <c r="CM1179" s="195"/>
      <c r="CN1179" s="195"/>
      <c r="CO1179" s="195"/>
      <c r="CP1179" s="195"/>
      <c r="CQ1179" s="195"/>
      <c r="CR1179" s="195"/>
      <c r="CS1179" s="195"/>
      <c r="CT1179" s="195"/>
      <c r="CU1179" s="195"/>
      <c r="CV1179" s="195"/>
      <c r="CW1179" s="195"/>
      <c r="CX1179" s="195"/>
      <c r="CY1179" s="195"/>
      <c r="CZ1179" s="195"/>
      <c r="DA1179" s="195"/>
      <c r="DB1179" s="195"/>
      <c r="DC1179" s="195"/>
      <c r="DD1179" s="195"/>
      <c r="DE1179" s="195"/>
      <c r="DF1179" s="195"/>
      <c r="DG1179" s="195"/>
      <c r="DH1179" s="195"/>
      <c r="DI1179" s="195"/>
      <c r="DJ1179" s="195"/>
      <c r="DK1179" s="195"/>
      <c r="DL1179" s="195"/>
      <c r="DM1179" s="195"/>
      <c r="DN1179" s="195"/>
      <c r="DO1179" s="195"/>
      <c r="DP1179" s="195"/>
      <c r="DQ1179" s="195"/>
      <c r="DR1179" s="195"/>
      <c r="DS1179" s="195"/>
      <c r="DT1179" s="195"/>
      <c r="DU1179" s="195"/>
      <c r="DV1179" s="195"/>
      <c r="DW1179" s="195"/>
      <c r="DX1179" s="195"/>
      <c r="DY1179" s="195"/>
      <c r="DZ1179" s="195"/>
      <c r="EA1179" s="195"/>
      <c r="EB1179" s="195"/>
      <c r="EC1179" s="195"/>
      <c r="ED1179" s="195"/>
      <c r="EE1179" s="195"/>
    </row>
    <row r="1180" spans="1:135" ht="15.75" customHeight="1" thickBot="1" x14ac:dyDescent="0.3">
      <c r="A1180" s="578" t="s">
        <v>2005</v>
      </c>
      <c r="B1180" s="265" t="s">
        <v>1997</v>
      </c>
      <c r="C1180" s="72" t="s">
        <v>1999</v>
      </c>
      <c r="D1180" s="15" t="s">
        <v>72</v>
      </c>
      <c r="E1180" s="11" t="s">
        <v>25</v>
      </c>
      <c r="F1180" s="20" t="s">
        <v>2001</v>
      </c>
      <c r="G1180" s="15" t="s">
        <v>2002</v>
      </c>
      <c r="H1180" s="367" t="s">
        <v>1846</v>
      </c>
      <c r="I1180" s="18" t="s">
        <v>48</v>
      </c>
      <c r="J1180" s="18" t="s">
        <v>82</v>
      </c>
      <c r="K1180" s="23" t="s">
        <v>2006</v>
      </c>
      <c r="L1180" s="21" t="str">
        <f>"RUTL-"&amp;RIGHT(K1180,8)</f>
        <v>RUTL-PC0KDWEN</v>
      </c>
      <c r="M1180" s="34" t="s">
        <v>40</v>
      </c>
      <c r="N1180" s="15" t="s">
        <v>319</v>
      </c>
      <c r="O1180" s="227"/>
      <c r="P1180" s="39" t="s">
        <v>90</v>
      </c>
      <c r="Q1180" s="63" t="s">
        <v>2007</v>
      </c>
      <c r="R1180" s="15" t="s">
        <v>56</v>
      </c>
      <c r="S1180" s="37" t="s">
        <v>180</v>
      </c>
      <c r="T1180" s="105" t="s">
        <v>1542</v>
      </c>
      <c r="U1180" s="39" t="s">
        <v>2008</v>
      </c>
      <c r="V1180" s="23"/>
      <c r="W1180" s="23"/>
      <c r="X1180" s="71"/>
      <c r="DF1180" s="30"/>
      <c r="DG1180" s="30"/>
      <c r="DH1180" s="30"/>
      <c r="DI1180" s="30"/>
      <c r="DJ1180" s="30"/>
      <c r="DK1180" s="30"/>
      <c r="DL1180" s="30"/>
      <c r="DM1180" s="30"/>
      <c r="DN1180" s="30"/>
      <c r="DO1180" s="30"/>
      <c r="DP1180" s="30"/>
      <c r="DQ1180" s="30"/>
      <c r="DR1180" s="30"/>
      <c r="DS1180" s="30"/>
      <c r="DT1180" s="30"/>
      <c r="DU1180" s="30"/>
      <c r="DV1180" s="30"/>
      <c r="DW1180" s="30"/>
      <c r="DX1180" s="30"/>
      <c r="DY1180" s="30"/>
      <c r="DZ1180" s="30"/>
      <c r="EA1180" s="30"/>
      <c r="EB1180" s="30"/>
      <c r="EC1180" s="30"/>
      <c r="ED1180" s="30"/>
      <c r="EE1180" s="30"/>
    </row>
    <row r="1181" spans="1:135" ht="27.75" customHeight="1" x14ac:dyDescent="0.25">
      <c r="A1181" s="578" t="s">
        <v>783</v>
      </c>
      <c r="B1181" s="450" t="s">
        <v>776</v>
      </c>
      <c r="C1181" s="231" t="s">
        <v>777</v>
      </c>
      <c r="D1181" s="121" t="s">
        <v>24</v>
      </c>
      <c r="E1181" s="122" t="s">
        <v>25</v>
      </c>
      <c r="F1181" s="162" t="s">
        <v>778</v>
      </c>
      <c r="G1181" s="15" t="s">
        <v>779</v>
      </c>
      <c r="H1181" s="475" t="s">
        <v>780</v>
      </c>
      <c r="I1181" s="54" t="s">
        <v>48</v>
      </c>
      <c r="J1181" s="18" t="s">
        <v>82</v>
      </c>
      <c r="K1181" s="23" t="s">
        <v>786</v>
      </c>
      <c r="L1181" s="127" t="str">
        <f>"RUTL-"&amp;RIGHT(K1181,8)</f>
        <v>RUTL-PC0KDWEW</v>
      </c>
      <c r="M1181" s="514" t="s">
        <v>40</v>
      </c>
      <c r="N1181" s="14" t="s">
        <v>43</v>
      </c>
      <c r="O1181" s="14"/>
      <c r="P1181" s="39" t="s">
        <v>90</v>
      </c>
      <c r="Q1181" s="14"/>
      <c r="R1181" s="121" t="s">
        <v>56</v>
      </c>
      <c r="S1181" s="151" t="s">
        <v>57</v>
      </c>
      <c r="T1181" s="14" t="s">
        <v>788</v>
      </c>
      <c r="U1181" s="138" t="s">
        <v>789</v>
      </c>
      <c r="V1181" s="14"/>
      <c r="W1181" s="14"/>
      <c r="X1181" s="30"/>
      <c r="Y1181" s="6"/>
      <c r="Z1181" s="6"/>
      <c r="AA1181" s="6"/>
      <c r="AB1181" s="6"/>
      <c r="AC1181" s="6"/>
      <c r="AD1181" s="6"/>
      <c r="AE1181" s="6"/>
      <c r="AF1181" s="6"/>
      <c r="AG1181" s="6"/>
      <c r="AH1181" s="6"/>
      <c r="AI1181" s="6"/>
      <c r="AJ1181" s="6"/>
      <c r="AK1181" s="6"/>
      <c r="AL1181" s="6"/>
      <c r="AM1181" s="6"/>
      <c r="AN1181" s="6"/>
      <c r="AO1181" s="6"/>
      <c r="AP1181" s="6"/>
      <c r="AQ1181" s="6"/>
      <c r="AR1181" s="6"/>
      <c r="AS1181" s="6"/>
      <c r="AT1181" s="6"/>
      <c r="AU1181" s="6"/>
      <c r="AV1181" s="6"/>
      <c r="AW1181" s="6"/>
      <c r="AX1181" s="6"/>
      <c r="AY1181" s="6"/>
      <c r="AZ1181" s="6"/>
      <c r="BA1181" s="6"/>
      <c r="BB1181" s="6"/>
      <c r="BC1181" s="6"/>
      <c r="BD1181" s="6"/>
      <c r="BE1181" s="6"/>
      <c r="BF1181" s="6"/>
      <c r="BG1181" s="6"/>
      <c r="BH1181" s="6"/>
      <c r="BI1181" s="6"/>
      <c r="BJ1181" s="6"/>
      <c r="BK1181" s="6"/>
      <c r="BL1181" s="6"/>
      <c r="BM1181" s="6"/>
      <c r="BN1181" s="6"/>
      <c r="BO1181" s="6"/>
      <c r="BP1181" s="6"/>
      <c r="BQ1181" s="6"/>
      <c r="BR1181" s="6"/>
      <c r="BS1181" s="6"/>
      <c r="BT1181" s="6"/>
      <c r="BU1181" s="6"/>
      <c r="BV1181" s="6"/>
      <c r="BW1181" s="6"/>
      <c r="BX1181" s="6"/>
      <c r="BY1181" s="6"/>
      <c r="BZ1181" s="6"/>
      <c r="CA1181" s="6"/>
      <c r="CB1181" s="6"/>
      <c r="CC1181" s="6"/>
      <c r="CD1181" s="6"/>
      <c r="CE1181" s="6"/>
      <c r="CF1181" s="6"/>
      <c r="CG1181" s="6"/>
      <c r="CH1181" s="6"/>
      <c r="CI1181" s="6"/>
      <c r="CJ1181" s="6"/>
      <c r="CK1181" s="6"/>
      <c r="CL1181" s="6"/>
      <c r="CM1181" s="6"/>
      <c r="CN1181" s="6"/>
      <c r="CO1181" s="6"/>
      <c r="CP1181" s="6"/>
      <c r="CQ1181" s="6"/>
      <c r="CR1181" s="6"/>
      <c r="CS1181" s="6"/>
      <c r="CT1181" s="6"/>
      <c r="CU1181" s="6"/>
      <c r="CV1181" s="6"/>
      <c r="CW1181" s="6"/>
      <c r="CX1181" s="6"/>
      <c r="CY1181" s="6"/>
      <c r="CZ1181" s="6"/>
      <c r="DA1181" s="6"/>
      <c r="DB1181" s="6"/>
      <c r="DC1181" s="6"/>
      <c r="DD1181" s="6"/>
      <c r="DE1181" s="6"/>
      <c r="DF1181" s="6"/>
      <c r="DG1181" s="6"/>
      <c r="DH1181" s="6"/>
      <c r="DI1181" s="6"/>
      <c r="DJ1181" s="6"/>
      <c r="DK1181" s="6"/>
      <c r="DL1181" s="6"/>
      <c r="DM1181" s="6"/>
      <c r="DN1181" s="6"/>
      <c r="DO1181" s="6"/>
      <c r="DP1181" s="6"/>
      <c r="DQ1181" s="6"/>
      <c r="DR1181" s="6"/>
      <c r="DS1181" s="6"/>
      <c r="DT1181" s="6"/>
      <c r="DU1181" s="6"/>
      <c r="DV1181" s="6"/>
      <c r="DW1181" s="6"/>
      <c r="DX1181" s="6"/>
      <c r="DY1181" s="6"/>
      <c r="DZ1181" s="6"/>
      <c r="EA1181" s="6"/>
      <c r="EB1181" s="6"/>
      <c r="EC1181" s="6"/>
      <c r="ED1181" s="6"/>
      <c r="EE1181" s="6"/>
    </row>
    <row r="1182" spans="1:135" ht="27.75" customHeight="1" x14ac:dyDescent="0.25">
      <c r="A1182" s="578" t="s">
        <v>6212</v>
      </c>
      <c r="B1182" s="438">
        <v>15381</v>
      </c>
      <c r="C1182" s="50" t="s">
        <v>6209</v>
      </c>
      <c r="D1182" s="10" t="s">
        <v>24</v>
      </c>
      <c r="E1182" s="11" t="s">
        <v>25</v>
      </c>
      <c r="F1182" s="29" t="s">
        <v>6210</v>
      </c>
      <c r="G1182" s="15" t="s">
        <v>1351</v>
      </c>
      <c r="H1182" s="476" t="s">
        <v>3896</v>
      </c>
      <c r="I1182" s="205" t="s">
        <v>135</v>
      </c>
      <c r="J1182" s="24" t="s">
        <v>842</v>
      </c>
      <c r="K1182" s="23" t="s">
        <v>6215</v>
      </c>
      <c r="L1182" s="25" t="str">
        <f>"RUTL-"&amp;RIGHT(K1182,8)</f>
        <v>RUTL-PF0NG272</v>
      </c>
      <c r="M1182" s="240" t="s">
        <v>40</v>
      </c>
      <c r="N1182" s="23" t="s">
        <v>43</v>
      </c>
      <c r="O1182" s="23"/>
      <c r="P1182" s="35" t="s">
        <v>46</v>
      </c>
      <c r="Q1182" s="35" t="s">
        <v>6216</v>
      </c>
      <c r="R1182" s="15" t="s">
        <v>56</v>
      </c>
      <c r="S1182" s="40" t="s">
        <v>57</v>
      </c>
      <c r="T1182" s="68" t="s">
        <v>453</v>
      </c>
      <c r="U1182" s="39" t="s">
        <v>243</v>
      </c>
      <c r="V1182" s="44"/>
      <c r="W1182" s="23"/>
      <c r="X1182" s="30"/>
      <c r="Y1182" s="6"/>
      <c r="Z1182" s="6"/>
      <c r="AA1182" s="6"/>
      <c r="AB1182" s="6"/>
      <c r="AC1182" s="6"/>
      <c r="AD1182" s="6"/>
      <c r="AE1182" s="6"/>
      <c r="AF1182" s="6"/>
      <c r="AG1182" s="6"/>
      <c r="AH1182" s="6"/>
      <c r="AI1182" s="6"/>
      <c r="AJ1182" s="6"/>
      <c r="AK1182" s="6"/>
      <c r="AL1182" s="6"/>
      <c r="AM1182" s="6"/>
      <c r="AN1182" s="6"/>
      <c r="AO1182" s="6"/>
      <c r="AP1182" s="6"/>
      <c r="AQ1182" s="6"/>
      <c r="AR1182" s="6"/>
      <c r="AS1182" s="6"/>
      <c r="AT1182" s="6"/>
      <c r="AU1182" s="6"/>
      <c r="AV1182" s="6"/>
      <c r="AW1182" s="6"/>
      <c r="AX1182" s="6"/>
      <c r="AY1182" s="6"/>
      <c r="AZ1182" s="6"/>
      <c r="BA1182" s="6"/>
      <c r="BB1182" s="6"/>
      <c r="BC1182" s="6"/>
      <c r="BD1182" s="6"/>
      <c r="BE1182" s="6"/>
      <c r="BF1182" s="6"/>
      <c r="BG1182" s="6"/>
      <c r="BH1182" s="6"/>
      <c r="BI1182" s="6"/>
      <c r="BJ1182" s="6"/>
      <c r="BK1182" s="6"/>
      <c r="BL1182" s="6"/>
      <c r="BM1182" s="6"/>
      <c r="BN1182" s="6"/>
      <c r="BO1182" s="6"/>
      <c r="BP1182" s="6"/>
      <c r="BQ1182" s="6"/>
      <c r="BR1182" s="6"/>
      <c r="BS1182" s="6"/>
      <c r="BT1182" s="6"/>
      <c r="BU1182" s="6"/>
      <c r="BV1182" s="6"/>
      <c r="BW1182" s="6"/>
      <c r="BX1182" s="6"/>
      <c r="BY1182" s="6"/>
      <c r="BZ1182" s="6"/>
      <c r="CA1182" s="6"/>
      <c r="CB1182" s="6"/>
      <c r="CC1182" s="6"/>
      <c r="CD1182" s="6"/>
      <c r="CE1182" s="6"/>
      <c r="CF1182" s="6"/>
      <c r="CG1182" s="6"/>
      <c r="CH1182" s="6"/>
      <c r="CI1182" s="6"/>
      <c r="CJ1182" s="6"/>
      <c r="CK1182" s="6"/>
      <c r="CL1182" s="6"/>
      <c r="CM1182" s="6"/>
      <c r="CN1182" s="6"/>
      <c r="CO1182" s="6"/>
      <c r="CP1182" s="6"/>
      <c r="CQ1182" s="6"/>
      <c r="CR1182" s="6"/>
      <c r="CS1182" s="6"/>
      <c r="CT1182" s="6"/>
      <c r="CU1182" s="6"/>
      <c r="CV1182" s="6"/>
      <c r="CW1182" s="6"/>
      <c r="CX1182" s="6"/>
      <c r="CY1182" s="6"/>
      <c r="CZ1182" s="6"/>
      <c r="DA1182" s="6"/>
      <c r="DB1182" s="6"/>
      <c r="DC1182" s="6"/>
      <c r="DD1182" s="6"/>
      <c r="DE1182" s="6"/>
      <c r="DF1182" s="6"/>
      <c r="DG1182" s="6"/>
      <c r="DH1182" s="6"/>
      <c r="DI1182" s="6"/>
      <c r="DJ1182" s="6"/>
      <c r="DK1182" s="6"/>
      <c r="DL1182" s="6"/>
      <c r="DM1182" s="6"/>
      <c r="DN1182" s="6"/>
      <c r="DO1182" s="6"/>
      <c r="DP1182" s="6"/>
      <c r="DQ1182" s="6"/>
      <c r="DR1182" s="6"/>
      <c r="DS1182" s="6"/>
      <c r="DT1182" s="6"/>
      <c r="DU1182" s="6"/>
      <c r="DV1182" s="6"/>
      <c r="DW1182" s="6"/>
      <c r="DX1182" s="6"/>
      <c r="DY1182" s="6"/>
      <c r="DZ1182" s="6"/>
      <c r="EA1182" s="6"/>
      <c r="EB1182" s="6"/>
      <c r="EC1182" s="6"/>
      <c r="ED1182" s="6"/>
      <c r="EE1182" s="6"/>
    </row>
    <row r="1183" spans="1:135" ht="27.75" customHeight="1" thickBot="1" x14ac:dyDescent="0.3">
      <c r="A1183" s="578" t="s">
        <v>231</v>
      </c>
      <c r="B1183" s="438">
        <v>72</v>
      </c>
      <c r="C1183" s="72" t="s">
        <v>211</v>
      </c>
      <c r="D1183" s="10" t="s">
        <v>212</v>
      </c>
      <c r="E1183" s="11" t="s">
        <v>25</v>
      </c>
      <c r="F1183" s="20" t="s">
        <v>213</v>
      </c>
      <c r="G1183" s="15" t="s">
        <v>224</v>
      </c>
      <c r="H1183" s="388" t="s">
        <v>225</v>
      </c>
      <c r="I1183" s="54" t="s">
        <v>229</v>
      </c>
      <c r="J1183" s="18" t="s">
        <v>230</v>
      </c>
      <c r="K1183" s="23" t="s">
        <v>232</v>
      </c>
      <c r="L1183" s="25" t="str">
        <f>"RUTL-"&amp;RIGHT(K1183,8)</f>
        <v>RUTL-S4BP0247</v>
      </c>
      <c r="M1183" s="34" t="s">
        <v>40</v>
      </c>
      <c r="N1183" s="23"/>
      <c r="O1183" s="23"/>
      <c r="P1183" s="23"/>
      <c r="Q1183" s="63" t="s">
        <v>234</v>
      </c>
      <c r="R1183" s="15" t="s">
        <v>235</v>
      </c>
      <c r="S1183" s="37" t="s">
        <v>57</v>
      </c>
      <c r="T1183" s="101" t="s">
        <v>96</v>
      </c>
      <c r="U1183" s="111">
        <v>45510</v>
      </c>
      <c r="V1183" s="23"/>
      <c r="W1183" s="23"/>
      <c r="X1183" s="30"/>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c r="EA1183" s="5"/>
      <c r="EB1183" s="5"/>
      <c r="EC1183" s="5"/>
      <c r="ED1183" s="5"/>
      <c r="EE1183" s="5"/>
    </row>
    <row r="1184" spans="1:135" ht="72" customHeight="1" thickBot="1" x14ac:dyDescent="0.3">
      <c r="A1184" s="578" t="s">
        <v>3506</v>
      </c>
      <c r="B1184" s="51">
        <v>4190</v>
      </c>
      <c r="C1184" s="72" t="s">
        <v>3505</v>
      </c>
      <c r="D1184" s="10" t="s">
        <v>24</v>
      </c>
      <c r="E1184" s="11" t="s">
        <v>25</v>
      </c>
      <c r="F1184" s="20" t="s">
        <v>1400</v>
      </c>
      <c r="G1184" s="15" t="s">
        <v>1401</v>
      </c>
      <c r="H1184" s="389" t="s">
        <v>3015</v>
      </c>
      <c r="I1184" s="18" t="s">
        <v>48</v>
      </c>
      <c r="J1184" s="18" t="s">
        <v>49</v>
      </c>
      <c r="K1184" s="61" t="s">
        <v>3507</v>
      </c>
      <c r="L1184" s="25" t="str">
        <f>"RUTL-"&amp;RIGHT(K1184,8)</f>
        <v>RUTL-1D1A6N02</v>
      </c>
      <c r="M1184" s="34" t="s">
        <v>40</v>
      </c>
      <c r="N1184" s="23" t="s">
        <v>54</v>
      </c>
      <c r="O1184" s="98"/>
      <c r="P1184" s="45" t="s">
        <v>46</v>
      </c>
      <c r="Q1184" s="35" t="s">
        <v>3508</v>
      </c>
      <c r="R1184" s="15" t="s">
        <v>56</v>
      </c>
      <c r="S1184" s="146" t="s">
        <v>57</v>
      </c>
      <c r="T1184" s="350" t="s">
        <v>96</v>
      </c>
      <c r="U1184" s="23" t="s">
        <v>3509</v>
      </c>
      <c r="V1184" s="82"/>
      <c r="W1184" s="23" t="s">
        <v>99</v>
      </c>
      <c r="X1184" s="6"/>
      <c r="Y1184" s="6"/>
      <c r="Z1184" s="6"/>
      <c r="AA1184" s="6"/>
      <c r="AB1184" s="6"/>
      <c r="AC1184" s="6"/>
      <c r="AD1184" s="6"/>
      <c r="AE1184" s="6"/>
      <c r="AF1184" s="6"/>
      <c r="AG1184" s="6"/>
      <c r="AH1184" s="6"/>
      <c r="AI1184" s="6"/>
      <c r="AJ1184" s="6"/>
      <c r="AK1184" s="6"/>
      <c r="AL1184" s="6"/>
      <c r="AM1184" s="6"/>
      <c r="AN1184" s="6"/>
      <c r="AO1184" s="6"/>
      <c r="AP1184" s="6"/>
      <c r="AQ1184" s="6"/>
      <c r="AR1184" s="6"/>
      <c r="AS1184" s="6"/>
      <c r="AT1184" s="6"/>
      <c r="AU1184" s="6"/>
      <c r="AV1184" s="6"/>
      <c r="AW1184" s="6"/>
      <c r="AX1184" s="6"/>
      <c r="AY1184" s="6"/>
      <c r="AZ1184" s="6"/>
      <c r="BA1184" s="6"/>
      <c r="BB1184" s="6"/>
      <c r="BC1184" s="6"/>
      <c r="BD1184" s="6"/>
      <c r="BE1184" s="6"/>
      <c r="BF1184" s="6"/>
      <c r="BG1184" s="6"/>
      <c r="BH1184" s="6"/>
      <c r="BI1184" s="6"/>
      <c r="BJ1184" s="6"/>
      <c r="BK1184" s="6"/>
      <c r="BL1184" s="6"/>
      <c r="BM1184" s="6"/>
      <c r="BN1184" s="6"/>
      <c r="BO1184" s="6"/>
      <c r="BP1184" s="6"/>
      <c r="BQ1184" s="6"/>
      <c r="BR1184" s="6"/>
      <c r="BS1184" s="6"/>
      <c r="BT1184" s="6"/>
      <c r="BU1184" s="6"/>
      <c r="BV1184" s="6"/>
      <c r="BW1184" s="6"/>
      <c r="BX1184" s="6"/>
      <c r="BY1184" s="6"/>
      <c r="BZ1184" s="6"/>
      <c r="CA1184" s="6"/>
      <c r="CB1184" s="6"/>
      <c r="CC1184" s="6"/>
      <c r="CD1184" s="6"/>
      <c r="CE1184" s="6"/>
      <c r="CF1184" s="6"/>
      <c r="CG1184" s="6"/>
      <c r="CH1184" s="6"/>
      <c r="CI1184" s="6"/>
      <c r="CJ1184" s="6"/>
      <c r="CK1184" s="6"/>
      <c r="CL1184" s="6"/>
      <c r="CM1184" s="6"/>
      <c r="CN1184" s="6"/>
      <c r="CO1184" s="6"/>
      <c r="CP1184" s="6"/>
      <c r="CQ1184" s="6"/>
      <c r="CR1184" s="6"/>
      <c r="CS1184" s="6"/>
      <c r="CT1184" s="6"/>
      <c r="CU1184" s="6"/>
      <c r="CV1184" s="6"/>
      <c r="CW1184" s="6"/>
      <c r="CX1184" s="6"/>
      <c r="CY1184" s="6"/>
      <c r="CZ1184" s="6"/>
      <c r="DA1184" s="6"/>
      <c r="DB1184" s="6"/>
      <c r="DC1184" s="6"/>
      <c r="DD1184" s="6"/>
      <c r="DE1184" s="6"/>
      <c r="DF1184" s="6"/>
      <c r="DG1184" s="6"/>
      <c r="DH1184" s="6"/>
      <c r="DI1184" s="6"/>
      <c r="DJ1184" s="6"/>
      <c r="DK1184" s="6"/>
      <c r="DL1184" s="6"/>
      <c r="DM1184" s="6"/>
      <c r="DN1184" s="6"/>
      <c r="DO1184" s="6"/>
      <c r="DP1184" s="6"/>
      <c r="DQ1184" s="6"/>
      <c r="DR1184" s="6"/>
      <c r="DS1184" s="6"/>
      <c r="DT1184" s="6"/>
      <c r="DU1184" s="6"/>
      <c r="DV1184" s="6"/>
      <c r="DW1184" s="6"/>
      <c r="DX1184" s="6"/>
      <c r="DY1184" s="6"/>
      <c r="DZ1184" s="6"/>
      <c r="EA1184" s="6"/>
      <c r="EB1184" s="6"/>
      <c r="EC1184" s="6"/>
      <c r="ED1184" s="6"/>
      <c r="EE1184" s="6"/>
    </row>
    <row r="1185" spans="1:135" ht="72" customHeight="1" thickBot="1" x14ac:dyDescent="0.3">
      <c r="A1185" s="578" t="s">
        <v>3506</v>
      </c>
      <c r="B1185" s="51">
        <v>17582</v>
      </c>
      <c r="C1185" s="69" t="s">
        <v>7118</v>
      </c>
      <c r="D1185" s="10" t="s">
        <v>24</v>
      </c>
      <c r="E1185" s="28" t="s">
        <v>25</v>
      </c>
      <c r="F1185" s="12" t="s">
        <v>7119</v>
      </c>
      <c r="G1185" s="15" t="s">
        <v>3517</v>
      </c>
      <c r="H1185" s="395" t="s">
        <v>6700</v>
      </c>
      <c r="I1185" s="18" t="s">
        <v>48</v>
      </c>
      <c r="J1185" s="18" t="s">
        <v>49</v>
      </c>
      <c r="K1185" s="33" t="s">
        <v>7120</v>
      </c>
      <c r="L1185" s="25" t="str">
        <f>"RUTL-"&amp;RIGHT(K1185,8)</f>
        <v>RUTL-1A686N02</v>
      </c>
      <c r="M1185" s="34" t="s">
        <v>40</v>
      </c>
      <c r="N1185" s="32" t="s">
        <v>43</v>
      </c>
      <c r="O1185" s="23"/>
      <c r="P1185" s="45" t="s">
        <v>46</v>
      </c>
      <c r="Q1185" s="45" t="s">
        <v>7121</v>
      </c>
      <c r="R1185" s="46" t="s">
        <v>56</v>
      </c>
      <c r="S1185" s="146" t="s">
        <v>57</v>
      </c>
      <c r="T1185" s="87" t="s">
        <v>273</v>
      </c>
      <c r="U1185" s="39" t="s">
        <v>802</v>
      </c>
      <c r="V1185" s="82">
        <v>46111</v>
      </c>
      <c r="W1185" s="23" t="s">
        <v>67</v>
      </c>
      <c r="X1185" s="6"/>
      <c r="Y1185" s="6"/>
      <c r="Z1185" s="6"/>
      <c r="AA1185" s="6"/>
      <c r="AB1185" s="6"/>
      <c r="AC1185" s="6"/>
      <c r="AD1185" s="6"/>
      <c r="AE1185" s="6"/>
      <c r="AF1185" s="6"/>
      <c r="AG1185" s="6"/>
      <c r="AH1185" s="6"/>
      <c r="AI1185" s="6"/>
      <c r="AJ1185" s="6"/>
      <c r="AK1185" s="6"/>
      <c r="AL1185" s="6"/>
      <c r="AM1185" s="6"/>
      <c r="AN1185" s="6"/>
      <c r="AO1185" s="6"/>
      <c r="AP1185" s="6"/>
      <c r="AQ1185" s="6"/>
      <c r="AR1185" s="6"/>
      <c r="AS1185" s="6"/>
      <c r="AT1185" s="6"/>
      <c r="AU1185" s="6"/>
      <c r="AV1185" s="6"/>
      <c r="AW1185" s="6"/>
      <c r="AX1185" s="6"/>
      <c r="AY1185" s="6"/>
      <c r="AZ1185" s="6"/>
      <c r="BA1185" s="6"/>
      <c r="BB1185" s="6"/>
      <c r="BC1185" s="6"/>
      <c r="BD1185" s="6"/>
      <c r="BE1185" s="6"/>
      <c r="BF1185" s="6"/>
      <c r="BG1185" s="6"/>
      <c r="BH1185" s="6"/>
      <c r="BI1185" s="6"/>
      <c r="BJ1185" s="6"/>
      <c r="BK1185" s="6"/>
      <c r="BL1185" s="6"/>
      <c r="BM1185" s="6"/>
      <c r="BN1185" s="6"/>
      <c r="BO1185" s="6"/>
      <c r="BP1185" s="6"/>
      <c r="BQ1185" s="6"/>
      <c r="BR1185" s="6"/>
      <c r="BS1185" s="6"/>
      <c r="BT1185" s="6"/>
      <c r="BU1185" s="6"/>
      <c r="BV1185" s="6"/>
      <c r="BW1185" s="6"/>
      <c r="BX1185" s="6"/>
      <c r="BY1185" s="6"/>
      <c r="BZ1185" s="6"/>
      <c r="CA1185" s="6"/>
      <c r="CB1185" s="6"/>
      <c r="CC1185" s="6"/>
      <c r="CD1185" s="6"/>
      <c r="CE1185" s="6"/>
      <c r="CF1185" s="6"/>
      <c r="CG1185" s="6"/>
      <c r="CH1185" s="6"/>
      <c r="CI1185" s="6"/>
      <c r="CJ1185" s="6"/>
      <c r="CK1185" s="6"/>
      <c r="CL1185" s="6"/>
      <c r="CM1185" s="6"/>
      <c r="CN1185" s="6"/>
      <c r="CO1185" s="6"/>
      <c r="CP1185" s="6"/>
      <c r="CQ1185" s="6"/>
      <c r="CR1185" s="6"/>
      <c r="CS1185" s="6"/>
      <c r="CT1185" s="6"/>
      <c r="CU1185" s="6"/>
      <c r="CV1185" s="6"/>
      <c r="CW1185" s="6"/>
      <c r="CX1185" s="6"/>
      <c r="CY1185" s="6"/>
      <c r="CZ1185" s="6"/>
      <c r="DA1185" s="6"/>
      <c r="DB1185" s="6"/>
      <c r="DC1185" s="6"/>
      <c r="DD1185" s="6"/>
      <c r="DE1185" s="6"/>
      <c r="DF1185" s="6"/>
      <c r="DG1185" s="6"/>
      <c r="DH1185" s="6"/>
      <c r="DI1185" s="6"/>
      <c r="DJ1185" s="6"/>
      <c r="DK1185" s="6"/>
      <c r="DL1185" s="6"/>
      <c r="DM1185" s="6"/>
      <c r="DN1185" s="6"/>
      <c r="DO1185" s="6"/>
      <c r="DP1185" s="6"/>
      <c r="DQ1185" s="6"/>
      <c r="DR1185" s="6"/>
      <c r="DS1185" s="6"/>
      <c r="DT1185" s="6"/>
      <c r="DU1185" s="6"/>
      <c r="DV1185" s="6"/>
      <c r="DW1185" s="6"/>
      <c r="DX1185" s="6"/>
      <c r="DY1185" s="6"/>
      <c r="DZ1185" s="6"/>
      <c r="EA1185" s="6"/>
      <c r="EB1185" s="6"/>
      <c r="EC1185" s="6"/>
      <c r="ED1185" s="6"/>
      <c r="EE1185" s="6"/>
    </row>
    <row r="1186" spans="1:135" ht="72" customHeight="1" thickBot="1" x14ac:dyDescent="0.3">
      <c r="A1186" s="578" t="s">
        <v>3506</v>
      </c>
      <c r="B1186" s="16">
        <v>17636</v>
      </c>
      <c r="C1186" s="72" t="s">
        <v>7141</v>
      </c>
      <c r="D1186" s="10" t="s">
        <v>24</v>
      </c>
      <c r="E1186" s="28" t="s">
        <v>25</v>
      </c>
      <c r="F1186" s="20" t="s">
        <v>7142</v>
      </c>
      <c r="G1186" s="15" t="s">
        <v>3948</v>
      </c>
      <c r="H1186" s="395" t="s">
        <v>6700</v>
      </c>
      <c r="I1186" s="18" t="s">
        <v>48</v>
      </c>
      <c r="J1186" s="18" t="s">
        <v>49</v>
      </c>
      <c r="K1186" s="33" t="s">
        <v>7143</v>
      </c>
      <c r="L1186" s="25" t="str">
        <f>"RUTL-"&amp;RIGHT(K1186,8)</f>
        <v>RUTL-1A736N02</v>
      </c>
      <c r="M1186" s="240" t="s">
        <v>40</v>
      </c>
      <c r="N1186" s="32" t="s">
        <v>43</v>
      </c>
      <c r="O1186" s="23"/>
      <c r="P1186" s="45" t="s">
        <v>46</v>
      </c>
      <c r="Q1186" s="35" t="s">
        <v>7144</v>
      </c>
      <c r="R1186" s="15" t="s">
        <v>56</v>
      </c>
      <c r="S1186" s="146" t="s">
        <v>57</v>
      </c>
      <c r="T1186" s="68" t="s">
        <v>148</v>
      </c>
      <c r="U1186" s="39" t="s">
        <v>7145</v>
      </c>
      <c r="V1186" s="82">
        <v>46111</v>
      </c>
      <c r="W1186" s="23" t="s">
        <v>67</v>
      </c>
      <c r="X1186" s="6"/>
      <c r="Y1186" s="6"/>
      <c r="Z1186" s="6"/>
      <c r="AA1186" s="6"/>
      <c r="AB1186" s="6"/>
      <c r="AC1186" s="6"/>
      <c r="AD1186" s="6"/>
      <c r="AE1186" s="6"/>
      <c r="AF1186" s="6"/>
      <c r="AG1186" s="6"/>
      <c r="AH1186" s="6"/>
      <c r="AI1186" s="6"/>
      <c r="AJ1186" s="6"/>
      <c r="AK1186" s="6"/>
      <c r="AL1186" s="6"/>
      <c r="AM1186" s="6"/>
      <c r="AN1186" s="6"/>
      <c r="AO1186" s="6"/>
      <c r="AP1186" s="6"/>
      <c r="AQ1186" s="6"/>
      <c r="AR1186" s="6"/>
      <c r="AS1186" s="6"/>
      <c r="AT1186" s="6"/>
      <c r="AU1186" s="6"/>
      <c r="AV1186" s="6"/>
      <c r="AW1186" s="6"/>
      <c r="AX1186" s="6"/>
      <c r="AY1186" s="6"/>
      <c r="AZ1186" s="6"/>
      <c r="BA1186" s="6"/>
      <c r="BB1186" s="6"/>
      <c r="BC1186" s="6"/>
      <c r="BD1186" s="6"/>
      <c r="BE1186" s="6"/>
      <c r="BF1186" s="6"/>
      <c r="BG1186" s="6"/>
      <c r="BH1186" s="6"/>
      <c r="BI1186" s="6"/>
      <c r="BJ1186" s="6"/>
      <c r="BK1186" s="6"/>
      <c r="BL1186" s="6"/>
      <c r="BM1186" s="6"/>
      <c r="BN1186" s="6"/>
      <c r="BO1186" s="6"/>
      <c r="BP1186" s="6"/>
      <c r="BQ1186" s="6"/>
      <c r="BR1186" s="6"/>
      <c r="BS1186" s="6"/>
      <c r="BT1186" s="6"/>
      <c r="BU1186" s="6"/>
      <c r="BV1186" s="6"/>
      <c r="BW1186" s="6"/>
      <c r="BX1186" s="6"/>
      <c r="BY1186" s="6"/>
      <c r="BZ1186" s="6"/>
      <c r="CA1186" s="6"/>
      <c r="CB1186" s="6"/>
      <c r="CC1186" s="6"/>
      <c r="CD1186" s="6"/>
      <c r="CE1186" s="6"/>
      <c r="CF1186" s="6"/>
      <c r="CG1186" s="6"/>
      <c r="CH1186" s="6"/>
      <c r="CI1186" s="6"/>
      <c r="CJ1186" s="6"/>
      <c r="CK1186" s="6"/>
      <c r="CL1186" s="6"/>
      <c r="CM1186" s="6"/>
      <c r="CN1186" s="6"/>
      <c r="CO1186" s="6"/>
      <c r="CP1186" s="6"/>
      <c r="CQ1186" s="6"/>
      <c r="CR1186" s="6"/>
      <c r="CS1186" s="6"/>
      <c r="CT1186" s="6"/>
      <c r="CU1186" s="6"/>
      <c r="CV1186" s="6"/>
      <c r="CW1186" s="6"/>
      <c r="CX1186" s="6"/>
      <c r="CY1186" s="6"/>
      <c r="CZ1186" s="6"/>
      <c r="DA1186" s="6"/>
      <c r="DB1186" s="6"/>
      <c r="DC1186" s="6"/>
      <c r="DD1186" s="6"/>
      <c r="DE1186" s="6"/>
      <c r="DF1186" s="6"/>
      <c r="DG1186" s="6"/>
      <c r="DH1186" s="6"/>
      <c r="DI1186" s="6"/>
      <c r="DJ1186" s="6"/>
      <c r="DK1186" s="6"/>
      <c r="DL1186" s="6"/>
      <c r="DM1186" s="6"/>
      <c r="DN1186" s="6"/>
      <c r="DO1186" s="6"/>
      <c r="DP1186" s="6"/>
      <c r="DQ1186" s="6"/>
      <c r="DR1186" s="6"/>
      <c r="DS1186" s="6"/>
      <c r="DT1186" s="6"/>
      <c r="DU1186" s="6"/>
      <c r="DV1186" s="6"/>
      <c r="DW1186" s="6"/>
      <c r="DX1186" s="6"/>
      <c r="DY1186" s="6"/>
      <c r="DZ1186" s="6"/>
      <c r="EA1186" s="6"/>
      <c r="EB1186" s="6"/>
      <c r="EC1186" s="6"/>
      <c r="ED1186" s="6"/>
      <c r="EE1186" s="6"/>
    </row>
    <row r="1187" spans="1:135" ht="15.75" customHeight="1" thickBot="1" x14ac:dyDescent="0.3">
      <c r="A1187" s="578" t="s">
        <v>3506</v>
      </c>
      <c r="B1187" s="51">
        <v>17236</v>
      </c>
      <c r="C1187" s="52" t="s">
        <v>7030</v>
      </c>
      <c r="D1187" s="10" t="s">
        <v>24</v>
      </c>
      <c r="E1187" s="28" t="s">
        <v>25</v>
      </c>
      <c r="F1187" s="20" t="s">
        <v>7031</v>
      </c>
      <c r="G1187" s="15" t="s">
        <v>889</v>
      </c>
      <c r="H1187" s="370" t="s">
        <v>6739</v>
      </c>
      <c r="I1187" s="18" t="s">
        <v>48</v>
      </c>
      <c r="J1187" s="18" t="s">
        <v>49</v>
      </c>
      <c r="K1187" s="33" t="s">
        <v>7032</v>
      </c>
      <c r="L1187" s="25" t="str">
        <f>"RUTL-"&amp;RIGHT(K1187,8)</f>
        <v>RUTL-1AB56N02</v>
      </c>
      <c r="M1187" s="34" t="s">
        <v>40</v>
      </c>
      <c r="N1187" s="23" t="s">
        <v>54</v>
      </c>
      <c r="O1187" s="23"/>
      <c r="P1187" s="35" t="s">
        <v>46</v>
      </c>
      <c r="Q1187" s="36" t="s">
        <v>7033</v>
      </c>
      <c r="R1187" s="15" t="s">
        <v>56</v>
      </c>
      <c r="S1187" s="37" t="s">
        <v>57</v>
      </c>
      <c r="T1187" s="118" t="s">
        <v>65</v>
      </c>
      <c r="U1187" s="39" t="s">
        <v>6649</v>
      </c>
      <c r="V1187" s="48">
        <v>46111</v>
      </c>
      <c r="W1187" s="23" t="s">
        <v>67</v>
      </c>
      <c r="X1187" s="71"/>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c r="BQ1187" s="5"/>
      <c r="BR1187" s="5"/>
      <c r="BS1187" s="5"/>
      <c r="BT1187" s="5"/>
      <c r="BU1187" s="5"/>
      <c r="BV1187" s="5"/>
      <c r="BW1187" s="5"/>
      <c r="BX1187" s="5"/>
      <c r="BY1187" s="5"/>
      <c r="BZ1187" s="5"/>
      <c r="CA1187" s="5"/>
      <c r="CB1187" s="5"/>
      <c r="CC1187" s="5"/>
      <c r="CD1187" s="5"/>
      <c r="CE1187" s="5"/>
      <c r="CF1187" s="5"/>
      <c r="CG1187" s="5"/>
      <c r="CH1187" s="5"/>
      <c r="CI1187" s="5"/>
      <c r="CJ1187" s="5"/>
      <c r="CK1187" s="5"/>
      <c r="CL1187" s="5"/>
      <c r="CM1187" s="5"/>
      <c r="CN1187" s="5"/>
      <c r="CO1187" s="5"/>
      <c r="CP1187" s="5"/>
      <c r="CQ1187" s="5"/>
      <c r="CR1187" s="5"/>
      <c r="CS1187" s="5"/>
      <c r="CT1187" s="5"/>
      <c r="CU1187" s="5"/>
      <c r="CV1187" s="5"/>
      <c r="CW1187" s="5"/>
      <c r="CX1187" s="5"/>
      <c r="CY1187" s="5"/>
      <c r="CZ1187" s="5"/>
      <c r="DA1187" s="5"/>
      <c r="DB1187" s="5"/>
      <c r="DC1187" s="5"/>
      <c r="DD1187" s="5"/>
      <c r="DE1187" s="5"/>
      <c r="DF1187" s="5"/>
      <c r="DG1187" s="5"/>
      <c r="DH1187" s="5"/>
      <c r="DI1187" s="5"/>
      <c r="DJ1187" s="5"/>
      <c r="DK1187" s="5"/>
      <c r="DL1187" s="5"/>
      <c r="DM1187" s="5"/>
      <c r="DN1187" s="5"/>
      <c r="DO1187" s="5"/>
      <c r="DP1187" s="5"/>
      <c r="DQ1187" s="5"/>
      <c r="DR1187" s="5"/>
      <c r="DS1187" s="5"/>
      <c r="DT1187" s="5"/>
      <c r="DU1187" s="5"/>
      <c r="DV1187" s="5"/>
      <c r="DW1187" s="5"/>
      <c r="DX1187" s="5"/>
      <c r="DY1187" s="5"/>
      <c r="DZ1187" s="5"/>
      <c r="EA1187" s="5"/>
      <c r="EB1187" s="5"/>
      <c r="EC1187" s="5"/>
      <c r="ED1187" s="5"/>
      <c r="EE1187" s="5"/>
    </row>
    <row r="1188" spans="1:135" ht="27.75" customHeight="1" thickBot="1" x14ac:dyDescent="0.3">
      <c r="A1188" s="578" t="s">
        <v>3506</v>
      </c>
      <c r="B1188" s="51">
        <v>17362</v>
      </c>
      <c r="C1188" s="52" t="s">
        <v>7058</v>
      </c>
      <c r="D1188" s="10" t="s">
        <v>24</v>
      </c>
      <c r="E1188" s="28" t="s">
        <v>25</v>
      </c>
      <c r="F1188" s="20" t="s">
        <v>7059</v>
      </c>
      <c r="G1188" s="15" t="s">
        <v>889</v>
      </c>
      <c r="H1188" s="370" t="s">
        <v>6739</v>
      </c>
      <c r="I1188" s="18" t="s">
        <v>48</v>
      </c>
      <c r="J1188" s="18" t="s">
        <v>49</v>
      </c>
      <c r="K1188" s="33" t="s">
        <v>7060</v>
      </c>
      <c r="L1188" s="25" t="str">
        <f>"RUTL-"&amp;RIGHT(K1188,8)</f>
        <v>RUTL-1AA36N02</v>
      </c>
      <c r="M1188" s="34" t="s">
        <v>40</v>
      </c>
      <c r="N1188" s="23" t="s">
        <v>43</v>
      </c>
      <c r="O1188" s="23"/>
      <c r="P1188" s="35" t="s">
        <v>46</v>
      </c>
      <c r="Q1188" s="36" t="s">
        <v>7061</v>
      </c>
      <c r="R1188" s="15" t="s">
        <v>56</v>
      </c>
      <c r="S1188" s="546" t="s">
        <v>57</v>
      </c>
      <c r="T1188" s="107" t="s">
        <v>148</v>
      </c>
      <c r="U1188" s="39" t="s">
        <v>2118</v>
      </c>
      <c r="V1188" s="82">
        <v>46111</v>
      </c>
      <c r="W1188" s="23" t="s">
        <v>67</v>
      </c>
      <c r="X1188" s="6"/>
      <c r="Y1188" s="6"/>
      <c r="Z1188" s="6"/>
      <c r="AA1188" s="6"/>
      <c r="AB1188" s="6"/>
      <c r="AC1188" s="6"/>
      <c r="AD1188" s="6"/>
      <c r="AE1188" s="6"/>
      <c r="AF1188" s="6"/>
      <c r="AG1188" s="6"/>
      <c r="AH1188" s="6"/>
      <c r="AI1188" s="6"/>
      <c r="AJ1188" s="6"/>
      <c r="AK1188" s="6"/>
      <c r="AL1188" s="6"/>
      <c r="AM1188" s="6"/>
      <c r="AN1188" s="6"/>
      <c r="AO1188" s="6"/>
      <c r="AP1188" s="6"/>
      <c r="AQ1188" s="6"/>
      <c r="AR1188" s="6"/>
      <c r="AS1188" s="6"/>
      <c r="AT1188" s="6"/>
      <c r="AU1188" s="6"/>
      <c r="AV1188" s="6"/>
      <c r="AW1188" s="6"/>
      <c r="AX1188" s="6"/>
      <c r="AY1188" s="6"/>
      <c r="AZ1188" s="6"/>
      <c r="BA1188" s="6"/>
      <c r="BB1188" s="6"/>
      <c r="BC1188" s="6"/>
      <c r="BD1188" s="6"/>
      <c r="BE1188" s="6"/>
      <c r="BF1188" s="6"/>
      <c r="BG1188" s="6"/>
      <c r="BH1188" s="6"/>
      <c r="BI1188" s="6"/>
      <c r="BJ1188" s="6"/>
      <c r="BK1188" s="6"/>
      <c r="BL1188" s="6"/>
      <c r="BM1188" s="6"/>
      <c r="BN1188" s="6"/>
      <c r="BO1188" s="6"/>
      <c r="BP1188" s="6"/>
      <c r="BQ1188" s="6"/>
      <c r="BR1188" s="6"/>
      <c r="BS1188" s="6"/>
      <c r="BT1188" s="6"/>
      <c r="BU1188" s="6"/>
      <c r="BV1188" s="6"/>
      <c r="BW1188" s="6"/>
      <c r="BX1188" s="6"/>
      <c r="BY1188" s="6"/>
      <c r="BZ1188" s="6"/>
      <c r="CA1188" s="6"/>
      <c r="CB1188" s="6"/>
      <c r="CC1188" s="6"/>
      <c r="CD1188" s="6"/>
      <c r="CE1188" s="6"/>
      <c r="CF1188" s="6"/>
      <c r="CG1188" s="6"/>
      <c r="CH1188" s="6"/>
      <c r="CI1188" s="6"/>
      <c r="CJ1188" s="6"/>
      <c r="CK1188" s="6"/>
      <c r="CL1188" s="6"/>
      <c r="CM1188" s="6"/>
      <c r="CN1188" s="6"/>
      <c r="CO1188" s="6"/>
      <c r="CP1188" s="6"/>
      <c r="CQ1188" s="6"/>
      <c r="CR1188" s="6"/>
      <c r="CS1188" s="6"/>
      <c r="CT1188" s="6"/>
      <c r="CU1188" s="6"/>
      <c r="CV1188" s="6"/>
      <c r="CW1188" s="6"/>
      <c r="CX1188" s="6"/>
      <c r="CY1188" s="6"/>
      <c r="CZ1188" s="6"/>
      <c r="DA1188" s="6"/>
      <c r="DB1188" s="6"/>
      <c r="DC1188" s="6"/>
      <c r="DD1188" s="6"/>
      <c r="DE1188" s="6"/>
      <c r="DF1188" s="6"/>
      <c r="DG1188" s="6"/>
      <c r="DH1188" s="6"/>
      <c r="DI1188" s="6"/>
      <c r="DJ1188" s="6"/>
      <c r="DK1188" s="6"/>
      <c r="DL1188" s="6"/>
      <c r="DM1188" s="6"/>
      <c r="DN1188" s="6"/>
      <c r="DO1188" s="6"/>
      <c r="DP1188" s="6"/>
      <c r="DQ1188" s="6"/>
      <c r="DR1188" s="6"/>
      <c r="DS1188" s="6"/>
      <c r="DT1188" s="6"/>
      <c r="DU1188" s="6"/>
      <c r="DV1188" s="6"/>
      <c r="DW1188" s="6"/>
      <c r="DX1188" s="6"/>
      <c r="DY1188" s="6"/>
      <c r="DZ1188" s="6"/>
      <c r="EA1188" s="6"/>
      <c r="EB1188" s="6"/>
      <c r="EC1188" s="6"/>
      <c r="ED1188" s="6"/>
      <c r="EE1188" s="6"/>
    </row>
    <row r="1189" spans="1:135" ht="27.75" customHeight="1" x14ac:dyDescent="0.25">
      <c r="A1189" s="578" t="s">
        <v>3506</v>
      </c>
      <c r="B1189" s="51">
        <v>17383</v>
      </c>
      <c r="C1189" s="50" t="s">
        <v>7068</v>
      </c>
      <c r="D1189" s="10" t="s">
        <v>24</v>
      </c>
      <c r="E1189" s="28" t="s">
        <v>25</v>
      </c>
      <c r="F1189" s="20" t="s">
        <v>7069</v>
      </c>
      <c r="G1189" s="15" t="s">
        <v>889</v>
      </c>
      <c r="H1189" s="370" t="s">
        <v>6739</v>
      </c>
      <c r="I1189" s="54" t="s">
        <v>48</v>
      </c>
      <c r="J1189" s="18" t="s">
        <v>49</v>
      </c>
      <c r="K1189" s="33" t="s">
        <v>7070</v>
      </c>
      <c r="L1189" s="25" t="str">
        <f>"RUTL-"&amp;RIGHT(K1189,8)</f>
        <v>RUTL-1A546N02</v>
      </c>
      <c r="M1189" s="34" t="s">
        <v>40</v>
      </c>
      <c r="N1189" s="23" t="s">
        <v>43</v>
      </c>
      <c r="O1189" s="23"/>
      <c r="P1189" s="35" t="s">
        <v>46</v>
      </c>
      <c r="Q1189" s="36" t="s">
        <v>7071</v>
      </c>
      <c r="R1189" s="15" t="s">
        <v>56</v>
      </c>
      <c r="S1189" s="40" t="s">
        <v>57</v>
      </c>
      <c r="T1189" s="107" t="s">
        <v>148</v>
      </c>
      <c r="U1189" s="39" t="s">
        <v>2118</v>
      </c>
      <c r="V1189" s="48">
        <v>46111</v>
      </c>
      <c r="W1189" s="23" t="s">
        <v>67</v>
      </c>
      <c r="X1189" s="30"/>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c r="AW1189" s="5"/>
      <c r="AX1189" s="5"/>
      <c r="AY1189" s="5"/>
      <c r="AZ1189" s="5"/>
      <c r="BA1189" s="5"/>
      <c r="BB1189" s="5"/>
      <c r="BC1189" s="5"/>
      <c r="BD1189" s="5"/>
      <c r="BE1189" s="5"/>
      <c r="BF1189" s="5"/>
      <c r="BG1189" s="5"/>
      <c r="BH1189" s="5"/>
      <c r="BI1189" s="5"/>
      <c r="BJ1189" s="5"/>
      <c r="BK1189" s="5"/>
      <c r="BL1189" s="5"/>
      <c r="BM1189" s="5"/>
      <c r="BN1189" s="5"/>
      <c r="BO1189" s="5"/>
      <c r="BP1189" s="5"/>
      <c r="BQ1189" s="5"/>
      <c r="BR1189" s="5"/>
      <c r="BS1189" s="5"/>
      <c r="BT1189" s="5"/>
      <c r="BU1189" s="5"/>
      <c r="BV1189" s="5"/>
      <c r="BW1189" s="5"/>
      <c r="BX1189" s="5"/>
      <c r="BY1189" s="5"/>
      <c r="BZ1189" s="5"/>
      <c r="CA1189" s="5"/>
      <c r="CB1189" s="5"/>
      <c r="CC1189" s="5"/>
      <c r="CD1189" s="5"/>
      <c r="CE1189" s="5"/>
      <c r="CF1189" s="5"/>
      <c r="CG1189" s="5"/>
      <c r="CH1189" s="5"/>
      <c r="CI1189" s="5"/>
      <c r="CJ1189" s="5"/>
      <c r="CK1189" s="5"/>
      <c r="CL1189" s="5"/>
      <c r="CM1189" s="5"/>
      <c r="CN1189" s="5"/>
      <c r="CO1189" s="5"/>
      <c r="CP1189" s="5"/>
      <c r="CQ1189" s="5"/>
      <c r="CR1189" s="5"/>
      <c r="CS1189" s="5"/>
      <c r="CT1189" s="5"/>
      <c r="CU1189" s="5"/>
      <c r="CV1189" s="5"/>
      <c r="CW1189" s="5"/>
      <c r="CX1189" s="5"/>
      <c r="CY1189" s="5"/>
      <c r="CZ1189" s="5"/>
      <c r="DA1189" s="5"/>
      <c r="DB1189" s="5"/>
      <c r="DC1189" s="5"/>
      <c r="DD1189" s="5"/>
      <c r="DE1189" s="5"/>
      <c r="DF1189" s="5"/>
      <c r="DG1189" s="5"/>
      <c r="DH1189" s="5"/>
      <c r="DI1189" s="5"/>
      <c r="DJ1189" s="5"/>
      <c r="DK1189" s="5"/>
      <c r="DL1189" s="5"/>
      <c r="DM1189" s="5"/>
      <c r="DN1189" s="5"/>
      <c r="DO1189" s="5"/>
      <c r="DP1189" s="5"/>
      <c r="DQ1189" s="5"/>
      <c r="DR1189" s="5"/>
      <c r="DS1189" s="5"/>
      <c r="DT1189" s="5"/>
      <c r="DU1189" s="5"/>
      <c r="DV1189" s="5"/>
      <c r="DW1189" s="5"/>
      <c r="DX1189" s="5"/>
      <c r="DY1189" s="5"/>
      <c r="DZ1189" s="5"/>
      <c r="EA1189" s="5"/>
      <c r="EB1189" s="5"/>
      <c r="EC1189" s="5"/>
      <c r="ED1189" s="5"/>
      <c r="EE1189" s="5"/>
    </row>
    <row r="1190" spans="1:135" ht="37.5" x14ac:dyDescent="0.25">
      <c r="A1190" s="578" t="s">
        <v>7652</v>
      </c>
      <c r="B1190" s="446">
        <v>13596</v>
      </c>
      <c r="C1190" s="72" t="s">
        <v>5709</v>
      </c>
      <c r="D1190" s="10" t="s">
        <v>5710</v>
      </c>
      <c r="E1190" s="11" t="s">
        <v>25</v>
      </c>
      <c r="F1190" s="20" t="s">
        <v>5711</v>
      </c>
      <c r="G1190" s="461" t="s">
        <v>1351</v>
      </c>
      <c r="H1190" s="388" t="s">
        <v>225</v>
      </c>
      <c r="I1190" s="54" t="s">
        <v>135</v>
      </c>
      <c r="J1190" s="18" t="s">
        <v>1618</v>
      </c>
      <c r="K1190" s="493" t="s">
        <v>5712</v>
      </c>
      <c r="L1190" s="25" t="str">
        <f>"RUTL-"&amp;RIGHT(K1190,8)</f>
        <v>RUTL-PB003GAK</v>
      </c>
      <c r="M1190" s="511" t="s">
        <v>40</v>
      </c>
      <c r="N1190" s="515" t="s">
        <v>43</v>
      </c>
      <c r="O1190" s="493"/>
      <c r="P1190" s="493"/>
      <c r="Q1190" s="527"/>
      <c r="R1190" s="461" t="s">
        <v>56</v>
      </c>
      <c r="S1190" s="545" t="s">
        <v>57</v>
      </c>
      <c r="T1190" s="557" t="s">
        <v>453</v>
      </c>
      <c r="U1190" s="515" t="s">
        <v>5713</v>
      </c>
      <c r="V1190" s="493"/>
      <c r="W1190" s="493"/>
    </row>
    <row r="1191" spans="1:135" ht="27.75" customHeight="1" x14ac:dyDescent="0.25">
      <c r="A1191" s="578" t="s">
        <v>7652</v>
      </c>
      <c r="B1191" s="23"/>
      <c r="C1191" s="99" t="s">
        <v>435</v>
      </c>
      <c r="D1191" s="15" t="s">
        <v>24</v>
      </c>
      <c r="E1191" s="23"/>
      <c r="F1191" s="23"/>
      <c r="G1191" s="23"/>
      <c r="H1191" s="576" t="s">
        <v>436</v>
      </c>
      <c r="I1191" s="54" t="s">
        <v>350</v>
      </c>
      <c r="J1191" s="18" t="s">
        <v>439</v>
      </c>
      <c r="K1191" s="23" t="s">
        <v>462</v>
      </c>
      <c r="L1191" s="21" t="str">
        <f>"RUTL-"&amp;RIGHT(K1191,8)</f>
        <v>RUTL-YL002WQK</v>
      </c>
      <c r="M1191" s="23"/>
      <c r="N1191" s="23"/>
      <c r="O1191" s="23"/>
      <c r="P1191" s="23"/>
      <c r="Q1191" s="23" t="s">
        <v>464</v>
      </c>
      <c r="R1191" s="23" t="s">
        <v>235</v>
      </c>
      <c r="S1191" s="23"/>
      <c r="T1191" s="107" t="s">
        <v>148</v>
      </c>
      <c r="U1191" s="47" t="s">
        <v>466</v>
      </c>
      <c r="V1191" s="23"/>
      <c r="W1191" s="23"/>
      <c r="X1191" s="30"/>
      <c r="Y1191" s="5"/>
      <c r="Z1191" s="5"/>
      <c r="AA1191" s="5"/>
      <c r="AB1191" s="5"/>
      <c r="AC1191" s="5"/>
      <c r="AD1191" s="5"/>
      <c r="AE1191" s="5"/>
      <c r="AF1191" s="5"/>
      <c r="AG1191" s="5"/>
      <c r="AH1191" s="5"/>
      <c r="AI1191" s="5"/>
      <c r="AJ1191" s="5"/>
      <c r="AK1191" s="5"/>
      <c r="AL1191" s="5"/>
      <c r="AM1191" s="5"/>
      <c r="AN1191" s="5"/>
      <c r="AO1191" s="5"/>
      <c r="AP1191" s="5"/>
      <c r="AQ1191" s="5"/>
      <c r="AR1191" s="5"/>
      <c r="AS1191" s="5"/>
      <c r="AT1191" s="5"/>
      <c r="AU1191" s="5"/>
      <c r="AV1191" s="5"/>
      <c r="AW1191" s="5"/>
      <c r="AX1191" s="5"/>
      <c r="AY1191" s="5"/>
      <c r="AZ1191" s="5"/>
      <c r="BA1191" s="5"/>
      <c r="BB1191" s="5"/>
      <c r="BC1191" s="5"/>
      <c r="BD1191" s="5"/>
      <c r="BE1191" s="5"/>
      <c r="BF1191" s="5"/>
      <c r="BG1191" s="5"/>
      <c r="BH1191" s="5"/>
      <c r="BI1191" s="5"/>
      <c r="BJ1191" s="5"/>
      <c r="BK1191" s="5"/>
      <c r="BL1191" s="5"/>
      <c r="BM1191" s="5"/>
      <c r="BN1191" s="5"/>
      <c r="BO1191" s="5"/>
      <c r="BP1191" s="5"/>
      <c r="BQ1191" s="5"/>
      <c r="BR1191" s="5"/>
      <c r="BS1191" s="5"/>
      <c r="BT1191" s="5"/>
      <c r="BU1191" s="5"/>
      <c r="BV1191" s="5"/>
      <c r="BW1191" s="5"/>
      <c r="BX1191" s="5"/>
      <c r="BY1191" s="5"/>
      <c r="BZ1191" s="5"/>
      <c r="CA1191" s="5"/>
      <c r="CB1191" s="5"/>
      <c r="CC1191" s="5"/>
      <c r="CD1191" s="5"/>
      <c r="CE1191" s="5"/>
      <c r="CF1191" s="5"/>
      <c r="CG1191" s="5"/>
      <c r="CH1191" s="5"/>
      <c r="CI1191" s="5"/>
      <c r="CJ1191" s="5"/>
      <c r="CK1191" s="5"/>
      <c r="CL1191" s="5"/>
      <c r="CM1191" s="5"/>
      <c r="CN1191" s="5"/>
      <c r="CO1191" s="5"/>
      <c r="CP1191" s="5"/>
      <c r="CQ1191" s="5"/>
      <c r="CR1191" s="5"/>
      <c r="CS1191" s="5"/>
      <c r="CT1191" s="5"/>
      <c r="CU1191" s="5"/>
      <c r="CV1191" s="5"/>
      <c r="CW1191" s="5"/>
      <c r="CX1191" s="5"/>
      <c r="CY1191" s="5"/>
      <c r="CZ1191" s="5"/>
      <c r="DA1191" s="5"/>
      <c r="DB1191" s="5"/>
      <c r="DC1191" s="5"/>
      <c r="DD1191" s="5"/>
      <c r="DE1191" s="5"/>
      <c r="DF1191" s="5"/>
      <c r="DG1191" s="5"/>
      <c r="DH1191" s="5"/>
      <c r="DI1191" s="5"/>
      <c r="DJ1191" s="5"/>
      <c r="DK1191" s="5"/>
      <c r="DL1191" s="5"/>
      <c r="DM1191" s="5"/>
      <c r="DN1191" s="5"/>
      <c r="DO1191" s="5"/>
      <c r="DP1191" s="5"/>
      <c r="DQ1191" s="5"/>
      <c r="DR1191" s="5"/>
      <c r="DS1191" s="5"/>
      <c r="DT1191" s="5"/>
      <c r="DU1191" s="5"/>
      <c r="DV1191" s="5"/>
      <c r="DW1191" s="5"/>
      <c r="DX1191" s="5"/>
      <c r="DY1191" s="5"/>
      <c r="DZ1191" s="5"/>
      <c r="EA1191" s="5"/>
      <c r="EB1191" s="5"/>
      <c r="EC1191" s="5"/>
      <c r="ED1191" s="5"/>
      <c r="EE1191" s="5"/>
    </row>
    <row r="1192" spans="1:135" ht="27.75" customHeight="1" x14ac:dyDescent="0.25">
      <c r="A1192" s="578" t="s">
        <v>7652</v>
      </c>
      <c r="B1192" s="23"/>
      <c r="C1192" s="99" t="s">
        <v>489</v>
      </c>
      <c r="D1192" s="155" t="s">
        <v>493</v>
      </c>
      <c r="E1192" s="11" t="s">
        <v>25</v>
      </c>
      <c r="F1192" s="23"/>
      <c r="G1192" s="23"/>
      <c r="H1192" s="576" t="s">
        <v>436</v>
      </c>
      <c r="I1192" s="54" t="s">
        <v>135</v>
      </c>
      <c r="J1192" s="18" t="s">
        <v>498</v>
      </c>
      <c r="K1192" s="23" t="s">
        <v>500</v>
      </c>
      <c r="L1192" s="21" t="str">
        <f>"RUTL-"&amp;RIGHT(K1192,8)</f>
        <v>RUTL-PF0095LY</v>
      </c>
      <c r="M1192" s="23"/>
      <c r="N1192" s="23"/>
      <c r="O1192" s="23"/>
      <c r="P1192" s="23"/>
      <c r="Q1192" s="23"/>
      <c r="R1192" s="23"/>
      <c r="S1192" s="23"/>
      <c r="T1192" s="23" t="s">
        <v>96</v>
      </c>
      <c r="U1192" s="47" t="s">
        <v>501</v>
      </c>
      <c r="V1192" s="23">
        <v>2013</v>
      </c>
      <c r="W1192" s="23"/>
      <c r="X1192" s="30"/>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3"/>
      <c r="AX1192" s="13"/>
      <c r="AY1192" s="13"/>
      <c r="AZ1192" s="13"/>
      <c r="BA1192" s="13"/>
      <c r="BB1192" s="13"/>
      <c r="BC1192" s="13"/>
      <c r="BD1192" s="13"/>
      <c r="BE1192" s="13"/>
      <c r="BF1192" s="13"/>
      <c r="BG1192" s="13"/>
      <c r="BH1192" s="13"/>
      <c r="BI1192" s="13"/>
      <c r="BJ1192" s="13"/>
      <c r="BK1192" s="13"/>
      <c r="BL1192" s="13"/>
      <c r="BM1192" s="13"/>
      <c r="BN1192" s="13"/>
      <c r="BO1192" s="13"/>
      <c r="BP1192" s="13"/>
      <c r="BQ1192" s="13"/>
      <c r="BR1192" s="13"/>
      <c r="BS1192" s="13"/>
      <c r="BT1192" s="13"/>
      <c r="BU1192" s="13"/>
      <c r="BV1192" s="13"/>
      <c r="BW1192" s="13"/>
      <c r="BX1192" s="13"/>
      <c r="BY1192" s="13"/>
      <c r="BZ1192" s="13"/>
      <c r="CA1192" s="13"/>
      <c r="CB1192" s="13"/>
      <c r="CC1192" s="13"/>
      <c r="CD1192" s="13"/>
      <c r="CE1192" s="13"/>
      <c r="CF1192" s="13"/>
      <c r="CG1192" s="13"/>
      <c r="CH1192" s="13"/>
      <c r="CI1192" s="13"/>
      <c r="CJ1192" s="13"/>
      <c r="CK1192" s="13"/>
      <c r="CL1192" s="13"/>
      <c r="CM1192" s="13"/>
      <c r="CN1192" s="13"/>
      <c r="CO1192" s="13"/>
      <c r="CP1192" s="13"/>
      <c r="CQ1192" s="13"/>
      <c r="CR1192" s="13"/>
      <c r="CS1192" s="13"/>
      <c r="CT1192" s="13"/>
      <c r="CU1192" s="13"/>
      <c r="CV1192" s="13"/>
      <c r="CW1192" s="13"/>
      <c r="CX1192" s="13"/>
      <c r="CY1192" s="13"/>
      <c r="CZ1192" s="13"/>
      <c r="DA1192" s="13"/>
      <c r="DB1192" s="13"/>
      <c r="DC1192" s="13"/>
      <c r="DD1192" s="13"/>
      <c r="DE1192" s="13"/>
      <c r="DF1192" s="13"/>
      <c r="DG1192" s="13"/>
      <c r="DH1192" s="13"/>
      <c r="DI1192" s="13"/>
      <c r="DJ1192" s="13"/>
      <c r="DK1192" s="13"/>
      <c r="DL1192" s="13"/>
      <c r="DM1192" s="13"/>
      <c r="DN1192" s="13"/>
      <c r="DO1192" s="13"/>
      <c r="DP1192" s="13"/>
      <c r="DQ1192" s="13"/>
      <c r="DR1192" s="13"/>
      <c r="DS1192" s="13"/>
      <c r="DT1192" s="13"/>
      <c r="DU1192" s="13"/>
      <c r="DV1192" s="13"/>
      <c r="DW1192" s="13"/>
      <c r="DX1192" s="13"/>
      <c r="DY1192" s="13"/>
      <c r="DZ1192" s="13"/>
      <c r="EA1192" s="13"/>
      <c r="EB1192" s="13"/>
      <c r="EC1192" s="13"/>
      <c r="ED1192" s="13"/>
      <c r="EE1192" s="13"/>
    </row>
    <row r="1193" spans="1:135" ht="48" thickBot="1" x14ac:dyDescent="0.3">
      <c r="A1193" s="578" t="s">
        <v>7652</v>
      </c>
      <c r="B1193" s="23"/>
      <c r="C1193" s="99" t="s">
        <v>655</v>
      </c>
      <c r="D1193" s="174" t="s">
        <v>583</v>
      </c>
      <c r="E1193" s="23"/>
      <c r="F1193" s="23"/>
      <c r="G1193" s="15" t="s">
        <v>588</v>
      </c>
      <c r="H1193" s="367" t="s">
        <v>591</v>
      </c>
      <c r="I1193" s="18" t="s">
        <v>350</v>
      </c>
      <c r="J1193" s="18" t="s">
        <v>658</v>
      </c>
      <c r="K1193" s="23" t="s">
        <v>662</v>
      </c>
      <c r="L1193" s="21" t="str">
        <f>"RUTL-"&amp;RIGHT(K1193,8)</f>
        <v>RUTL-YL002US3</v>
      </c>
      <c r="M1193" s="23"/>
      <c r="N1193" s="23"/>
      <c r="O1193" s="23"/>
      <c r="P1193" s="23"/>
      <c r="Q1193" s="23"/>
      <c r="R1193" s="15" t="s">
        <v>56</v>
      </c>
      <c r="S1193" s="37" t="s">
        <v>57</v>
      </c>
      <c r="T1193" s="23" t="s">
        <v>96</v>
      </c>
      <c r="U1193" s="47" t="s">
        <v>666</v>
      </c>
      <c r="V1193" s="23"/>
      <c r="W1193" s="23"/>
      <c r="X1193" s="238"/>
      <c r="Y1193" s="238"/>
      <c r="Z1193" s="238"/>
      <c r="AA1193" s="238"/>
      <c r="AB1193" s="238"/>
      <c r="AC1193" s="238"/>
      <c r="AD1193" s="238"/>
      <c r="AE1193" s="238"/>
      <c r="AF1193" s="238"/>
      <c r="AG1193" s="238"/>
      <c r="AH1193" s="238"/>
      <c r="AI1193" s="238"/>
      <c r="AJ1193" s="238"/>
      <c r="AK1193" s="238"/>
      <c r="AL1193" s="238"/>
      <c r="AM1193" s="238"/>
      <c r="AN1193" s="238"/>
      <c r="AO1193" s="238"/>
      <c r="AP1193" s="238"/>
      <c r="AQ1193" s="238"/>
    </row>
    <row r="1194" spans="1:135" ht="27.75" customHeight="1" thickBot="1" x14ac:dyDescent="0.3">
      <c r="A1194" s="578" t="s">
        <v>7652</v>
      </c>
      <c r="B1194" s="177" t="s">
        <v>692</v>
      </c>
      <c r="C1194" s="231" t="s">
        <v>693</v>
      </c>
      <c r="D1194" s="140" t="s">
        <v>24</v>
      </c>
      <c r="E1194" s="122" t="s">
        <v>25</v>
      </c>
      <c r="F1194" s="20" t="s">
        <v>694</v>
      </c>
      <c r="G1194" s="15" t="s">
        <v>695</v>
      </c>
      <c r="H1194" s="367" t="s">
        <v>652</v>
      </c>
      <c r="I1194" s="54" t="s">
        <v>350</v>
      </c>
      <c r="J1194" s="18" t="s">
        <v>658</v>
      </c>
      <c r="K1194" s="23" t="s">
        <v>704</v>
      </c>
      <c r="L1194" s="127" t="str">
        <f>"RUTL-"&amp;RIGHT(K1194,8)</f>
        <v>RUTL-YL002US0</v>
      </c>
      <c r="M1194" s="129" t="s">
        <v>40</v>
      </c>
      <c r="N1194" s="14" t="s">
        <v>43</v>
      </c>
      <c r="O1194" s="14"/>
      <c r="P1194" s="39" t="s">
        <v>90</v>
      </c>
      <c r="Q1194" s="14"/>
      <c r="R1194" s="121" t="s">
        <v>56</v>
      </c>
      <c r="S1194" s="151" t="s">
        <v>57</v>
      </c>
      <c r="T1194" s="153" t="s">
        <v>453</v>
      </c>
      <c r="U1194" s="138" t="s">
        <v>708</v>
      </c>
      <c r="V1194" s="14"/>
      <c r="W1194" s="14"/>
      <c r="X1194" s="71"/>
      <c r="Y1194" s="6"/>
      <c r="Z1194" s="6"/>
      <c r="AA1194" s="6"/>
      <c r="AB1194" s="6"/>
      <c r="AC1194" s="6"/>
      <c r="AD1194" s="6"/>
      <c r="AE1194" s="6"/>
      <c r="AF1194" s="6"/>
      <c r="AG1194" s="6"/>
      <c r="AH1194" s="6"/>
      <c r="AI1194" s="6"/>
      <c r="AJ1194" s="6"/>
      <c r="AK1194" s="6"/>
      <c r="AL1194" s="6"/>
      <c r="AM1194" s="6"/>
      <c r="AN1194" s="6"/>
      <c r="AO1194" s="6"/>
      <c r="AP1194" s="6"/>
      <c r="AQ1194" s="6"/>
      <c r="AR1194" s="6"/>
      <c r="AS1194" s="6"/>
      <c r="AT1194" s="6"/>
      <c r="AU1194" s="6"/>
      <c r="AV1194" s="6"/>
      <c r="AW1194" s="6"/>
      <c r="AX1194" s="6"/>
      <c r="AY1194" s="6"/>
      <c r="AZ1194" s="6"/>
      <c r="BA1194" s="6"/>
      <c r="BB1194" s="6"/>
      <c r="BC1194" s="6"/>
      <c r="BD1194" s="6"/>
      <c r="BE1194" s="6"/>
      <c r="BF1194" s="6"/>
      <c r="BG1194" s="6"/>
      <c r="BH1194" s="6"/>
      <c r="BI1194" s="6"/>
      <c r="BJ1194" s="6"/>
      <c r="BK1194" s="6"/>
      <c r="BL1194" s="6"/>
      <c r="BM1194" s="6"/>
      <c r="BN1194" s="6"/>
      <c r="BO1194" s="6"/>
      <c r="BP1194" s="6"/>
      <c r="BQ1194" s="6"/>
      <c r="BR1194" s="6"/>
      <c r="BS1194" s="6"/>
      <c r="BT1194" s="6"/>
      <c r="BU1194" s="6"/>
      <c r="BV1194" s="6"/>
      <c r="BW1194" s="6"/>
      <c r="BX1194" s="6"/>
      <c r="BY1194" s="6"/>
      <c r="BZ1194" s="6"/>
      <c r="CA1194" s="6"/>
      <c r="CB1194" s="6"/>
      <c r="CC1194" s="6"/>
      <c r="CD1194" s="6"/>
      <c r="CE1194" s="6"/>
      <c r="CF1194" s="6"/>
      <c r="CG1194" s="6"/>
      <c r="CH1194" s="6"/>
      <c r="CI1194" s="6"/>
      <c r="CJ1194" s="6"/>
      <c r="CK1194" s="6"/>
      <c r="CL1194" s="6"/>
      <c r="CM1194" s="6"/>
      <c r="CN1194" s="6"/>
      <c r="CO1194" s="6"/>
      <c r="CP1194" s="6"/>
      <c r="CQ1194" s="6"/>
      <c r="CR1194" s="6"/>
      <c r="CS1194" s="6"/>
      <c r="CT1194" s="6"/>
      <c r="CU1194" s="6"/>
      <c r="CV1194" s="6"/>
      <c r="CW1194" s="6"/>
      <c r="CX1194" s="6"/>
      <c r="CY1194" s="6"/>
      <c r="CZ1194" s="6"/>
      <c r="DA1194" s="6"/>
      <c r="DB1194" s="6"/>
      <c r="DC1194" s="6"/>
      <c r="DD1194" s="6"/>
      <c r="DE1194" s="6"/>
      <c r="DF1194" s="6"/>
      <c r="DG1194" s="6"/>
      <c r="DH1194" s="6"/>
      <c r="DI1194" s="6"/>
      <c r="DJ1194" s="6"/>
      <c r="DK1194" s="6"/>
      <c r="DL1194" s="6"/>
      <c r="DM1194" s="6"/>
      <c r="DN1194" s="6"/>
      <c r="DO1194" s="6"/>
      <c r="DP1194" s="6"/>
      <c r="DQ1194" s="6"/>
      <c r="DR1194" s="6"/>
      <c r="DS1194" s="6"/>
      <c r="DT1194" s="6"/>
      <c r="DU1194" s="6"/>
      <c r="DV1194" s="6"/>
      <c r="DW1194" s="6"/>
      <c r="DX1194" s="6"/>
      <c r="DY1194" s="6"/>
      <c r="DZ1194" s="6"/>
      <c r="EA1194" s="6"/>
      <c r="EB1194" s="6"/>
      <c r="EC1194" s="6"/>
      <c r="ED1194" s="6"/>
      <c r="EE1194" s="6"/>
    </row>
    <row r="1195" spans="1:135" ht="32.25" thickBot="1" x14ac:dyDescent="0.3">
      <c r="A1195" s="578" t="s">
        <v>7652</v>
      </c>
      <c r="B1195" s="23"/>
      <c r="C1195" s="99" t="s">
        <v>890</v>
      </c>
      <c r="D1195" s="15" t="s">
        <v>24</v>
      </c>
      <c r="E1195" s="23"/>
      <c r="F1195" s="23"/>
      <c r="G1195" s="23"/>
      <c r="H1195" s="475" t="s">
        <v>893</v>
      </c>
      <c r="I1195" s="18" t="s">
        <v>350</v>
      </c>
      <c r="J1195" s="18" t="s">
        <v>439</v>
      </c>
      <c r="K1195" s="23" t="s">
        <v>896</v>
      </c>
      <c r="L1195" s="21" t="str">
        <f>"RUTL-"&amp;RIGHT(K1195,8)</f>
        <v>RUTL-YL002URE</v>
      </c>
      <c r="M1195" s="23"/>
      <c r="N1195" s="23"/>
      <c r="O1195" s="23"/>
      <c r="P1195" s="23"/>
      <c r="Q1195" s="23"/>
      <c r="R1195" s="23"/>
      <c r="S1195" s="23"/>
      <c r="T1195" s="23"/>
      <c r="U1195" s="23"/>
      <c r="V1195" s="23"/>
      <c r="W1195" s="23"/>
      <c r="X1195" s="71"/>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c r="CP1195" s="5"/>
      <c r="CQ1195" s="5"/>
      <c r="CR1195" s="5"/>
      <c r="CS1195" s="5"/>
      <c r="CT1195" s="5"/>
      <c r="CU1195" s="5"/>
      <c r="CV1195" s="5"/>
      <c r="CW1195" s="5"/>
      <c r="CX1195" s="5"/>
      <c r="CY1195" s="5"/>
      <c r="CZ1195" s="5"/>
      <c r="DA1195" s="5"/>
      <c r="DB1195" s="5"/>
      <c r="DC1195" s="5"/>
      <c r="DD1195" s="5"/>
      <c r="DE1195" s="5"/>
      <c r="DF1195" s="5"/>
      <c r="DG1195" s="5"/>
      <c r="DH1195" s="5"/>
      <c r="DI1195" s="5"/>
      <c r="DJ1195" s="5"/>
      <c r="DK1195" s="5"/>
      <c r="DL1195" s="5"/>
      <c r="DM1195" s="5"/>
      <c r="DN1195" s="5"/>
      <c r="DO1195" s="5"/>
      <c r="DP1195" s="5"/>
      <c r="DQ1195" s="5"/>
      <c r="DR1195" s="5"/>
      <c r="DS1195" s="5"/>
      <c r="DT1195" s="5"/>
      <c r="DU1195" s="5"/>
      <c r="DV1195" s="5"/>
      <c r="DW1195" s="5"/>
      <c r="DX1195" s="5"/>
      <c r="DY1195" s="5"/>
      <c r="DZ1195" s="5"/>
      <c r="EA1195" s="5"/>
      <c r="EB1195" s="5"/>
      <c r="EC1195" s="5"/>
      <c r="ED1195" s="5"/>
      <c r="EE1195" s="5"/>
    </row>
    <row r="1196" spans="1:135" ht="15.75" customHeight="1" thickBot="1" x14ac:dyDescent="0.3">
      <c r="A1196" s="578" t="s">
        <v>7652</v>
      </c>
      <c r="B1196" s="23"/>
      <c r="C1196" s="99" t="s">
        <v>906</v>
      </c>
      <c r="D1196" s="15" t="s">
        <v>24</v>
      </c>
      <c r="E1196" s="23"/>
      <c r="F1196" s="23"/>
      <c r="G1196" s="241"/>
      <c r="H1196" s="475" t="s">
        <v>893</v>
      </c>
      <c r="I1196" s="18" t="s">
        <v>350</v>
      </c>
      <c r="J1196" s="18" t="s">
        <v>439</v>
      </c>
      <c r="K1196" s="23" t="s">
        <v>908</v>
      </c>
      <c r="L1196" s="21" t="str">
        <f>"RUTL-"&amp;RIGHT(K1196,8)</f>
        <v>RUTL-YL002US1</v>
      </c>
      <c r="M1196" s="23"/>
      <c r="N1196" s="23"/>
      <c r="O1196" s="23"/>
      <c r="P1196" s="23"/>
      <c r="Q1196" s="23"/>
      <c r="R1196" s="15" t="s">
        <v>56</v>
      </c>
      <c r="S1196" s="37" t="s">
        <v>57</v>
      </c>
      <c r="T1196" s="107" t="s">
        <v>453</v>
      </c>
      <c r="U1196" s="47" t="s">
        <v>909</v>
      </c>
      <c r="V1196" s="23"/>
      <c r="W1196" s="23"/>
      <c r="X1196" s="24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c r="AV1196" s="5"/>
      <c r="AW1196" s="5"/>
      <c r="AX1196" s="5"/>
      <c r="AY1196" s="5"/>
      <c r="AZ1196" s="5"/>
      <c r="BA1196" s="5"/>
      <c r="BB1196" s="5"/>
      <c r="BC1196" s="5"/>
      <c r="BD1196" s="5"/>
      <c r="BE1196" s="5"/>
      <c r="BF1196" s="5"/>
      <c r="BG1196" s="5"/>
      <c r="BH1196" s="5"/>
      <c r="BI1196" s="5"/>
      <c r="BJ1196" s="5"/>
      <c r="BK1196" s="5"/>
      <c r="BL1196" s="5"/>
      <c r="BM1196" s="5"/>
      <c r="BN1196" s="5"/>
      <c r="BO1196" s="5"/>
      <c r="BP1196" s="5"/>
      <c r="BQ1196" s="5"/>
      <c r="BR1196" s="5"/>
      <c r="BS1196" s="5"/>
      <c r="BT1196" s="5"/>
      <c r="BU1196" s="5"/>
      <c r="BV1196" s="5"/>
      <c r="BW1196" s="5"/>
      <c r="BX1196" s="5"/>
      <c r="BY1196" s="5"/>
      <c r="BZ1196" s="5"/>
      <c r="CA1196" s="5"/>
      <c r="CB1196" s="5"/>
      <c r="CC1196" s="5"/>
      <c r="CD1196" s="5"/>
      <c r="CE1196" s="5"/>
      <c r="CF1196" s="5"/>
      <c r="CG1196" s="5"/>
      <c r="CH1196" s="5"/>
      <c r="CI1196" s="5"/>
      <c r="CJ1196" s="5"/>
      <c r="CK1196" s="5"/>
      <c r="CL1196" s="5"/>
      <c r="CM1196" s="5"/>
      <c r="CN1196" s="5"/>
      <c r="CO1196" s="5"/>
      <c r="CP1196" s="5"/>
      <c r="CQ1196" s="5"/>
      <c r="CR1196" s="5"/>
      <c r="CS1196" s="5"/>
      <c r="CT1196" s="5"/>
      <c r="CU1196" s="5"/>
      <c r="CV1196" s="5"/>
      <c r="CW1196" s="5"/>
      <c r="CX1196" s="5"/>
      <c r="CY1196" s="5"/>
      <c r="CZ1196" s="5"/>
      <c r="DA1196" s="5"/>
      <c r="DB1196" s="5"/>
      <c r="DC1196" s="5"/>
      <c r="DD1196" s="5"/>
      <c r="DE1196" s="5"/>
      <c r="DF1196" s="5"/>
      <c r="DG1196" s="5"/>
      <c r="DH1196" s="5"/>
      <c r="DI1196" s="5"/>
      <c r="DJ1196" s="5"/>
      <c r="DK1196" s="5"/>
      <c r="DL1196" s="5"/>
      <c r="DM1196" s="5"/>
      <c r="DN1196" s="5"/>
      <c r="DO1196" s="5"/>
      <c r="DP1196" s="5"/>
      <c r="DQ1196" s="5"/>
      <c r="DR1196" s="5"/>
      <c r="DS1196" s="5"/>
      <c r="DT1196" s="5"/>
      <c r="DU1196" s="5"/>
      <c r="DV1196" s="5"/>
      <c r="DW1196" s="5"/>
      <c r="DX1196" s="5"/>
      <c r="DY1196" s="5"/>
      <c r="DZ1196" s="5"/>
      <c r="EA1196" s="5"/>
      <c r="EB1196" s="5"/>
      <c r="EC1196" s="5"/>
      <c r="ED1196" s="5"/>
      <c r="EE1196" s="5"/>
    </row>
    <row r="1197" spans="1:135" ht="27.75" customHeight="1" thickBot="1" x14ac:dyDescent="0.3">
      <c r="A1197" s="578" t="s">
        <v>7652</v>
      </c>
      <c r="B1197" s="23"/>
      <c r="C1197" s="249" t="s">
        <v>914</v>
      </c>
      <c r="D1197" s="15" t="s">
        <v>915</v>
      </c>
      <c r="E1197" s="23"/>
      <c r="F1197" s="23"/>
      <c r="G1197" s="23"/>
      <c r="H1197" s="475" t="s">
        <v>893</v>
      </c>
      <c r="I1197" s="142" t="s">
        <v>350</v>
      </c>
      <c r="J1197" s="18" t="s">
        <v>917</v>
      </c>
      <c r="K1197" s="340" t="s">
        <v>918</v>
      </c>
      <c r="L1197" s="21" t="str">
        <f>"RUTL-"&amp;RIGHT(K1197,8)</f>
        <v>RUTL-4HBW783</v>
      </c>
      <c r="M1197" s="23"/>
      <c r="N1197" s="23"/>
      <c r="O1197" s="23"/>
      <c r="P1197" s="23"/>
      <c r="Q1197" s="23"/>
      <c r="R1197" s="23"/>
      <c r="S1197" s="23"/>
      <c r="T1197" s="23"/>
      <c r="U1197" s="47" t="s">
        <v>828</v>
      </c>
      <c r="V1197" s="242"/>
      <c r="W1197" s="23"/>
      <c r="X1197" s="71"/>
      <c r="Y1197" s="30"/>
      <c r="Z1197" s="30"/>
      <c r="AA1197" s="30"/>
      <c r="AB1197" s="30"/>
      <c r="AC1197" s="30"/>
      <c r="AD1197" s="30"/>
      <c r="AE1197" s="30"/>
      <c r="AF1197" s="30"/>
      <c r="AG1197" s="30"/>
      <c r="AH1197" s="30"/>
      <c r="AI1197" s="30"/>
      <c r="AJ1197" s="30"/>
      <c r="AK1197" s="30"/>
      <c r="AL1197" s="30"/>
      <c r="AM1197" s="30"/>
      <c r="AN1197" s="30"/>
      <c r="AO1197" s="30"/>
      <c r="AP1197" s="30"/>
      <c r="AQ1197" s="30"/>
      <c r="AR1197" s="30"/>
      <c r="AS1197" s="30"/>
      <c r="AT1197" s="30"/>
      <c r="AU1197" s="30"/>
      <c r="AV1197" s="30"/>
      <c r="AW1197" s="30"/>
      <c r="AX1197" s="30"/>
      <c r="AY1197" s="30"/>
      <c r="AZ1197" s="30"/>
      <c r="BA1197" s="30"/>
      <c r="BB1197" s="30"/>
      <c r="BC1197" s="30"/>
      <c r="BD1197" s="30"/>
      <c r="BE1197" s="30"/>
      <c r="BF1197" s="30"/>
      <c r="BG1197" s="30"/>
      <c r="BH1197" s="30"/>
      <c r="BI1197" s="30"/>
      <c r="BJ1197" s="30"/>
      <c r="BK1197" s="30"/>
      <c r="BL1197" s="30"/>
      <c r="BM1197" s="30"/>
      <c r="BN1197" s="30"/>
      <c r="BO1197" s="30"/>
      <c r="BP1197" s="30"/>
      <c r="BQ1197" s="30"/>
      <c r="BR1197" s="30"/>
      <c r="BS1197" s="30"/>
      <c r="BT1197" s="30"/>
      <c r="BU1197" s="30"/>
      <c r="BV1197" s="30"/>
      <c r="BW1197" s="30"/>
      <c r="BX1197" s="30"/>
      <c r="BY1197" s="30"/>
      <c r="BZ1197" s="30"/>
      <c r="CA1197" s="30"/>
      <c r="CB1197" s="30"/>
      <c r="CC1197" s="30"/>
      <c r="CD1197" s="30"/>
      <c r="CE1197" s="30"/>
      <c r="CF1197" s="30"/>
      <c r="CG1197" s="30"/>
      <c r="CH1197" s="30"/>
      <c r="CI1197" s="30"/>
      <c r="CJ1197" s="30"/>
      <c r="CK1197" s="30"/>
      <c r="CL1197" s="30"/>
      <c r="CM1197" s="30"/>
      <c r="CN1197" s="30"/>
      <c r="CO1197" s="30"/>
      <c r="CP1197" s="30"/>
      <c r="CQ1197" s="30"/>
      <c r="CR1197" s="30"/>
      <c r="CS1197" s="30"/>
      <c r="CT1197" s="30"/>
      <c r="CU1197" s="30"/>
      <c r="CV1197" s="30"/>
      <c r="CW1197" s="30"/>
      <c r="CX1197" s="30"/>
      <c r="CY1197" s="30"/>
      <c r="CZ1197" s="30"/>
      <c r="DA1197" s="30"/>
      <c r="DB1197" s="30"/>
      <c r="DC1197" s="30"/>
      <c r="DD1197" s="30"/>
      <c r="DE1197" s="30"/>
      <c r="DF1197" s="30"/>
      <c r="DG1197" s="30"/>
      <c r="DH1197" s="30"/>
      <c r="DI1197" s="30"/>
      <c r="DJ1197" s="30"/>
      <c r="DK1197" s="30"/>
      <c r="DL1197" s="30"/>
      <c r="DM1197" s="30"/>
      <c r="DN1197" s="30"/>
      <c r="DO1197" s="30"/>
      <c r="DP1197" s="30"/>
      <c r="DQ1197" s="30"/>
      <c r="DR1197" s="30"/>
      <c r="DS1197" s="30"/>
      <c r="DT1197" s="30"/>
      <c r="DU1197" s="30"/>
      <c r="DV1197" s="30"/>
      <c r="DW1197" s="30"/>
      <c r="DX1197" s="30"/>
      <c r="DY1197" s="30"/>
      <c r="DZ1197" s="30"/>
      <c r="EA1197" s="30"/>
      <c r="EB1197" s="30"/>
      <c r="EC1197" s="30"/>
      <c r="ED1197" s="30"/>
      <c r="EE1197" s="30"/>
    </row>
    <row r="1198" spans="1:135" ht="60.75" thickBot="1" x14ac:dyDescent="0.3">
      <c r="A1198" s="578" t="s">
        <v>7652</v>
      </c>
      <c r="B1198" s="8">
        <v>1354</v>
      </c>
      <c r="C1198" s="167" t="s">
        <v>2518</v>
      </c>
      <c r="D1198" s="15" t="s">
        <v>24</v>
      </c>
      <c r="E1198" s="11" t="s">
        <v>25</v>
      </c>
      <c r="F1198" s="20" t="s">
        <v>2519</v>
      </c>
      <c r="G1198" s="15" t="s">
        <v>2520</v>
      </c>
      <c r="H1198" s="475" t="s">
        <v>811</v>
      </c>
      <c r="I1198" s="18" t="s">
        <v>1110</v>
      </c>
      <c r="J1198" s="18" t="s">
        <v>2521</v>
      </c>
      <c r="K1198" s="23" t="s">
        <v>2522</v>
      </c>
      <c r="L1198" s="25" t="str">
        <f>"RUTL-"&amp;RIGHT(K1198,8)</f>
        <v>RUTL-PF2ZRC0G</v>
      </c>
      <c r="M1198" s="34" t="s">
        <v>40</v>
      </c>
      <c r="N1198" s="39" t="s">
        <v>410</v>
      </c>
      <c r="O1198" s="23"/>
      <c r="P1198" s="39" t="s">
        <v>90</v>
      </c>
      <c r="Q1198" s="63" t="s">
        <v>2524</v>
      </c>
      <c r="R1198" s="15" t="s">
        <v>56</v>
      </c>
      <c r="S1198" s="37" t="s">
        <v>57</v>
      </c>
      <c r="T1198" s="105" t="s">
        <v>148</v>
      </c>
      <c r="U1198" s="39" t="s">
        <v>1377</v>
      </c>
      <c r="V1198" s="23"/>
      <c r="W1198" s="23"/>
      <c r="X1198" s="71"/>
      <c r="Y1198" s="5"/>
      <c r="Z1198" s="5"/>
      <c r="AA1198" s="5"/>
      <c r="AB1198" s="5"/>
      <c r="AC1198" s="5"/>
      <c r="AD1198" s="5"/>
      <c r="AE1198" s="5"/>
      <c r="AF1198" s="5"/>
      <c r="AG1198" s="5"/>
      <c r="AH1198" s="5"/>
      <c r="AI1198" s="5"/>
      <c r="AJ1198" s="5"/>
      <c r="AK1198" s="5"/>
      <c r="AL1198" s="5"/>
      <c r="AM1198" s="5"/>
      <c r="AN1198" s="5"/>
      <c r="AO1198" s="5"/>
      <c r="AP1198" s="5"/>
      <c r="AQ1198" s="5"/>
      <c r="AR1198" s="5"/>
      <c r="AS1198" s="5"/>
      <c r="AT1198" s="5"/>
      <c r="AU1198" s="5"/>
      <c r="AV1198" s="5"/>
      <c r="AW1198" s="5"/>
      <c r="AX1198" s="5"/>
      <c r="AY1198" s="5"/>
      <c r="AZ1198" s="5"/>
      <c r="BA1198" s="5"/>
      <c r="BB1198" s="5"/>
      <c r="BC1198" s="5"/>
      <c r="BD1198" s="5"/>
      <c r="BE1198" s="5"/>
      <c r="BF1198" s="5"/>
      <c r="BG1198" s="5"/>
      <c r="BH1198" s="5"/>
      <c r="BI1198" s="5"/>
      <c r="BJ1198" s="5"/>
      <c r="BK1198" s="5"/>
      <c r="BL1198" s="5"/>
      <c r="BM1198" s="5"/>
      <c r="BN1198" s="5"/>
      <c r="BO1198" s="5"/>
      <c r="BP1198" s="5"/>
      <c r="BQ1198" s="5"/>
      <c r="BR1198" s="5"/>
      <c r="BS1198" s="5"/>
      <c r="BT1198" s="5"/>
      <c r="BU1198" s="5"/>
      <c r="BV1198" s="5"/>
      <c r="BW1198" s="5"/>
      <c r="BX1198" s="5"/>
      <c r="BY1198" s="5"/>
      <c r="BZ1198" s="5"/>
      <c r="CA1198" s="5"/>
      <c r="CB1198" s="5"/>
      <c r="CC1198" s="5"/>
      <c r="CD1198" s="5"/>
      <c r="CE1198" s="5"/>
      <c r="CF1198" s="5"/>
      <c r="CG1198" s="5"/>
      <c r="CH1198" s="5"/>
      <c r="CI1198" s="5"/>
      <c r="CJ1198" s="5"/>
      <c r="CK1198" s="5"/>
      <c r="CL1198" s="5"/>
      <c r="CM1198" s="5"/>
      <c r="CN1198" s="5"/>
      <c r="CO1198" s="5"/>
      <c r="CP1198" s="5"/>
      <c r="CQ1198" s="5"/>
      <c r="CR1198" s="5"/>
      <c r="CS1198" s="5"/>
      <c r="CT1198" s="5"/>
      <c r="CU1198" s="5"/>
      <c r="CV1198" s="5"/>
      <c r="CW1198" s="5"/>
      <c r="CX1198" s="5"/>
      <c r="CY1198" s="5"/>
      <c r="CZ1198" s="5"/>
      <c r="DA1198" s="5"/>
      <c r="DB1198" s="5"/>
      <c r="DC1198" s="5"/>
      <c r="DD1198" s="5"/>
      <c r="DE1198" s="5"/>
      <c r="DF1198" s="5"/>
      <c r="DG1198" s="5"/>
      <c r="DH1198" s="5"/>
      <c r="DI1198" s="5"/>
      <c r="DJ1198" s="5"/>
      <c r="DK1198" s="5"/>
      <c r="DL1198" s="5"/>
      <c r="DM1198" s="5"/>
      <c r="DN1198" s="5"/>
      <c r="DO1198" s="5"/>
      <c r="DP1198" s="5"/>
      <c r="DQ1198" s="5"/>
      <c r="DR1198" s="5"/>
      <c r="DS1198" s="5"/>
      <c r="DT1198" s="5"/>
      <c r="DU1198" s="5"/>
      <c r="DV1198" s="5"/>
      <c r="DW1198" s="5"/>
      <c r="DX1198" s="5"/>
      <c r="DY1198" s="5"/>
      <c r="DZ1198" s="5"/>
      <c r="EA1198" s="5"/>
      <c r="EB1198" s="5"/>
      <c r="EC1198" s="5"/>
      <c r="ED1198" s="5"/>
      <c r="EE1198" s="5"/>
    </row>
    <row r="1199" spans="1:135" ht="15.75" customHeight="1" thickBot="1" x14ac:dyDescent="0.3">
      <c r="A1199" s="578" t="s">
        <v>7652</v>
      </c>
      <c r="B1199" s="8">
        <v>13213</v>
      </c>
      <c r="C1199" s="72" t="s">
        <v>5538</v>
      </c>
      <c r="D1199" s="10" t="s">
        <v>24</v>
      </c>
      <c r="E1199" s="11" t="s">
        <v>25</v>
      </c>
      <c r="F1199" s="20" t="s">
        <v>5539</v>
      </c>
      <c r="G1199" s="15" t="s">
        <v>5364</v>
      </c>
      <c r="H1199" s="475" t="s">
        <v>811</v>
      </c>
      <c r="I1199" s="18" t="s">
        <v>350</v>
      </c>
      <c r="J1199" s="18" t="s">
        <v>5540</v>
      </c>
      <c r="K1199" s="23" t="s">
        <v>5541</v>
      </c>
      <c r="L1199" s="25" t="str">
        <f>"RUTL-"&amp;RIGHT(K1199,8)</f>
        <v>RUTL-YL002URJ</v>
      </c>
      <c r="M1199" s="34" t="s">
        <v>40</v>
      </c>
      <c r="N1199" s="15" t="s">
        <v>319</v>
      </c>
      <c r="O1199" s="227"/>
      <c r="P1199" s="39" t="s">
        <v>90</v>
      </c>
      <c r="Q1199" s="113"/>
      <c r="R1199" s="15" t="s">
        <v>56</v>
      </c>
      <c r="S1199" s="37" t="s">
        <v>57</v>
      </c>
      <c r="T1199" s="107" t="s">
        <v>148</v>
      </c>
      <c r="U1199" s="39" t="s">
        <v>3341</v>
      </c>
      <c r="V1199" s="23"/>
      <c r="W1199" s="23"/>
      <c r="X1199" s="71"/>
      <c r="Y1199" s="5"/>
      <c r="Z1199" s="5"/>
      <c r="AA1199" s="5"/>
      <c r="AB1199" s="5"/>
      <c r="AC1199" s="5"/>
      <c r="AD1199" s="5"/>
      <c r="AE1199" s="5"/>
      <c r="AF1199" s="5"/>
      <c r="AG1199" s="5"/>
      <c r="AH1199" s="5"/>
      <c r="AI1199" s="5"/>
      <c r="AJ1199" s="5"/>
      <c r="AK1199" s="5"/>
      <c r="AL1199" s="5"/>
      <c r="AM1199" s="5"/>
      <c r="AN1199" s="5"/>
      <c r="AO1199" s="5"/>
      <c r="AP1199" s="5"/>
      <c r="AQ1199" s="5"/>
      <c r="AR1199" s="5"/>
      <c r="AS1199" s="5"/>
      <c r="AT1199" s="5"/>
      <c r="AU1199" s="5"/>
      <c r="AV1199" s="5"/>
      <c r="AW1199" s="5"/>
      <c r="AX1199" s="5"/>
      <c r="AY1199" s="5"/>
      <c r="AZ1199" s="5"/>
      <c r="BA1199" s="5"/>
      <c r="BB1199" s="5"/>
      <c r="BC1199" s="5"/>
      <c r="BD1199" s="5"/>
      <c r="BE1199" s="5"/>
      <c r="BF1199" s="5"/>
      <c r="BG1199" s="5"/>
      <c r="BH1199" s="5"/>
      <c r="BI1199" s="5"/>
      <c r="BJ1199" s="5"/>
      <c r="BK1199" s="5"/>
      <c r="BL1199" s="5"/>
      <c r="BM1199" s="5"/>
      <c r="BN1199" s="5"/>
      <c r="BO1199" s="5"/>
      <c r="BP1199" s="5"/>
      <c r="BQ1199" s="5"/>
      <c r="BR1199" s="5"/>
      <c r="BS1199" s="5"/>
      <c r="BT1199" s="5"/>
      <c r="BU1199" s="5"/>
      <c r="BV1199" s="5"/>
      <c r="BW1199" s="5"/>
      <c r="BX1199" s="5"/>
      <c r="BY1199" s="5"/>
      <c r="BZ1199" s="5"/>
      <c r="CA1199" s="5"/>
      <c r="CB1199" s="5"/>
      <c r="CC1199" s="5"/>
      <c r="CD1199" s="5"/>
      <c r="CE1199" s="5"/>
      <c r="CF1199" s="5"/>
      <c r="CG1199" s="5"/>
      <c r="CH1199" s="5"/>
      <c r="CI1199" s="5"/>
      <c r="CJ1199" s="5"/>
      <c r="CK1199" s="5"/>
      <c r="CL1199" s="5"/>
      <c r="CM1199" s="5"/>
      <c r="CN1199" s="5"/>
      <c r="CO1199" s="5"/>
      <c r="CP1199" s="5"/>
      <c r="CQ1199" s="5"/>
      <c r="CR1199" s="5"/>
      <c r="CS1199" s="5"/>
      <c r="CT1199" s="5"/>
      <c r="CU1199" s="5"/>
      <c r="CV1199" s="5"/>
      <c r="CW1199" s="5"/>
      <c r="CX1199" s="5"/>
      <c r="CY1199" s="5"/>
      <c r="CZ1199" s="5"/>
      <c r="DA1199" s="5"/>
      <c r="DB1199" s="5"/>
      <c r="DC1199" s="5"/>
      <c r="DD1199" s="5"/>
      <c r="DE1199" s="5"/>
      <c r="DF1199" s="5"/>
      <c r="DG1199" s="5"/>
      <c r="DH1199" s="5"/>
      <c r="DI1199" s="5"/>
      <c r="DJ1199" s="5"/>
      <c r="DK1199" s="5"/>
      <c r="DL1199" s="5"/>
      <c r="DM1199" s="5"/>
      <c r="DN1199" s="5"/>
      <c r="DO1199" s="5"/>
      <c r="DP1199" s="5"/>
      <c r="DQ1199" s="5"/>
      <c r="DR1199" s="5"/>
      <c r="DS1199" s="5"/>
      <c r="DT1199" s="5"/>
      <c r="DU1199" s="5"/>
      <c r="DV1199" s="5"/>
      <c r="DW1199" s="5"/>
      <c r="DX1199" s="5"/>
      <c r="DY1199" s="5"/>
      <c r="DZ1199" s="5"/>
      <c r="EA1199" s="5"/>
      <c r="EB1199" s="5"/>
      <c r="EC1199" s="5"/>
      <c r="ED1199" s="5"/>
      <c r="EE1199" s="5"/>
    </row>
    <row r="1200" spans="1:135" ht="15.75" customHeight="1" thickBot="1" x14ac:dyDescent="0.3">
      <c r="A1200" s="578" t="s">
        <v>7652</v>
      </c>
      <c r="B1200" s="8">
        <v>542</v>
      </c>
      <c r="C1200" s="72" t="s">
        <v>1341</v>
      </c>
      <c r="D1200" s="15" t="s">
        <v>24</v>
      </c>
      <c r="E1200" s="11" t="s">
        <v>25</v>
      </c>
      <c r="F1200" s="12" t="s">
        <v>1342</v>
      </c>
      <c r="G1200" s="15" t="s">
        <v>1183</v>
      </c>
      <c r="H1200" s="475" t="s">
        <v>370</v>
      </c>
      <c r="I1200" s="18" t="s">
        <v>135</v>
      </c>
      <c r="J1200" s="18" t="s">
        <v>1343</v>
      </c>
      <c r="K1200" s="23" t="s">
        <v>1344</v>
      </c>
      <c r="L1200" s="25" t="str">
        <f>"RUTL-"&amp;RIGHT(K1200,8)</f>
        <v>RUTL-BC303400</v>
      </c>
      <c r="M1200" s="34" t="s">
        <v>40</v>
      </c>
      <c r="N1200" s="15" t="s">
        <v>319</v>
      </c>
      <c r="O1200" s="227"/>
      <c r="P1200" s="39" t="s">
        <v>90</v>
      </c>
      <c r="Q1200" s="63" t="s">
        <v>1346</v>
      </c>
      <c r="R1200" s="15" t="s">
        <v>56</v>
      </c>
      <c r="S1200" s="232" t="s">
        <v>296</v>
      </c>
      <c r="T1200" s="23"/>
      <c r="U1200" s="39" t="s">
        <v>1348</v>
      </c>
      <c r="V1200" s="23"/>
      <c r="W1200" s="23"/>
      <c r="X1200" s="71"/>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c r="AV1200" s="5"/>
      <c r="AW1200" s="5"/>
      <c r="AX1200" s="5"/>
      <c r="AY1200" s="5"/>
      <c r="AZ1200" s="5"/>
      <c r="BA1200" s="5"/>
      <c r="BB1200" s="5"/>
      <c r="BC1200" s="5"/>
      <c r="BD1200" s="5"/>
      <c r="BE1200" s="5"/>
      <c r="BF1200" s="5"/>
      <c r="BG1200" s="5"/>
      <c r="BH1200" s="5"/>
      <c r="BI1200" s="5"/>
      <c r="BJ1200" s="5"/>
      <c r="BK1200" s="5"/>
      <c r="BL1200" s="5"/>
      <c r="BM1200" s="5"/>
      <c r="BN1200" s="5"/>
      <c r="BO1200" s="5"/>
      <c r="BP1200" s="5"/>
      <c r="BQ1200" s="5"/>
      <c r="BR1200" s="5"/>
      <c r="BS1200" s="5"/>
      <c r="BT1200" s="5"/>
      <c r="BU1200" s="5"/>
      <c r="BV1200" s="5"/>
      <c r="BW1200" s="5"/>
      <c r="BX1200" s="5"/>
      <c r="BY1200" s="5"/>
      <c r="BZ1200" s="5"/>
      <c r="CA1200" s="5"/>
      <c r="CB1200" s="5"/>
      <c r="CC1200" s="5"/>
      <c r="CD1200" s="5"/>
      <c r="CE1200" s="5"/>
      <c r="CF1200" s="5"/>
      <c r="CG1200" s="5"/>
      <c r="CH1200" s="5"/>
      <c r="CI1200" s="5"/>
      <c r="CJ1200" s="5"/>
      <c r="CK1200" s="5"/>
      <c r="CL1200" s="5"/>
      <c r="CM1200" s="5"/>
      <c r="CN1200" s="5"/>
      <c r="CO1200" s="5"/>
      <c r="CP1200" s="5"/>
      <c r="CQ1200" s="5"/>
      <c r="CR1200" s="5"/>
      <c r="CS1200" s="5"/>
      <c r="CT1200" s="5"/>
      <c r="CU1200" s="5"/>
      <c r="CV1200" s="5"/>
      <c r="CW1200" s="5"/>
      <c r="CX1200" s="5"/>
      <c r="CY1200" s="5"/>
      <c r="CZ1200" s="5"/>
      <c r="DA1200" s="5"/>
      <c r="DB1200" s="5"/>
      <c r="DC1200" s="5"/>
      <c r="DD1200" s="5"/>
      <c r="DE1200" s="5"/>
      <c r="DF1200" s="5"/>
      <c r="DG1200" s="5"/>
      <c r="DH1200" s="5"/>
      <c r="DI1200" s="5"/>
      <c r="DJ1200" s="5"/>
      <c r="DK1200" s="5"/>
      <c r="DL1200" s="5"/>
      <c r="DM1200" s="5"/>
      <c r="DN1200" s="5"/>
      <c r="DO1200" s="5"/>
      <c r="DP1200" s="5"/>
      <c r="DQ1200" s="5"/>
      <c r="DR1200" s="5"/>
      <c r="DS1200" s="5"/>
      <c r="DT1200" s="5"/>
      <c r="DU1200" s="5"/>
      <c r="DV1200" s="5"/>
      <c r="DW1200" s="5"/>
      <c r="DX1200" s="5"/>
      <c r="DY1200" s="5"/>
      <c r="DZ1200" s="5"/>
      <c r="EA1200" s="5"/>
      <c r="EB1200" s="5"/>
      <c r="EC1200" s="5"/>
      <c r="ED1200" s="5"/>
      <c r="EE1200" s="5"/>
    </row>
    <row r="1201" spans="1:135" ht="35.25" customHeight="1" thickBot="1" x14ac:dyDescent="0.3">
      <c r="A1201" s="578" t="s">
        <v>7652</v>
      </c>
      <c r="B1201" s="216" t="s">
        <v>912</v>
      </c>
      <c r="C1201" s="69" t="s">
        <v>920</v>
      </c>
      <c r="D1201" s="15" t="s">
        <v>24</v>
      </c>
      <c r="E1201" s="11" t="s">
        <v>25</v>
      </c>
      <c r="F1201" s="12" t="s">
        <v>922</v>
      </c>
      <c r="G1201" s="15" t="s">
        <v>925</v>
      </c>
      <c r="H1201" s="119" t="s">
        <v>370</v>
      </c>
      <c r="I1201" s="18" t="s">
        <v>38</v>
      </c>
      <c r="J1201" s="18" t="s">
        <v>927</v>
      </c>
      <c r="K1201" s="23" t="s">
        <v>928</v>
      </c>
      <c r="L1201" s="127" t="str">
        <f>"RUTL-"&amp;RIGHT(K1201,8)</f>
        <v>RUTL-09767600</v>
      </c>
      <c r="M1201" s="129" t="s">
        <v>40</v>
      </c>
      <c r="N1201" s="90" t="s">
        <v>473</v>
      </c>
      <c r="O1201" s="23"/>
      <c r="P1201" s="39" t="s">
        <v>90</v>
      </c>
      <c r="Q1201" s="218" t="s">
        <v>932</v>
      </c>
      <c r="R1201" s="121" t="s">
        <v>56</v>
      </c>
      <c r="S1201" s="37" t="s">
        <v>57</v>
      </c>
      <c r="T1201" s="96" t="s">
        <v>937</v>
      </c>
      <c r="U1201" s="47" t="s">
        <v>940</v>
      </c>
      <c r="V1201" s="23"/>
      <c r="W1201" s="23"/>
      <c r="X1201" s="71"/>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c r="AV1201" s="5"/>
      <c r="AW1201" s="5"/>
      <c r="AX1201" s="5"/>
      <c r="AY1201" s="5"/>
      <c r="AZ1201" s="5"/>
      <c r="BA1201" s="5"/>
      <c r="BB1201" s="5"/>
      <c r="BC1201" s="5"/>
      <c r="BD1201" s="5"/>
      <c r="BE1201" s="5"/>
      <c r="BF1201" s="5"/>
      <c r="BG1201" s="5"/>
      <c r="BH1201" s="5"/>
      <c r="BI1201" s="5"/>
      <c r="BJ1201" s="5"/>
      <c r="BK1201" s="5"/>
      <c r="BL1201" s="5"/>
      <c r="BM1201" s="5"/>
      <c r="BN1201" s="5"/>
      <c r="BO1201" s="5"/>
      <c r="BP1201" s="5"/>
      <c r="BQ1201" s="5"/>
      <c r="BR1201" s="5"/>
      <c r="BS1201" s="5"/>
      <c r="BT1201" s="5"/>
      <c r="BU1201" s="5"/>
      <c r="BV1201" s="5"/>
      <c r="BW1201" s="5"/>
      <c r="BX1201" s="5"/>
      <c r="BY1201" s="5"/>
      <c r="BZ1201" s="5"/>
      <c r="CA1201" s="5"/>
      <c r="CB1201" s="5"/>
      <c r="CC1201" s="5"/>
      <c r="CD1201" s="5"/>
      <c r="CE1201" s="5"/>
      <c r="CF1201" s="5"/>
      <c r="CG1201" s="5"/>
      <c r="CH1201" s="5"/>
      <c r="CI1201" s="5"/>
      <c r="CJ1201" s="5"/>
      <c r="CK1201" s="5"/>
      <c r="CL1201" s="5"/>
      <c r="CM1201" s="5"/>
      <c r="CN1201" s="5"/>
      <c r="CO1201" s="5"/>
      <c r="CP1201" s="5"/>
      <c r="CQ1201" s="5"/>
      <c r="CR1201" s="5"/>
      <c r="CS1201" s="5"/>
      <c r="CT1201" s="5"/>
      <c r="CU1201" s="5"/>
      <c r="CV1201" s="5"/>
      <c r="CW1201" s="5"/>
      <c r="CX1201" s="5"/>
      <c r="CY1201" s="5"/>
      <c r="CZ1201" s="5"/>
      <c r="DA1201" s="5"/>
      <c r="DB1201" s="5"/>
      <c r="DC1201" s="5"/>
      <c r="DD1201" s="5"/>
      <c r="DE1201" s="5"/>
      <c r="DF1201" s="5"/>
      <c r="DG1201" s="5"/>
      <c r="DH1201" s="5"/>
      <c r="DI1201" s="5"/>
      <c r="DJ1201" s="5"/>
      <c r="DK1201" s="5"/>
      <c r="DL1201" s="5"/>
      <c r="DM1201" s="5"/>
      <c r="DN1201" s="5"/>
      <c r="DO1201" s="5"/>
      <c r="DP1201" s="5"/>
      <c r="DQ1201" s="5"/>
      <c r="DR1201" s="5"/>
      <c r="DS1201" s="5"/>
      <c r="DT1201" s="5"/>
      <c r="DU1201" s="5"/>
      <c r="DV1201" s="5"/>
      <c r="DW1201" s="5"/>
      <c r="DX1201" s="5"/>
      <c r="DY1201" s="5"/>
      <c r="DZ1201" s="5"/>
      <c r="EA1201" s="5"/>
      <c r="EB1201" s="5"/>
      <c r="EC1201" s="5"/>
      <c r="ED1201" s="5"/>
      <c r="EE1201" s="5"/>
    </row>
    <row r="1202" spans="1:135" ht="27.75" customHeight="1" thickBot="1" x14ac:dyDescent="0.3">
      <c r="A1202" s="578" t="s">
        <v>7652</v>
      </c>
      <c r="B1202" s="438">
        <v>3711</v>
      </c>
      <c r="C1202" s="231" t="s">
        <v>3397</v>
      </c>
      <c r="D1202" s="59" t="s">
        <v>24</v>
      </c>
      <c r="E1202" s="11" t="s">
        <v>2329</v>
      </c>
      <c r="F1202" s="20" t="s">
        <v>3398</v>
      </c>
      <c r="G1202" s="15" t="s">
        <v>651</v>
      </c>
      <c r="H1202" s="119" t="s">
        <v>1071</v>
      </c>
      <c r="I1202" s="54" t="s">
        <v>135</v>
      </c>
      <c r="J1202" s="18" t="s">
        <v>3399</v>
      </c>
      <c r="K1202" s="33" t="s">
        <v>3400</v>
      </c>
      <c r="L1202" s="25" t="str">
        <f>"RUTL-"&amp;RIGHT(K1202,8)</f>
        <v>RUTL-D1342W30</v>
      </c>
      <c r="M1202" s="34" t="s">
        <v>40</v>
      </c>
      <c r="N1202" s="23" t="s">
        <v>43</v>
      </c>
      <c r="O1202" s="23"/>
      <c r="P1202" s="320" t="s">
        <v>3401</v>
      </c>
      <c r="Q1202" s="113"/>
      <c r="R1202" s="15" t="s">
        <v>56</v>
      </c>
      <c r="S1202" s="41" t="s">
        <v>296</v>
      </c>
      <c r="T1202" s="105" t="s">
        <v>148</v>
      </c>
      <c r="U1202" s="39" t="s">
        <v>3402</v>
      </c>
      <c r="V1202" s="23"/>
      <c r="W1202" s="23"/>
      <c r="X1202" s="30"/>
      <c r="Y1202" s="6"/>
      <c r="Z1202" s="6"/>
      <c r="AA1202" s="6"/>
      <c r="AB1202" s="6"/>
      <c r="AC1202" s="6"/>
      <c r="AD1202" s="6"/>
      <c r="AE1202" s="6"/>
      <c r="AF1202" s="6"/>
      <c r="AG1202" s="6"/>
      <c r="AH1202" s="6"/>
      <c r="AI1202" s="6"/>
      <c r="AJ1202" s="6"/>
      <c r="AK1202" s="6"/>
      <c r="AL1202" s="6"/>
      <c r="AM1202" s="6"/>
      <c r="AN1202" s="6"/>
      <c r="AO1202" s="6"/>
      <c r="AP1202" s="6"/>
      <c r="AQ1202" s="6"/>
      <c r="AR1202" s="6"/>
      <c r="AS1202" s="6"/>
      <c r="AT1202" s="6"/>
      <c r="AU1202" s="6"/>
      <c r="AV1202" s="6"/>
      <c r="AW1202" s="6"/>
      <c r="AX1202" s="6"/>
      <c r="AY1202" s="6"/>
      <c r="AZ1202" s="6"/>
      <c r="BA1202" s="6"/>
      <c r="BB1202" s="6"/>
      <c r="BC1202" s="6"/>
      <c r="BD1202" s="6"/>
      <c r="BE1202" s="6"/>
      <c r="BF1202" s="6"/>
      <c r="BG1202" s="6"/>
      <c r="BH1202" s="6"/>
      <c r="BI1202" s="6"/>
      <c r="BJ1202" s="6"/>
      <c r="BK1202" s="6"/>
      <c r="BL1202" s="6"/>
      <c r="BM1202" s="6"/>
      <c r="BN1202" s="6"/>
      <c r="BO1202" s="6"/>
      <c r="BP1202" s="6"/>
      <c r="BQ1202" s="6"/>
      <c r="BR1202" s="6"/>
      <c r="BS1202" s="6"/>
      <c r="BT1202" s="6"/>
      <c r="BU1202" s="6"/>
      <c r="BV1202" s="6"/>
      <c r="BW1202" s="6"/>
      <c r="BX1202" s="6"/>
      <c r="BY1202" s="6"/>
      <c r="BZ1202" s="6"/>
      <c r="CA1202" s="6"/>
      <c r="CB1202" s="6"/>
      <c r="CC1202" s="6"/>
      <c r="CD1202" s="6"/>
      <c r="CE1202" s="6"/>
      <c r="CF1202" s="6"/>
      <c r="CG1202" s="6"/>
      <c r="CH1202" s="6"/>
      <c r="CI1202" s="6"/>
      <c r="CJ1202" s="6"/>
      <c r="CK1202" s="6"/>
      <c r="CL1202" s="6"/>
      <c r="CM1202" s="6"/>
      <c r="CN1202" s="6"/>
      <c r="CO1202" s="6"/>
      <c r="CP1202" s="6"/>
      <c r="CQ1202" s="6"/>
      <c r="CR1202" s="6"/>
      <c r="CS1202" s="6"/>
      <c r="CT1202" s="6"/>
      <c r="CU1202" s="6"/>
      <c r="CV1202" s="6"/>
      <c r="CW1202" s="6"/>
      <c r="CX1202" s="6"/>
      <c r="CY1202" s="6"/>
      <c r="CZ1202" s="6"/>
      <c r="DA1202" s="6"/>
      <c r="DB1202" s="6"/>
      <c r="DC1202" s="6"/>
      <c r="DD1202" s="6"/>
      <c r="DE1202" s="6"/>
      <c r="DF1202" s="6"/>
      <c r="DG1202" s="6"/>
      <c r="DH1202" s="6"/>
      <c r="DI1202" s="6"/>
      <c r="DJ1202" s="6"/>
      <c r="DK1202" s="6"/>
      <c r="DL1202" s="6"/>
      <c r="DM1202" s="6"/>
      <c r="DN1202" s="6"/>
      <c r="DO1202" s="6"/>
      <c r="DP1202" s="6"/>
      <c r="DQ1202" s="6"/>
      <c r="DR1202" s="6"/>
      <c r="DS1202" s="6"/>
      <c r="DT1202" s="6"/>
      <c r="DU1202" s="6"/>
      <c r="DV1202" s="6"/>
      <c r="DW1202" s="6"/>
      <c r="DX1202" s="6"/>
      <c r="DY1202" s="6"/>
      <c r="DZ1202" s="6"/>
      <c r="EA1202" s="6"/>
      <c r="EB1202" s="6"/>
      <c r="EC1202" s="6"/>
      <c r="ED1202" s="6"/>
      <c r="EE1202" s="6"/>
    </row>
    <row r="1203" spans="1:135" ht="27.75" customHeight="1" thickBot="1" x14ac:dyDescent="0.3">
      <c r="A1203" s="578" t="s">
        <v>7652</v>
      </c>
      <c r="B1203" s="438">
        <v>9045</v>
      </c>
      <c r="C1203" s="72" t="s">
        <v>4525</v>
      </c>
      <c r="D1203" s="140" t="s">
        <v>24</v>
      </c>
      <c r="E1203" s="11" t="s">
        <v>25</v>
      </c>
      <c r="F1203" s="20" t="s">
        <v>4526</v>
      </c>
      <c r="G1203" s="15" t="s">
        <v>2089</v>
      </c>
      <c r="H1203" s="119" t="s">
        <v>1071</v>
      </c>
      <c r="I1203" s="54" t="s">
        <v>772</v>
      </c>
      <c r="J1203" s="18" t="s">
        <v>4527</v>
      </c>
      <c r="K1203" s="33" t="s">
        <v>4528</v>
      </c>
      <c r="L1203" s="25" t="str">
        <f>"RUTL-"&amp;RIGHT(K1203,8)</f>
        <v>RUTL-2K726373</v>
      </c>
      <c r="M1203" s="240" t="s">
        <v>40</v>
      </c>
      <c r="N1203" s="23" t="s">
        <v>43</v>
      </c>
      <c r="O1203" s="23"/>
      <c r="P1203" s="39" t="s">
        <v>90</v>
      </c>
      <c r="Q1203" s="243" t="s">
        <v>4529</v>
      </c>
      <c r="R1203" s="15" t="s">
        <v>56</v>
      </c>
      <c r="S1203" s="146" t="s">
        <v>180</v>
      </c>
      <c r="T1203" s="107" t="s">
        <v>148</v>
      </c>
      <c r="U1203" s="39" t="s">
        <v>4055</v>
      </c>
      <c r="V1203" s="242"/>
      <c r="W1203" s="23"/>
      <c r="X1203" s="6"/>
      <c r="Y1203" s="6"/>
      <c r="Z1203" s="6"/>
      <c r="AA1203" s="6"/>
      <c r="AB1203" s="6"/>
      <c r="AC1203" s="6"/>
      <c r="AD1203" s="6"/>
      <c r="AE1203" s="6"/>
      <c r="AF1203" s="6"/>
      <c r="AG1203" s="6"/>
      <c r="AH1203" s="6"/>
      <c r="AI1203" s="6"/>
      <c r="AJ1203" s="6"/>
      <c r="AK1203" s="6"/>
      <c r="AL1203" s="6"/>
      <c r="AM1203" s="6"/>
      <c r="AN1203" s="6"/>
      <c r="AO1203" s="6"/>
      <c r="AP1203" s="6"/>
      <c r="AQ1203" s="6"/>
      <c r="AR1203" s="6"/>
      <c r="AS1203" s="6"/>
      <c r="AT1203" s="6"/>
      <c r="AU1203" s="6"/>
      <c r="AV1203" s="6"/>
      <c r="AW1203" s="6"/>
      <c r="AX1203" s="6"/>
      <c r="AY1203" s="6"/>
      <c r="AZ1203" s="6"/>
      <c r="BA1203" s="6"/>
      <c r="BB1203" s="6"/>
      <c r="BC1203" s="6"/>
      <c r="BD1203" s="6"/>
      <c r="BE1203" s="6"/>
      <c r="BF1203" s="6"/>
      <c r="BG1203" s="6"/>
      <c r="BH1203" s="6"/>
      <c r="BI1203" s="6"/>
      <c r="BJ1203" s="6"/>
      <c r="BK1203" s="6"/>
      <c r="BL1203" s="6"/>
      <c r="BM1203" s="6"/>
      <c r="BN1203" s="6"/>
      <c r="BO1203" s="6"/>
      <c r="BP1203" s="6"/>
      <c r="BQ1203" s="6"/>
      <c r="BR1203" s="6"/>
      <c r="BS1203" s="6"/>
      <c r="BT1203" s="6"/>
      <c r="BU1203" s="6"/>
      <c r="BV1203" s="6"/>
      <c r="BW1203" s="6"/>
      <c r="BX1203" s="6"/>
      <c r="BY1203" s="6"/>
      <c r="BZ1203" s="6"/>
      <c r="CA1203" s="6"/>
      <c r="CB1203" s="6"/>
      <c r="CC1203" s="6"/>
      <c r="CD1203" s="6"/>
      <c r="CE1203" s="6"/>
      <c r="CF1203" s="6"/>
      <c r="CG1203" s="6"/>
      <c r="CH1203" s="6"/>
      <c r="CI1203" s="6"/>
      <c r="CJ1203" s="6"/>
      <c r="CK1203" s="6"/>
      <c r="CL1203" s="6"/>
      <c r="CM1203" s="6"/>
      <c r="CN1203" s="6"/>
      <c r="CO1203" s="6"/>
      <c r="CP1203" s="6"/>
      <c r="CQ1203" s="6"/>
      <c r="CR1203" s="6"/>
      <c r="CS1203" s="6"/>
      <c r="CT1203" s="6"/>
      <c r="CU1203" s="6"/>
      <c r="CV1203" s="6"/>
      <c r="CW1203" s="6"/>
      <c r="CX1203" s="6"/>
      <c r="CY1203" s="6"/>
      <c r="CZ1203" s="6"/>
      <c r="DA1203" s="6"/>
      <c r="DB1203" s="6"/>
      <c r="DC1203" s="6"/>
      <c r="DD1203" s="6"/>
      <c r="DE1203" s="6"/>
      <c r="DF1203" s="6"/>
      <c r="DG1203" s="6"/>
      <c r="DH1203" s="6"/>
      <c r="DI1203" s="6"/>
      <c r="DJ1203" s="6"/>
      <c r="DK1203" s="6"/>
      <c r="DL1203" s="6"/>
      <c r="DM1203" s="6"/>
      <c r="DN1203" s="6"/>
      <c r="DO1203" s="6"/>
      <c r="DP1203" s="6"/>
      <c r="DQ1203" s="6"/>
      <c r="DR1203" s="6"/>
      <c r="DS1203" s="6"/>
      <c r="DT1203" s="6"/>
      <c r="DU1203" s="6"/>
      <c r="DV1203" s="6"/>
      <c r="DW1203" s="6"/>
      <c r="DX1203" s="6"/>
      <c r="DY1203" s="6"/>
      <c r="DZ1203" s="6"/>
      <c r="EA1203" s="6"/>
      <c r="EB1203" s="6"/>
      <c r="EC1203" s="6"/>
      <c r="ED1203" s="6"/>
      <c r="EE1203" s="6"/>
    </row>
    <row r="1204" spans="1:135" ht="84.75" customHeight="1" thickBot="1" x14ac:dyDescent="0.3">
      <c r="A1204" s="578" t="s">
        <v>7652</v>
      </c>
      <c r="B1204" s="438">
        <v>689</v>
      </c>
      <c r="C1204" s="72" t="s">
        <v>1666</v>
      </c>
      <c r="D1204" s="59" t="s">
        <v>24</v>
      </c>
      <c r="E1204" s="11" t="s">
        <v>25</v>
      </c>
      <c r="F1204" s="20" t="s">
        <v>1667</v>
      </c>
      <c r="G1204" s="59" t="s">
        <v>1668</v>
      </c>
      <c r="H1204" s="119" t="s">
        <v>852</v>
      </c>
      <c r="I1204" s="488" t="s">
        <v>135</v>
      </c>
      <c r="J1204" s="488" t="s">
        <v>1669</v>
      </c>
      <c r="K1204" s="23" t="s">
        <v>1671</v>
      </c>
      <c r="L1204" s="25" t="str">
        <f>"RUTL-"&amp;RIGHT(K1204,8)</f>
        <v>RUTL-C6EF3400</v>
      </c>
      <c r="M1204" s="511" t="s">
        <v>40</v>
      </c>
      <c r="N1204" s="493"/>
      <c r="O1204" s="493"/>
      <c r="P1204" s="493"/>
      <c r="Q1204" s="527"/>
      <c r="R1204" s="493"/>
      <c r="S1204" s="548" t="s">
        <v>296</v>
      </c>
      <c r="T1204" s="493"/>
      <c r="U1204" s="39" t="s">
        <v>1673</v>
      </c>
      <c r="V1204" s="493"/>
      <c r="W1204" s="493"/>
    </row>
    <row r="1205" spans="1:135" ht="15.75" customHeight="1" thickBot="1" x14ac:dyDescent="0.3">
      <c r="A1205" s="578" t="s">
        <v>7652</v>
      </c>
      <c r="B1205" s="436" t="s">
        <v>1612</v>
      </c>
      <c r="C1205" s="337" t="s">
        <v>1613</v>
      </c>
      <c r="D1205" s="575" t="s">
        <v>367</v>
      </c>
      <c r="E1205" s="11" t="s">
        <v>25</v>
      </c>
      <c r="F1205" s="20" t="s">
        <v>1614</v>
      </c>
      <c r="G1205" s="15" t="s">
        <v>1616</v>
      </c>
      <c r="H1205" s="17" t="s">
        <v>891</v>
      </c>
      <c r="I1205" s="142" t="s">
        <v>135</v>
      </c>
      <c r="J1205" s="18" t="s">
        <v>1618</v>
      </c>
      <c r="K1205" s="23" t="s">
        <v>1625</v>
      </c>
      <c r="L1205" s="21" t="str">
        <f>"RUTL-"&amp;RIGHT(K1205,8)</f>
        <v>RUTL-PB02JDTF</v>
      </c>
      <c r="M1205" s="34" t="s">
        <v>40</v>
      </c>
      <c r="N1205" s="23"/>
      <c r="O1205" s="23"/>
      <c r="P1205" s="23"/>
      <c r="Q1205" s="383" t="s">
        <v>1627</v>
      </c>
      <c r="R1205" s="15" t="s">
        <v>235</v>
      </c>
      <c r="S1205" s="23"/>
      <c r="T1205" s="41" t="s">
        <v>65</v>
      </c>
      <c r="U1205" s="39" t="s">
        <v>1628</v>
      </c>
      <c r="V1205" s="242"/>
      <c r="W1205" s="23"/>
      <c r="X1205" s="195"/>
      <c r="Y1205" s="195"/>
      <c r="Z1205" s="195"/>
      <c r="AA1205" s="195"/>
      <c r="AB1205" s="195"/>
      <c r="AC1205" s="195"/>
      <c r="AD1205" s="195"/>
      <c r="AE1205" s="195"/>
      <c r="AF1205" s="195"/>
      <c r="AG1205" s="195"/>
      <c r="AH1205" s="195"/>
      <c r="AI1205" s="195"/>
      <c r="AJ1205" s="195"/>
      <c r="AK1205" s="195"/>
      <c r="AL1205" s="195"/>
      <c r="AM1205" s="195"/>
      <c r="AN1205" s="195"/>
      <c r="AO1205" s="195"/>
      <c r="AP1205" s="195"/>
      <c r="AQ1205" s="195"/>
      <c r="AR1205" s="195"/>
      <c r="AS1205" s="195"/>
      <c r="AT1205" s="195"/>
      <c r="AU1205" s="195"/>
      <c r="AV1205" s="195"/>
      <c r="AW1205" s="195"/>
      <c r="AX1205" s="195"/>
      <c r="AY1205" s="195"/>
      <c r="AZ1205" s="195"/>
      <c r="BA1205" s="195"/>
      <c r="BB1205" s="195"/>
      <c r="BC1205" s="195"/>
      <c r="BD1205" s="195"/>
      <c r="BE1205" s="195"/>
      <c r="BF1205" s="195"/>
      <c r="BG1205" s="195"/>
      <c r="BH1205" s="195"/>
      <c r="BI1205" s="195"/>
      <c r="BJ1205" s="195"/>
      <c r="BK1205" s="195"/>
      <c r="BL1205" s="195"/>
      <c r="BM1205" s="195"/>
      <c r="BN1205" s="195"/>
      <c r="BO1205" s="195"/>
      <c r="BP1205" s="195"/>
      <c r="BQ1205" s="195"/>
      <c r="BR1205" s="195"/>
      <c r="BS1205" s="195"/>
      <c r="BT1205" s="195"/>
      <c r="BU1205" s="195"/>
      <c r="BV1205" s="195"/>
      <c r="BW1205" s="195"/>
      <c r="BX1205" s="195"/>
      <c r="BY1205" s="195"/>
      <c r="BZ1205" s="195"/>
      <c r="CA1205" s="195"/>
      <c r="CB1205" s="195"/>
      <c r="CC1205" s="195"/>
      <c r="CD1205" s="195"/>
      <c r="CE1205" s="195"/>
      <c r="CF1205" s="195"/>
      <c r="CG1205" s="195"/>
      <c r="CH1205" s="195"/>
      <c r="CI1205" s="195"/>
      <c r="CJ1205" s="195"/>
      <c r="CK1205" s="195"/>
      <c r="CL1205" s="195"/>
      <c r="CM1205" s="195"/>
      <c r="CN1205" s="195"/>
      <c r="CO1205" s="195"/>
      <c r="CP1205" s="195"/>
      <c r="CQ1205" s="195"/>
      <c r="CR1205" s="195"/>
      <c r="CS1205" s="195"/>
      <c r="CT1205" s="195"/>
      <c r="CU1205" s="195"/>
      <c r="CV1205" s="195"/>
      <c r="CW1205" s="195"/>
      <c r="CX1205" s="195"/>
      <c r="CY1205" s="195"/>
      <c r="CZ1205" s="195"/>
      <c r="DA1205" s="195"/>
      <c r="DB1205" s="195"/>
      <c r="DC1205" s="195"/>
      <c r="DD1205" s="195"/>
      <c r="DE1205" s="195"/>
      <c r="DF1205" s="195"/>
      <c r="DG1205" s="195"/>
      <c r="DH1205" s="195"/>
      <c r="DI1205" s="195"/>
      <c r="DJ1205" s="195"/>
      <c r="DK1205" s="195"/>
      <c r="DL1205" s="195"/>
      <c r="DM1205" s="195"/>
      <c r="DN1205" s="195"/>
      <c r="DO1205" s="195"/>
      <c r="DP1205" s="195"/>
      <c r="DQ1205" s="195"/>
      <c r="DR1205" s="195"/>
      <c r="DS1205" s="195"/>
      <c r="DT1205" s="195"/>
      <c r="DU1205" s="195"/>
      <c r="DV1205" s="195"/>
      <c r="DW1205" s="195"/>
      <c r="DX1205" s="195"/>
      <c r="DY1205" s="195"/>
      <c r="DZ1205" s="195"/>
      <c r="EA1205" s="195"/>
      <c r="EB1205" s="195"/>
      <c r="EC1205" s="195"/>
      <c r="ED1205" s="195"/>
      <c r="EE1205" s="195"/>
    </row>
    <row r="1206" spans="1:135" ht="27.75" customHeight="1" x14ac:dyDescent="0.25">
      <c r="A1206" s="578" t="s">
        <v>7652</v>
      </c>
      <c r="B1206" s="241"/>
      <c r="C1206" s="249" t="s">
        <v>1024</v>
      </c>
      <c r="D1206" s="141" t="s">
        <v>24</v>
      </c>
      <c r="E1206" s="23"/>
      <c r="F1206" s="23"/>
      <c r="G1206" s="23"/>
      <c r="H1206" s="17" t="s">
        <v>1025</v>
      </c>
      <c r="I1206" s="54" t="s">
        <v>1026</v>
      </c>
      <c r="J1206" s="18" t="s">
        <v>1027</v>
      </c>
      <c r="K1206" s="23" t="s">
        <v>1030</v>
      </c>
      <c r="L1206" s="21" t="str">
        <f>"RUTL-"&amp;RIGHT(K1206,8)</f>
        <v>RUTL-К01369/1</v>
      </c>
      <c r="M1206" s="23"/>
      <c r="N1206" s="23"/>
      <c r="O1206" s="23"/>
      <c r="P1206" s="23"/>
      <c r="Q1206" s="23"/>
      <c r="R1206" s="15" t="s">
        <v>56</v>
      </c>
      <c r="S1206" s="37" t="s">
        <v>57</v>
      </c>
      <c r="T1206" s="23" t="s">
        <v>96</v>
      </c>
      <c r="U1206" s="47" t="s">
        <v>1042</v>
      </c>
      <c r="V1206" s="23"/>
      <c r="W1206" s="23"/>
      <c r="X1206" s="233"/>
      <c r="Y1206" s="233"/>
      <c r="Z1206" s="233"/>
      <c r="AA1206" s="233"/>
      <c r="AB1206" s="233"/>
      <c r="AC1206" s="233"/>
      <c r="AD1206" s="233"/>
      <c r="AE1206" s="233"/>
      <c r="AF1206" s="233"/>
      <c r="AG1206" s="233"/>
      <c r="AH1206" s="233"/>
      <c r="AI1206" s="233"/>
      <c r="AJ1206" s="233"/>
      <c r="AK1206" s="233"/>
      <c r="AL1206" s="233"/>
      <c r="AM1206" s="233"/>
      <c r="AN1206" s="233"/>
      <c r="AO1206" s="233"/>
      <c r="AP1206" s="233"/>
      <c r="AQ1206" s="233"/>
      <c r="AR1206" s="233"/>
      <c r="AS1206" s="233"/>
      <c r="AT1206" s="233"/>
      <c r="AU1206" s="233"/>
      <c r="AV1206" s="233"/>
      <c r="AW1206" s="233"/>
      <c r="AX1206" s="233"/>
      <c r="AY1206" s="233"/>
      <c r="AZ1206" s="233"/>
      <c r="BA1206" s="233"/>
      <c r="BB1206" s="233"/>
      <c r="BC1206" s="233"/>
      <c r="BD1206" s="233"/>
      <c r="BE1206" s="233"/>
      <c r="BF1206" s="233"/>
      <c r="BG1206" s="233"/>
      <c r="BH1206" s="233"/>
      <c r="BI1206" s="233"/>
      <c r="BJ1206" s="233"/>
      <c r="BK1206" s="233"/>
      <c r="BL1206" s="233"/>
      <c r="BM1206" s="233"/>
      <c r="BN1206" s="233"/>
      <c r="BO1206" s="233"/>
      <c r="BP1206" s="233"/>
      <c r="BQ1206" s="233"/>
      <c r="BR1206" s="233"/>
      <c r="BS1206" s="233"/>
      <c r="BT1206" s="233"/>
      <c r="BU1206" s="233"/>
      <c r="BV1206" s="233"/>
      <c r="BW1206" s="233"/>
      <c r="BX1206" s="233"/>
      <c r="BY1206" s="233"/>
      <c r="BZ1206" s="233"/>
      <c r="CA1206" s="233"/>
      <c r="CB1206" s="233"/>
      <c r="CC1206" s="233"/>
      <c r="CD1206" s="233"/>
      <c r="CE1206" s="233"/>
      <c r="CF1206" s="233"/>
      <c r="CG1206" s="233"/>
      <c r="CH1206" s="233"/>
      <c r="CI1206" s="233"/>
      <c r="CJ1206" s="233"/>
      <c r="CK1206" s="233"/>
      <c r="CL1206" s="233"/>
      <c r="CM1206" s="233"/>
      <c r="CN1206" s="233"/>
      <c r="CO1206" s="233"/>
      <c r="CP1206" s="233"/>
      <c r="CQ1206" s="233"/>
      <c r="CR1206" s="233"/>
      <c r="CS1206" s="233"/>
      <c r="CT1206" s="233"/>
      <c r="CU1206" s="233"/>
      <c r="CV1206" s="233"/>
      <c r="CW1206" s="233"/>
      <c r="CX1206" s="233"/>
      <c r="CY1206" s="233"/>
      <c r="CZ1206" s="233"/>
      <c r="DA1206" s="233"/>
      <c r="DB1206" s="233"/>
      <c r="DC1206" s="233"/>
      <c r="DD1206" s="233"/>
      <c r="DE1206" s="233"/>
      <c r="DF1206" s="233"/>
      <c r="DG1206" s="233"/>
      <c r="DH1206" s="233"/>
      <c r="DI1206" s="233"/>
      <c r="DJ1206" s="233"/>
      <c r="DK1206" s="233"/>
      <c r="DL1206" s="233"/>
      <c r="DM1206" s="233"/>
      <c r="DN1206" s="233"/>
      <c r="DO1206" s="233"/>
      <c r="DP1206" s="233"/>
      <c r="DQ1206" s="233"/>
      <c r="DR1206" s="233"/>
      <c r="DS1206" s="233"/>
      <c r="DT1206" s="233"/>
      <c r="DU1206" s="233"/>
      <c r="DV1206" s="233"/>
      <c r="DW1206" s="233"/>
      <c r="DX1206" s="233"/>
      <c r="DY1206" s="233"/>
      <c r="DZ1206" s="233"/>
      <c r="EA1206" s="233"/>
      <c r="EB1206" s="233"/>
      <c r="EC1206" s="233"/>
      <c r="ED1206" s="233"/>
      <c r="EE1206" s="233"/>
    </row>
    <row r="1207" spans="1:135" ht="31.5" x14ac:dyDescent="0.25">
      <c r="A1207" s="578" t="s">
        <v>7652</v>
      </c>
      <c r="B1207" s="436">
        <v>16033</v>
      </c>
      <c r="C1207" s="167" t="s">
        <v>6526</v>
      </c>
      <c r="D1207" s="571" t="s">
        <v>6527</v>
      </c>
      <c r="E1207" s="28" t="s">
        <v>25</v>
      </c>
      <c r="F1207" s="20" t="s">
        <v>6528</v>
      </c>
      <c r="G1207" s="15" t="s">
        <v>3745</v>
      </c>
      <c r="H1207" s="17" t="s">
        <v>682</v>
      </c>
      <c r="I1207" s="18" t="s">
        <v>135</v>
      </c>
      <c r="J1207" s="18" t="s">
        <v>1618</v>
      </c>
      <c r="K1207" s="33" t="s">
        <v>6529</v>
      </c>
      <c r="L1207" s="25" t="str">
        <f>"RUTL-"&amp;RIGHT(K1207,8)</f>
        <v>RUTL-PC00V9QJ</v>
      </c>
      <c r="M1207" s="34" t="s">
        <v>40</v>
      </c>
      <c r="N1207" s="23" t="s">
        <v>87</v>
      </c>
      <c r="O1207" s="23" t="s">
        <v>2568</v>
      </c>
      <c r="P1207" s="63" t="s">
        <v>90</v>
      </c>
      <c r="Q1207" s="63" t="s">
        <v>146</v>
      </c>
      <c r="R1207" s="15" t="s">
        <v>56</v>
      </c>
      <c r="S1207" s="37" t="s">
        <v>57</v>
      </c>
      <c r="T1207" s="87" t="s">
        <v>273</v>
      </c>
      <c r="U1207" s="39" t="s">
        <v>3990</v>
      </c>
      <c r="V1207" s="48"/>
      <c r="W1207" s="2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3"/>
      <c r="AX1207" s="13"/>
      <c r="AY1207" s="13"/>
      <c r="AZ1207" s="13"/>
      <c r="BA1207" s="13"/>
      <c r="BB1207" s="13"/>
      <c r="BC1207" s="13"/>
      <c r="BD1207" s="13"/>
      <c r="BE1207" s="13"/>
      <c r="BF1207" s="13"/>
      <c r="BG1207" s="13"/>
      <c r="BH1207" s="13"/>
      <c r="BI1207" s="13"/>
      <c r="BJ1207" s="13"/>
      <c r="BK1207" s="13"/>
      <c r="BL1207" s="13"/>
      <c r="BM1207" s="13"/>
      <c r="BN1207" s="13"/>
      <c r="BO1207" s="13"/>
      <c r="BP1207" s="13"/>
      <c r="BQ1207" s="13"/>
      <c r="BR1207" s="13"/>
      <c r="BS1207" s="13"/>
      <c r="BT1207" s="13"/>
      <c r="BU1207" s="13"/>
      <c r="BV1207" s="13"/>
      <c r="BW1207" s="13"/>
      <c r="BX1207" s="13"/>
      <c r="BY1207" s="13"/>
      <c r="BZ1207" s="13"/>
      <c r="CA1207" s="13"/>
      <c r="CB1207" s="13"/>
      <c r="CC1207" s="13"/>
      <c r="CD1207" s="13"/>
      <c r="CE1207" s="13"/>
      <c r="CF1207" s="13"/>
      <c r="CG1207" s="13"/>
      <c r="CH1207" s="13"/>
      <c r="CI1207" s="13"/>
      <c r="CJ1207" s="13"/>
      <c r="CK1207" s="13"/>
      <c r="CL1207" s="13"/>
      <c r="CM1207" s="13"/>
      <c r="CN1207" s="13"/>
      <c r="CO1207" s="13"/>
      <c r="CP1207" s="13"/>
      <c r="CQ1207" s="13"/>
      <c r="CR1207" s="13"/>
      <c r="CS1207" s="13"/>
      <c r="CT1207" s="13"/>
      <c r="CU1207" s="13"/>
      <c r="CV1207" s="13"/>
      <c r="CW1207" s="13"/>
      <c r="CX1207" s="13"/>
      <c r="CY1207" s="13"/>
      <c r="CZ1207" s="13"/>
      <c r="DA1207" s="13"/>
      <c r="DB1207" s="13"/>
      <c r="DC1207" s="13"/>
      <c r="DD1207" s="13"/>
      <c r="DE1207" s="13"/>
      <c r="DF1207" s="13"/>
      <c r="DG1207" s="13"/>
      <c r="DH1207" s="13"/>
      <c r="DI1207" s="13"/>
      <c r="DJ1207" s="13"/>
      <c r="DK1207" s="13"/>
      <c r="DL1207" s="13"/>
      <c r="DM1207" s="13"/>
      <c r="DN1207" s="13"/>
      <c r="DO1207" s="13"/>
      <c r="DP1207" s="13"/>
      <c r="DQ1207" s="13"/>
      <c r="DR1207" s="13"/>
      <c r="DS1207" s="13"/>
      <c r="DT1207" s="13"/>
      <c r="DU1207" s="13"/>
      <c r="DV1207" s="13"/>
      <c r="DW1207" s="13"/>
      <c r="DX1207" s="13"/>
      <c r="DY1207" s="13"/>
      <c r="DZ1207" s="13"/>
      <c r="EA1207" s="13"/>
      <c r="EB1207" s="13"/>
      <c r="EC1207" s="13"/>
      <c r="ED1207" s="13"/>
      <c r="EE1207" s="13"/>
    </row>
    <row r="1208" spans="1:135" ht="27.75" customHeight="1" thickBot="1" x14ac:dyDescent="0.3">
      <c r="A1208" s="578" t="s">
        <v>7652</v>
      </c>
      <c r="B1208" s="453" t="s">
        <v>2295</v>
      </c>
      <c r="C1208" s="72" t="s">
        <v>2297</v>
      </c>
      <c r="D1208" s="571" t="s">
        <v>24</v>
      </c>
      <c r="E1208" s="11" t="s">
        <v>25</v>
      </c>
      <c r="F1208" s="12" t="s">
        <v>2299</v>
      </c>
      <c r="G1208" s="15" t="s">
        <v>2300</v>
      </c>
      <c r="H1208" s="17" t="s">
        <v>470</v>
      </c>
      <c r="I1208" s="54" t="s">
        <v>135</v>
      </c>
      <c r="J1208" s="18" t="s">
        <v>757</v>
      </c>
      <c r="K1208" s="23" t="s">
        <v>2304</v>
      </c>
      <c r="L1208" s="21" t="str">
        <f>"RUTL-"&amp;RIGHT(K1208,8)</f>
        <v>RUTL-PF1LY4VK</v>
      </c>
      <c r="M1208" s="34" t="s">
        <v>40</v>
      </c>
      <c r="N1208" s="23" t="s">
        <v>54</v>
      </c>
      <c r="O1208" s="23"/>
      <c r="P1208" s="39" t="s">
        <v>90</v>
      </c>
      <c r="Q1208" s="63" t="s">
        <v>2305</v>
      </c>
      <c r="R1208" s="15" t="s">
        <v>56</v>
      </c>
      <c r="S1208" s="37" t="s">
        <v>57</v>
      </c>
      <c r="T1208" s="107" t="s">
        <v>453</v>
      </c>
      <c r="U1208" s="39" t="s">
        <v>2306</v>
      </c>
      <c r="V1208" s="23"/>
      <c r="W1208" s="23"/>
      <c r="X1208" s="6"/>
      <c r="Y1208" s="6"/>
      <c r="Z1208" s="6"/>
      <c r="AA1208" s="6"/>
      <c r="AB1208" s="6"/>
      <c r="AC1208" s="6"/>
      <c r="AD1208" s="6"/>
      <c r="AE1208" s="6"/>
      <c r="AF1208" s="6"/>
      <c r="AG1208" s="6"/>
      <c r="AH1208" s="6"/>
      <c r="AI1208" s="6"/>
      <c r="AJ1208" s="6"/>
      <c r="AK1208" s="6"/>
      <c r="AL1208" s="6"/>
      <c r="AM1208" s="6"/>
      <c r="AN1208" s="6"/>
      <c r="AO1208" s="6"/>
      <c r="AP1208" s="6"/>
      <c r="AQ1208" s="6"/>
      <c r="AR1208" s="6"/>
      <c r="AS1208" s="6"/>
      <c r="AT1208" s="6"/>
      <c r="AU1208" s="6"/>
      <c r="AV1208" s="6"/>
      <c r="AW1208" s="6"/>
      <c r="AX1208" s="6"/>
      <c r="AY1208" s="6"/>
      <c r="AZ1208" s="6"/>
      <c r="BA1208" s="6"/>
      <c r="BB1208" s="6"/>
      <c r="BC1208" s="6"/>
      <c r="BD1208" s="6"/>
      <c r="BE1208" s="6"/>
      <c r="BF1208" s="6"/>
      <c r="BG1208" s="6"/>
      <c r="BH1208" s="6"/>
      <c r="BI1208" s="6"/>
      <c r="BJ1208" s="6"/>
      <c r="BK1208" s="6"/>
      <c r="BL1208" s="6"/>
      <c r="BM1208" s="6"/>
      <c r="BN1208" s="6"/>
      <c r="BO1208" s="6"/>
      <c r="BP1208" s="6"/>
      <c r="BQ1208" s="6"/>
      <c r="BR1208" s="6"/>
      <c r="BS1208" s="6"/>
      <c r="BT1208" s="6"/>
      <c r="BU1208" s="6"/>
      <c r="BV1208" s="6"/>
      <c r="BW1208" s="6"/>
      <c r="BX1208" s="6"/>
      <c r="BY1208" s="6"/>
      <c r="BZ1208" s="6"/>
      <c r="CA1208" s="6"/>
      <c r="CB1208" s="6"/>
      <c r="CC1208" s="6"/>
      <c r="CD1208" s="6"/>
      <c r="CE1208" s="6"/>
      <c r="CF1208" s="6"/>
      <c r="CG1208" s="6"/>
      <c r="CH1208" s="6"/>
      <c r="CI1208" s="6"/>
      <c r="CJ1208" s="6"/>
      <c r="CK1208" s="6"/>
      <c r="CL1208" s="6"/>
      <c r="CM1208" s="6"/>
      <c r="CN1208" s="6"/>
      <c r="CO1208" s="6"/>
      <c r="CP1208" s="6"/>
      <c r="CQ1208" s="6"/>
      <c r="CR1208" s="6"/>
      <c r="CS1208" s="6"/>
      <c r="CT1208" s="6"/>
      <c r="CU1208" s="6"/>
      <c r="CV1208" s="6"/>
      <c r="CW1208" s="6"/>
      <c r="CX1208" s="6"/>
      <c r="CY1208" s="6"/>
      <c r="CZ1208" s="6"/>
      <c r="DA1208" s="6"/>
      <c r="DB1208" s="6"/>
      <c r="DC1208" s="6"/>
      <c r="DD1208" s="6"/>
      <c r="DE1208" s="6"/>
      <c r="DF1208" s="6"/>
      <c r="DG1208" s="6"/>
      <c r="DH1208" s="6"/>
      <c r="DI1208" s="6"/>
      <c r="DJ1208" s="6"/>
      <c r="DK1208" s="6"/>
      <c r="DL1208" s="6"/>
      <c r="DM1208" s="6"/>
      <c r="DN1208" s="6"/>
      <c r="DO1208" s="6"/>
      <c r="DP1208" s="6"/>
      <c r="DQ1208" s="6"/>
      <c r="DR1208" s="6"/>
      <c r="DS1208" s="6"/>
      <c r="DT1208" s="6"/>
      <c r="DU1208" s="6"/>
      <c r="DV1208" s="6"/>
      <c r="DW1208" s="6"/>
      <c r="DX1208" s="6"/>
      <c r="DY1208" s="6"/>
      <c r="DZ1208" s="6"/>
      <c r="EA1208" s="6"/>
      <c r="EB1208" s="6"/>
      <c r="EC1208" s="6"/>
      <c r="ED1208" s="6"/>
      <c r="EE1208" s="6"/>
    </row>
    <row r="1209" spans="1:135" ht="27.75" customHeight="1" thickBot="1" x14ac:dyDescent="0.3">
      <c r="A1209" s="578" t="s">
        <v>103</v>
      </c>
      <c r="B1209" s="436">
        <v>18925</v>
      </c>
      <c r="C1209" s="72" t="s">
        <v>7523</v>
      </c>
      <c r="D1209" s="140" t="s">
        <v>24</v>
      </c>
      <c r="E1209" s="28" t="s">
        <v>25</v>
      </c>
      <c r="F1209" s="20" t="s">
        <v>7524</v>
      </c>
      <c r="G1209" s="152" t="s">
        <v>3227</v>
      </c>
      <c r="H1209" s="156" t="s">
        <v>504</v>
      </c>
      <c r="I1209" s="54" t="s">
        <v>48</v>
      </c>
      <c r="J1209" s="18" t="s">
        <v>49</v>
      </c>
      <c r="K1209" s="61" t="s">
        <v>7525</v>
      </c>
      <c r="L1209" s="25" t="str">
        <f>"RUTL-"&amp;RIGHT(K1209,8)</f>
        <v>RUTL-1CF36N02</v>
      </c>
      <c r="M1209" s="240" t="s">
        <v>40</v>
      </c>
      <c r="N1209" s="23" t="s">
        <v>54</v>
      </c>
      <c r="O1209" s="23"/>
      <c r="P1209" s="45" t="s">
        <v>46</v>
      </c>
      <c r="Q1209" s="35" t="s">
        <v>7526</v>
      </c>
      <c r="R1209" s="46" t="s">
        <v>56</v>
      </c>
      <c r="S1209" s="146" t="s">
        <v>57</v>
      </c>
      <c r="T1209" s="350" t="s">
        <v>96</v>
      </c>
      <c r="U1209" s="23" t="s">
        <v>7527</v>
      </c>
      <c r="V1209" s="82"/>
      <c r="W1209" s="23" t="s">
        <v>99</v>
      </c>
      <c r="X1209" s="6"/>
      <c r="Y1209" s="6"/>
      <c r="Z1209" s="6"/>
      <c r="AA1209" s="6"/>
      <c r="AB1209" s="6"/>
      <c r="AC1209" s="6"/>
      <c r="AD1209" s="6"/>
      <c r="AE1209" s="6"/>
      <c r="AF1209" s="6"/>
      <c r="AG1209" s="6"/>
      <c r="AH1209" s="6"/>
      <c r="AI1209" s="6"/>
      <c r="AJ1209" s="6"/>
      <c r="AK1209" s="6"/>
      <c r="AL1209" s="6"/>
      <c r="AM1209" s="6"/>
      <c r="AN1209" s="6"/>
      <c r="AO1209" s="6"/>
      <c r="AP1209" s="6"/>
      <c r="AQ1209" s="6"/>
      <c r="AR1209" s="6"/>
      <c r="AS1209" s="6"/>
      <c r="AT1209" s="6"/>
      <c r="AU1209" s="6"/>
      <c r="AV1209" s="6"/>
      <c r="AW1209" s="6"/>
      <c r="AX1209" s="6"/>
      <c r="AY1209" s="6"/>
      <c r="AZ1209" s="6"/>
      <c r="BA1209" s="6"/>
      <c r="BB1209" s="6"/>
      <c r="BC1209" s="6"/>
      <c r="BD1209" s="6"/>
      <c r="BE1209" s="6"/>
      <c r="BF1209" s="6"/>
      <c r="BG1209" s="6"/>
      <c r="BH1209" s="6"/>
      <c r="BI1209" s="6"/>
      <c r="BJ1209" s="6"/>
      <c r="BK1209" s="6"/>
      <c r="BL1209" s="6"/>
      <c r="BM1209" s="6"/>
      <c r="BN1209" s="6"/>
      <c r="BO1209" s="6"/>
      <c r="BP1209" s="6"/>
      <c r="BQ1209" s="6"/>
      <c r="BR1209" s="6"/>
      <c r="BS1209" s="6"/>
      <c r="BT1209" s="6"/>
      <c r="BU1209" s="6"/>
      <c r="BV1209" s="6"/>
      <c r="BW1209" s="6"/>
      <c r="BX1209" s="6"/>
      <c r="BY1209" s="6"/>
      <c r="BZ1209" s="6"/>
      <c r="CA1209" s="6"/>
      <c r="CB1209" s="6"/>
      <c r="CC1209" s="6"/>
      <c r="CD1209" s="6"/>
      <c r="CE1209" s="6"/>
      <c r="CF1209" s="6"/>
      <c r="CG1209" s="6"/>
      <c r="CH1209" s="6"/>
      <c r="CI1209" s="6"/>
      <c r="CJ1209" s="6"/>
      <c r="CK1209" s="6"/>
      <c r="CL1209" s="6"/>
      <c r="CM1209" s="6"/>
      <c r="CN1209" s="6"/>
      <c r="CO1209" s="6"/>
      <c r="CP1209" s="6"/>
      <c r="CQ1209" s="6"/>
      <c r="CR1209" s="6"/>
      <c r="CS1209" s="6"/>
      <c r="CT1209" s="6"/>
      <c r="CU1209" s="6"/>
      <c r="CV1209" s="6"/>
      <c r="CW1209" s="6"/>
      <c r="CX1209" s="6"/>
      <c r="CY1209" s="6"/>
      <c r="CZ1209" s="6"/>
      <c r="DA1209" s="6"/>
      <c r="DB1209" s="6"/>
      <c r="DC1209" s="6"/>
      <c r="DD1209" s="6"/>
      <c r="DE1209" s="6"/>
      <c r="DF1209" s="6"/>
      <c r="DG1209" s="6"/>
      <c r="DH1209" s="6"/>
      <c r="DI1209" s="6"/>
      <c r="DJ1209" s="6"/>
      <c r="DK1209" s="6"/>
      <c r="DL1209" s="6"/>
      <c r="DM1209" s="6"/>
      <c r="DN1209" s="6"/>
      <c r="DO1209" s="6"/>
      <c r="DP1209" s="6"/>
      <c r="DQ1209" s="6"/>
      <c r="DR1209" s="6"/>
      <c r="DS1209" s="6"/>
      <c r="DT1209" s="6"/>
      <c r="DU1209" s="6"/>
      <c r="DV1209" s="6"/>
      <c r="DW1209" s="6"/>
      <c r="DX1209" s="6"/>
      <c r="DY1209" s="6"/>
      <c r="DZ1209" s="6"/>
      <c r="EA1209" s="6"/>
      <c r="EB1209" s="6"/>
      <c r="EC1209" s="6"/>
      <c r="ED1209" s="6"/>
      <c r="EE1209" s="6"/>
    </row>
    <row r="1210" spans="1:135" ht="27.75" customHeight="1" thickBot="1" x14ac:dyDescent="0.3">
      <c r="A1210" s="578" t="s">
        <v>103</v>
      </c>
      <c r="B1210" s="445" t="s">
        <v>7545</v>
      </c>
      <c r="C1210" s="199" t="s">
        <v>7605</v>
      </c>
      <c r="D1210" s="10" t="s">
        <v>24</v>
      </c>
      <c r="E1210" s="28" t="s">
        <v>25</v>
      </c>
      <c r="F1210" s="20" t="s">
        <v>7606</v>
      </c>
      <c r="G1210" s="152" t="s">
        <v>889</v>
      </c>
      <c r="H1210" s="17" t="s">
        <v>1846</v>
      </c>
      <c r="I1210" s="205" t="s">
        <v>135</v>
      </c>
      <c r="J1210" s="24" t="s">
        <v>32</v>
      </c>
      <c r="K1210" s="33" t="s">
        <v>7607</v>
      </c>
      <c r="L1210" s="25" t="str">
        <f>"RUTL-"&amp;RIGHT(K1210,8)</f>
        <v>RUTL-PW0K0DZ1</v>
      </c>
      <c r="M1210" s="240" t="s">
        <v>40</v>
      </c>
      <c r="N1210" s="23" t="s">
        <v>54</v>
      </c>
      <c r="O1210" s="98"/>
      <c r="P1210" s="45" t="s">
        <v>46</v>
      </c>
      <c r="Q1210" s="35" t="s">
        <v>7608</v>
      </c>
      <c r="R1210" s="15" t="s">
        <v>56</v>
      </c>
      <c r="S1210" s="146" t="s">
        <v>57</v>
      </c>
      <c r="T1210" s="105" t="s">
        <v>148</v>
      </c>
      <c r="U1210" s="39" t="s">
        <v>7552</v>
      </c>
      <c r="V1210" s="270">
        <v>46122</v>
      </c>
      <c r="W1210" s="32" t="s">
        <v>62</v>
      </c>
      <c r="X1210" s="6"/>
      <c r="Y1210" s="6"/>
      <c r="Z1210" s="6"/>
      <c r="AA1210" s="6"/>
      <c r="AB1210" s="6"/>
      <c r="AC1210" s="6"/>
      <c r="AD1210" s="6"/>
      <c r="AE1210" s="6"/>
      <c r="AF1210" s="6"/>
      <c r="AG1210" s="6"/>
      <c r="AH1210" s="6"/>
      <c r="AI1210" s="6"/>
      <c r="AJ1210" s="6"/>
      <c r="AK1210" s="6"/>
      <c r="AL1210" s="6"/>
      <c r="AM1210" s="6"/>
      <c r="AN1210" s="6"/>
      <c r="AO1210" s="6"/>
      <c r="AP1210" s="6"/>
      <c r="AQ1210" s="6"/>
      <c r="AR1210" s="6"/>
      <c r="AS1210" s="6"/>
      <c r="AT1210" s="6"/>
      <c r="AU1210" s="6"/>
      <c r="AV1210" s="6"/>
      <c r="AW1210" s="6"/>
      <c r="AX1210" s="6"/>
      <c r="AY1210" s="6"/>
      <c r="AZ1210" s="6"/>
      <c r="BA1210" s="6"/>
      <c r="BB1210" s="6"/>
      <c r="BC1210" s="6"/>
      <c r="BD1210" s="6"/>
      <c r="BE1210" s="6"/>
      <c r="BF1210" s="6"/>
      <c r="BG1210" s="6"/>
      <c r="BH1210" s="6"/>
      <c r="BI1210" s="6"/>
      <c r="BJ1210" s="6"/>
      <c r="BK1210" s="6"/>
      <c r="BL1210" s="6"/>
      <c r="BM1210" s="6"/>
      <c r="BN1210" s="6"/>
      <c r="BO1210" s="6"/>
      <c r="BP1210" s="6"/>
      <c r="BQ1210" s="6"/>
      <c r="BR1210" s="6"/>
      <c r="BS1210" s="6"/>
      <c r="BT1210" s="6"/>
      <c r="BU1210" s="6"/>
      <c r="BV1210" s="6"/>
      <c r="BW1210" s="6"/>
      <c r="BX1210" s="6"/>
      <c r="BY1210" s="6"/>
      <c r="BZ1210" s="6"/>
      <c r="CA1210" s="6"/>
      <c r="CB1210" s="6"/>
      <c r="CC1210" s="6"/>
      <c r="CD1210" s="6"/>
      <c r="CE1210" s="6"/>
      <c r="CF1210" s="6"/>
      <c r="CG1210" s="6"/>
      <c r="CH1210" s="6"/>
      <c r="CI1210" s="6"/>
      <c r="CJ1210" s="6"/>
      <c r="CK1210" s="6"/>
      <c r="CL1210" s="6"/>
      <c r="CM1210" s="6"/>
      <c r="CN1210" s="6"/>
      <c r="CO1210" s="6"/>
      <c r="CP1210" s="6"/>
      <c r="CQ1210" s="6"/>
      <c r="CR1210" s="6"/>
      <c r="CS1210" s="6"/>
      <c r="CT1210" s="6"/>
      <c r="CU1210" s="6"/>
      <c r="CV1210" s="6"/>
      <c r="CW1210" s="6"/>
      <c r="CX1210" s="6"/>
      <c r="CY1210" s="6"/>
      <c r="CZ1210" s="6"/>
      <c r="DA1210" s="6"/>
      <c r="DB1210" s="6"/>
      <c r="DC1210" s="6"/>
      <c r="DD1210" s="6"/>
      <c r="DE1210" s="6"/>
      <c r="DF1210" s="6"/>
      <c r="DG1210" s="6"/>
      <c r="DH1210" s="6"/>
      <c r="DI1210" s="6"/>
      <c r="DJ1210" s="6"/>
      <c r="DK1210" s="6"/>
      <c r="DL1210" s="6"/>
      <c r="DM1210" s="6"/>
      <c r="DN1210" s="6"/>
      <c r="DO1210" s="6"/>
      <c r="DP1210" s="6"/>
      <c r="DQ1210" s="6"/>
      <c r="DR1210" s="6"/>
      <c r="DS1210" s="6"/>
      <c r="DT1210" s="6"/>
      <c r="DU1210" s="6"/>
      <c r="DV1210" s="6"/>
      <c r="DW1210" s="6"/>
      <c r="DX1210" s="6"/>
      <c r="DY1210" s="6"/>
      <c r="DZ1210" s="6"/>
      <c r="EA1210" s="6"/>
      <c r="EB1210" s="6"/>
      <c r="EC1210" s="6"/>
      <c r="ED1210" s="6"/>
      <c r="EE1210" s="6"/>
    </row>
    <row r="1211" spans="1:135" ht="27.75" customHeight="1" thickBot="1" x14ac:dyDescent="0.3">
      <c r="A1211" s="578" t="s">
        <v>103</v>
      </c>
      <c r="B1211" s="139" t="s">
        <v>68</v>
      </c>
      <c r="C1211" s="56" t="s">
        <v>69</v>
      </c>
      <c r="D1211" s="10" t="s">
        <v>24</v>
      </c>
      <c r="E1211" s="28" t="s">
        <v>25</v>
      </c>
      <c r="F1211" s="62"/>
      <c r="G1211" s="474"/>
      <c r="H1211" s="102" t="s">
        <v>97</v>
      </c>
      <c r="I1211" s="54" t="s">
        <v>100</v>
      </c>
      <c r="J1211" s="18" t="s">
        <v>102</v>
      </c>
      <c r="K1211" s="33" t="s">
        <v>106</v>
      </c>
      <c r="L1211" s="25" t="str">
        <f>"RUTL-"&amp;RIGHT(K1211,8)</f>
        <v>RUTL-K0127433</v>
      </c>
      <c r="M1211" s="208"/>
      <c r="N1211" s="23"/>
      <c r="O1211" s="23"/>
      <c r="P1211" s="45" t="s">
        <v>46</v>
      </c>
      <c r="Q1211" s="39"/>
      <c r="R1211" s="46" t="s">
        <v>56</v>
      </c>
      <c r="S1211" s="146"/>
      <c r="T1211" s="64"/>
      <c r="U1211" s="23"/>
      <c r="V1211" s="82">
        <v>46010</v>
      </c>
      <c r="W1211" s="23"/>
      <c r="X1211" s="6"/>
      <c r="Y1211" s="6"/>
      <c r="Z1211" s="6"/>
      <c r="AA1211" s="6"/>
      <c r="AB1211" s="6"/>
      <c r="AC1211" s="6"/>
      <c r="AD1211" s="6"/>
      <c r="AE1211" s="6"/>
      <c r="AF1211" s="6"/>
      <c r="AG1211" s="6"/>
      <c r="AH1211" s="6"/>
      <c r="AI1211" s="6"/>
      <c r="AJ1211" s="6"/>
      <c r="AK1211" s="6"/>
      <c r="AL1211" s="6"/>
      <c r="AM1211" s="6"/>
      <c r="AN1211" s="6"/>
      <c r="AO1211" s="6"/>
      <c r="AP1211" s="6"/>
      <c r="AQ1211" s="6"/>
      <c r="AR1211" s="6"/>
      <c r="AS1211" s="6"/>
      <c r="AT1211" s="6"/>
      <c r="AU1211" s="6"/>
      <c r="AV1211" s="6"/>
      <c r="AW1211" s="6"/>
      <c r="AX1211" s="6"/>
      <c r="AY1211" s="6"/>
      <c r="AZ1211" s="6"/>
      <c r="BA1211" s="6"/>
      <c r="BB1211" s="6"/>
      <c r="BC1211" s="6"/>
      <c r="BD1211" s="6"/>
      <c r="BE1211" s="6"/>
      <c r="BF1211" s="6"/>
      <c r="BG1211" s="6"/>
      <c r="BH1211" s="6"/>
      <c r="BI1211" s="6"/>
      <c r="BJ1211" s="6"/>
      <c r="BK1211" s="6"/>
      <c r="BL1211" s="6"/>
      <c r="BM1211" s="6"/>
      <c r="BN1211" s="6"/>
      <c r="BO1211" s="6"/>
      <c r="BP1211" s="6"/>
      <c r="BQ1211" s="6"/>
      <c r="BR1211" s="6"/>
      <c r="BS1211" s="6"/>
      <c r="BT1211" s="6"/>
      <c r="BU1211" s="6"/>
      <c r="BV1211" s="6"/>
      <c r="BW1211" s="6"/>
      <c r="BX1211" s="6"/>
      <c r="BY1211" s="6"/>
      <c r="BZ1211" s="6"/>
      <c r="CA1211" s="6"/>
      <c r="CB1211" s="6"/>
      <c r="CC1211" s="6"/>
      <c r="CD1211" s="6"/>
      <c r="CE1211" s="6"/>
      <c r="CF1211" s="6"/>
      <c r="CG1211" s="6"/>
      <c r="CH1211" s="6"/>
      <c r="CI1211" s="6"/>
      <c r="CJ1211" s="6"/>
      <c r="CK1211" s="6"/>
      <c r="CL1211" s="6"/>
      <c r="CM1211" s="6"/>
      <c r="CN1211" s="6"/>
      <c r="CO1211" s="6"/>
      <c r="CP1211" s="6"/>
      <c r="CQ1211" s="6"/>
      <c r="CR1211" s="6"/>
      <c r="CS1211" s="6"/>
      <c r="CT1211" s="6"/>
      <c r="CU1211" s="6"/>
      <c r="CV1211" s="6"/>
      <c r="CW1211" s="6"/>
      <c r="CX1211" s="6"/>
      <c r="CY1211" s="6"/>
      <c r="CZ1211" s="6"/>
      <c r="DA1211" s="6"/>
      <c r="DB1211" s="6"/>
      <c r="DC1211" s="6"/>
      <c r="DD1211" s="6"/>
      <c r="DE1211" s="6"/>
      <c r="DF1211" s="6"/>
      <c r="DG1211" s="6"/>
      <c r="DH1211" s="6"/>
      <c r="DI1211" s="6"/>
      <c r="DJ1211" s="6"/>
      <c r="DK1211" s="6"/>
      <c r="DL1211" s="6"/>
      <c r="DM1211" s="6"/>
      <c r="DN1211" s="6"/>
      <c r="DO1211" s="6"/>
      <c r="DP1211" s="6"/>
      <c r="DQ1211" s="6"/>
      <c r="DR1211" s="6"/>
      <c r="DS1211" s="6"/>
      <c r="DT1211" s="6"/>
      <c r="DU1211" s="6"/>
      <c r="DV1211" s="6"/>
      <c r="DW1211" s="6"/>
      <c r="DX1211" s="6"/>
      <c r="DY1211" s="6"/>
      <c r="DZ1211" s="6"/>
      <c r="EA1211" s="6"/>
      <c r="EB1211" s="6"/>
      <c r="EC1211" s="6"/>
      <c r="ED1211" s="6"/>
      <c r="EE1211" s="6"/>
    </row>
    <row r="1212" spans="1:135" ht="27.75" customHeight="1" thickBot="1" x14ac:dyDescent="0.3">
      <c r="A1212" s="578" t="s">
        <v>103</v>
      </c>
      <c r="B1212" s="139" t="s">
        <v>129</v>
      </c>
      <c r="C1212" s="56" t="s">
        <v>69</v>
      </c>
      <c r="D1212" s="10" t="s">
        <v>24</v>
      </c>
      <c r="E1212" s="28" t="s">
        <v>25</v>
      </c>
      <c r="F1212" s="469"/>
      <c r="G1212" s="474"/>
      <c r="H1212" s="102" t="s">
        <v>97</v>
      </c>
      <c r="I1212" s="54" t="s">
        <v>100</v>
      </c>
      <c r="J1212" s="18" t="s">
        <v>102</v>
      </c>
      <c r="K1212" s="33" t="s">
        <v>137</v>
      </c>
      <c r="L1212" s="25" t="str">
        <f>"RUTL-"&amp;RIGHT(K1212,8)</f>
        <v>RUTL-K0127436</v>
      </c>
      <c r="M1212" s="208"/>
      <c r="N1212" s="23"/>
      <c r="O1212" s="23"/>
      <c r="P1212" s="45" t="s">
        <v>46</v>
      </c>
      <c r="Q1212" s="39"/>
      <c r="R1212" s="46" t="s">
        <v>56</v>
      </c>
      <c r="S1212" s="146"/>
      <c r="T1212" s="64"/>
      <c r="U1212" s="23"/>
      <c r="V1212" s="82">
        <v>46010</v>
      </c>
      <c r="W1212" s="23"/>
      <c r="X1212" s="6"/>
      <c r="Y1212" s="6"/>
      <c r="Z1212" s="6"/>
      <c r="AA1212" s="6"/>
      <c r="AB1212" s="6"/>
      <c r="AC1212" s="6"/>
      <c r="AD1212" s="6"/>
      <c r="AE1212" s="6"/>
      <c r="AF1212" s="6"/>
      <c r="AG1212" s="6"/>
      <c r="AH1212" s="6"/>
      <c r="AI1212" s="6"/>
      <c r="AJ1212" s="6"/>
      <c r="AK1212" s="6"/>
      <c r="AL1212" s="6"/>
      <c r="AM1212" s="6"/>
      <c r="AN1212" s="6"/>
      <c r="AO1212" s="6"/>
      <c r="AP1212" s="6"/>
      <c r="AQ1212" s="6"/>
      <c r="AR1212" s="6"/>
      <c r="AS1212" s="6"/>
      <c r="AT1212" s="6"/>
      <c r="AU1212" s="6"/>
      <c r="AV1212" s="6"/>
      <c r="AW1212" s="6"/>
      <c r="AX1212" s="6"/>
      <c r="AY1212" s="6"/>
      <c r="AZ1212" s="6"/>
      <c r="BA1212" s="6"/>
      <c r="BB1212" s="6"/>
      <c r="BC1212" s="6"/>
      <c r="BD1212" s="6"/>
      <c r="BE1212" s="6"/>
      <c r="BF1212" s="6"/>
      <c r="BG1212" s="6"/>
      <c r="BH1212" s="6"/>
      <c r="BI1212" s="6"/>
      <c r="BJ1212" s="6"/>
      <c r="BK1212" s="6"/>
      <c r="BL1212" s="6"/>
      <c r="BM1212" s="6"/>
      <c r="BN1212" s="6"/>
      <c r="BO1212" s="6"/>
      <c r="BP1212" s="6"/>
      <c r="BQ1212" s="6"/>
      <c r="BR1212" s="6"/>
      <c r="BS1212" s="6"/>
      <c r="BT1212" s="6"/>
      <c r="BU1212" s="6"/>
      <c r="BV1212" s="6"/>
      <c r="BW1212" s="6"/>
      <c r="BX1212" s="6"/>
      <c r="BY1212" s="6"/>
      <c r="BZ1212" s="6"/>
      <c r="CA1212" s="6"/>
      <c r="CB1212" s="6"/>
      <c r="CC1212" s="6"/>
      <c r="CD1212" s="6"/>
      <c r="CE1212" s="6"/>
      <c r="CF1212" s="6"/>
      <c r="CG1212" s="6"/>
      <c r="CH1212" s="6"/>
      <c r="CI1212" s="6"/>
      <c r="CJ1212" s="6"/>
      <c r="CK1212" s="6"/>
      <c r="CL1212" s="6"/>
      <c r="CM1212" s="6"/>
      <c r="CN1212" s="6"/>
      <c r="CO1212" s="6"/>
      <c r="CP1212" s="6"/>
      <c r="CQ1212" s="6"/>
      <c r="CR1212" s="6"/>
      <c r="CS1212" s="6"/>
      <c r="CT1212" s="6"/>
      <c r="CU1212" s="6"/>
      <c r="CV1212" s="6"/>
      <c r="CW1212" s="6"/>
      <c r="CX1212" s="6"/>
      <c r="CY1212" s="6"/>
      <c r="CZ1212" s="6"/>
      <c r="DA1212" s="6"/>
      <c r="DB1212" s="6"/>
      <c r="DC1212" s="6"/>
      <c r="DD1212" s="6"/>
      <c r="DE1212" s="6"/>
      <c r="DF1212" s="6"/>
      <c r="DG1212" s="6"/>
      <c r="DH1212" s="6"/>
      <c r="DI1212" s="6"/>
      <c r="DJ1212" s="6"/>
      <c r="DK1212" s="6"/>
      <c r="DL1212" s="6"/>
      <c r="DM1212" s="6"/>
      <c r="DN1212" s="6"/>
      <c r="DO1212" s="6"/>
      <c r="DP1212" s="6"/>
      <c r="DQ1212" s="6"/>
      <c r="DR1212" s="6"/>
      <c r="DS1212" s="6"/>
      <c r="DT1212" s="6"/>
      <c r="DU1212" s="6"/>
      <c r="DV1212" s="6"/>
      <c r="DW1212" s="6"/>
      <c r="DX1212" s="6"/>
      <c r="DY1212" s="6"/>
      <c r="DZ1212" s="6"/>
      <c r="EA1212" s="6"/>
      <c r="EB1212" s="6"/>
      <c r="EC1212" s="6"/>
      <c r="ED1212" s="6"/>
      <c r="EE1212" s="6"/>
    </row>
    <row r="1213" spans="1:135" ht="27.75" customHeight="1" thickBot="1" x14ac:dyDescent="0.3">
      <c r="A1213" s="578" t="s">
        <v>103</v>
      </c>
      <c r="B1213" s="139" t="s">
        <v>147</v>
      </c>
      <c r="C1213" s="56" t="s">
        <v>69</v>
      </c>
      <c r="D1213" s="10" t="s">
        <v>24</v>
      </c>
      <c r="E1213" s="28" t="s">
        <v>25</v>
      </c>
      <c r="F1213" s="62"/>
      <c r="G1213" s="474"/>
      <c r="H1213" s="102" t="s">
        <v>97</v>
      </c>
      <c r="I1213" s="54" t="s">
        <v>100</v>
      </c>
      <c r="J1213" s="18" t="s">
        <v>102</v>
      </c>
      <c r="K1213" s="33" t="s">
        <v>152</v>
      </c>
      <c r="L1213" s="25" t="str">
        <f>"RUTL-"&amp;RIGHT(K1213,8)</f>
        <v>RUTL-K0127437</v>
      </c>
      <c r="M1213" s="208"/>
      <c r="N1213" s="23"/>
      <c r="O1213" s="23"/>
      <c r="P1213" s="45" t="s">
        <v>46</v>
      </c>
      <c r="Q1213" s="39"/>
      <c r="R1213" s="46" t="s">
        <v>56</v>
      </c>
      <c r="S1213" s="146"/>
      <c r="T1213" s="64"/>
      <c r="U1213" s="23"/>
      <c r="V1213" s="82">
        <v>46010</v>
      </c>
      <c r="W1213" s="23"/>
      <c r="X1213" s="6"/>
      <c r="Y1213" s="6"/>
      <c r="Z1213" s="6"/>
      <c r="AA1213" s="6"/>
      <c r="AB1213" s="6"/>
      <c r="AC1213" s="6"/>
      <c r="AD1213" s="6"/>
      <c r="AE1213" s="6"/>
      <c r="AF1213" s="6"/>
      <c r="AG1213" s="6"/>
      <c r="AH1213" s="6"/>
      <c r="AI1213" s="6"/>
      <c r="AJ1213" s="6"/>
      <c r="AK1213" s="6"/>
      <c r="AL1213" s="6"/>
      <c r="AM1213" s="6"/>
      <c r="AN1213" s="6"/>
      <c r="AO1213" s="6"/>
      <c r="AP1213" s="6"/>
      <c r="AQ1213" s="6"/>
      <c r="AR1213" s="6"/>
      <c r="AS1213" s="6"/>
      <c r="AT1213" s="6"/>
      <c r="AU1213" s="6"/>
      <c r="AV1213" s="6"/>
      <c r="AW1213" s="6"/>
      <c r="AX1213" s="6"/>
      <c r="AY1213" s="6"/>
      <c r="AZ1213" s="6"/>
      <c r="BA1213" s="6"/>
      <c r="BB1213" s="6"/>
      <c r="BC1213" s="6"/>
      <c r="BD1213" s="6"/>
      <c r="BE1213" s="6"/>
      <c r="BF1213" s="6"/>
      <c r="BG1213" s="6"/>
      <c r="BH1213" s="6"/>
      <c r="BI1213" s="6"/>
      <c r="BJ1213" s="6"/>
      <c r="BK1213" s="6"/>
      <c r="BL1213" s="6"/>
      <c r="BM1213" s="6"/>
      <c r="BN1213" s="6"/>
      <c r="BO1213" s="6"/>
      <c r="BP1213" s="6"/>
      <c r="BQ1213" s="6"/>
      <c r="BR1213" s="6"/>
      <c r="BS1213" s="6"/>
      <c r="BT1213" s="6"/>
      <c r="BU1213" s="6"/>
      <c r="BV1213" s="6"/>
      <c r="BW1213" s="6"/>
      <c r="BX1213" s="6"/>
      <c r="BY1213" s="6"/>
      <c r="BZ1213" s="6"/>
      <c r="CA1213" s="6"/>
      <c r="CB1213" s="6"/>
      <c r="CC1213" s="6"/>
      <c r="CD1213" s="6"/>
      <c r="CE1213" s="6"/>
      <c r="CF1213" s="6"/>
      <c r="CG1213" s="6"/>
      <c r="CH1213" s="6"/>
      <c r="CI1213" s="6"/>
      <c r="CJ1213" s="6"/>
      <c r="CK1213" s="6"/>
      <c r="CL1213" s="6"/>
      <c r="CM1213" s="6"/>
      <c r="CN1213" s="6"/>
      <c r="CO1213" s="6"/>
      <c r="CP1213" s="6"/>
      <c r="CQ1213" s="6"/>
      <c r="CR1213" s="6"/>
      <c r="CS1213" s="6"/>
      <c r="CT1213" s="6"/>
      <c r="CU1213" s="6"/>
      <c r="CV1213" s="6"/>
      <c r="CW1213" s="6"/>
      <c r="CX1213" s="6"/>
      <c r="CY1213" s="6"/>
      <c r="CZ1213" s="6"/>
      <c r="DA1213" s="6"/>
      <c r="DB1213" s="6"/>
      <c r="DC1213" s="6"/>
      <c r="DD1213" s="6"/>
      <c r="DE1213" s="6"/>
      <c r="DF1213" s="6"/>
      <c r="DG1213" s="6"/>
      <c r="DH1213" s="6"/>
      <c r="DI1213" s="6"/>
      <c r="DJ1213" s="6"/>
      <c r="DK1213" s="6"/>
      <c r="DL1213" s="6"/>
      <c r="DM1213" s="6"/>
      <c r="DN1213" s="6"/>
      <c r="DO1213" s="6"/>
      <c r="DP1213" s="6"/>
      <c r="DQ1213" s="6"/>
      <c r="DR1213" s="6"/>
      <c r="DS1213" s="6"/>
      <c r="DT1213" s="6"/>
      <c r="DU1213" s="6"/>
      <c r="DV1213" s="6"/>
      <c r="DW1213" s="6"/>
      <c r="DX1213" s="6"/>
      <c r="DY1213" s="6"/>
      <c r="DZ1213" s="6"/>
      <c r="EA1213" s="6"/>
      <c r="EB1213" s="6"/>
      <c r="EC1213" s="6"/>
      <c r="ED1213" s="6"/>
      <c r="EE1213" s="6"/>
    </row>
    <row r="1214" spans="1:135" ht="27.75" customHeight="1" thickBot="1" x14ac:dyDescent="0.3">
      <c r="A1214" s="578" t="s">
        <v>103</v>
      </c>
      <c r="B1214" s="139" t="s">
        <v>161</v>
      </c>
      <c r="C1214" s="56" t="s">
        <v>69</v>
      </c>
      <c r="D1214" s="10" t="s">
        <v>24</v>
      </c>
      <c r="E1214" s="28" t="s">
        <v>25</v>
      </c>
      <c r="F1214" s="62"/>
      <c r="G1214" s="474"/>
      <c r="H1214" s="102" t="s">
        <v>97</v>
      </c>
      <c r="I1214" s="54" t="s">
        <v>100</v>
      </c>
      <c r="J1214" s="18" t="s">
        <v>102</v>
      </c>
      <c r="K1214" s="33" t="s">
        <v>162</v>
      </c>
      <c r="L1214" s="25" t="str">
        <f>"RUTL-"&amp;RIGHT(K1214,8)</f>
        <v>RUTL-K0127431</v>
      </c>
      <c r="M1214" s="208"/>
      <c r="N1214" s="23"/>
      <c r="O1214" s="23"/>
      <c r="P1214" s="45" t="s">
        <v>46</v>
      </c>
      <c r="Q1214" s="39"/>
      <c r="R1214" s="46" t="s">
        <v>56</v>
      </c>
      <c r="S1214" s="146"/>
      <c r="T1214" s="64"/>
      <c r="U1214" s="23"/>
      <c r="V1214" s="82">
        <v>46010</v>
      </c>
      <c r="W1214" s="23"/>
      <c r="X1214" s="6"/>
      <c r="Y1214" s="6"/>
      <c r="Z1214" s="6"/>
      <c r="AA1214" s="6"/>
      <c r="AB1214" s="6"/>
      <c r="AC1214" s="6"/>
      <c r="AD1214" s="6"/>
      <c r="AE1214" s="6"/>
      <c r="AF1214" s="6"/>
      <c r="AG1214" s="6"/>
      <c r="AH1214" s="6"/>
      <c r="AI1214" s="6"/>
      <c r="AJ1214" s="6"/>
      <c r="AK1214" s="6"/>
      <c r="AL1214" s="6"/>
      <c r="AM1214" s="6"/>
      <c r="AN1214" s="6"/>
      <c r="AO1214" s="6"/>
      <c r="AP1214" s="6"/>
      <c r="AQ1214" s="6"/>
      <c r="AR1214" s="6"/>
      <c r="AS1214" s="6"/>
      <c r="AT1214" s="6"/>
      <c r="AU1214" s="6"/>
      <c r="AV1214" s="6"/>
      <c r="AW1214" s="6"/>
      <c r="AX1214" s="6"/>
      <c r="AY1214" s="6"/>
      <c r="AZ1214" s="6"/>
      <c r="BA1214" s="6"/>
      <c r="BB1214" s="6"/>
      <c r="BC1214" s="6"/>
      <c r="BD1214" s="6"/>
      <c r="BE1214" s="6"/>
      <c r="BF1214" s="6"/>
      <c r="BG1214" s="6"/>
      <c r="BH1214" s="6"/>
      <c r="BI1214" s="6"/>
      <c r="BJ1214" s="6"/>
      <c r="BK1214" s="6"/>
      <c r="BL1214" s="6"/>
      <c r="BM1214" s="6"/>
      <c r="BN1214" s="6"/>
      <c r="BO1214" s="6"/>
      <c r="BP1214" s="6"/>
      <c r="BQ1214" s="6"/>
      <c r="BR1214" s="6"/>
      <c r="BS1214" s="6"/>
      <c r="BT1214" s="6"/>
      <c r="BU1214" s="6"/>
      <c r="BV1214" s="6"/>
      <c r="BW1214" s="6"/>
      <c r="BX1214" s="6"/>
      <c r="BY1214" s="6"/>
      <c r="BZ1214" s="6"/>
      <c r="CA1214" s="6"/>
      <c r="CB1214" s="6"/>
      <c r="CC1214" s="6"/>
      <c r="CD1214" s="6"/>
      <c r="CE1214" s="6"/>
      <c r="CF1214" s="6"/>
      <c r="CG1214" s="6"/>
      <c r="CH1214" s="6"/>
      <c r="CI1214" s="6"/>
      <c r="CJ1214" s="6"/>
      <c r="CK1214" s="6"/>
      <c r="CL1214" s="6"/>
      <c r="CM1214" s="6"/>
      <c r="CN1214" s="6"/>
      <c r="CO1214" s="6"/>
      <c r="CP1214" s="6"/>
      <c r="CQ1214" s="6"/>
      <c r="CR1214" s="6"/>
      <c r="CS1214" s="6"/>
      <c r="CT1214" s="6"/>
      <c r="CU1214" s="6"/>
      <c r="CV1214" s="6"/>
      <c r="CW1214" s="6"/>
      <c r="CX1214" s="6"/>
      <c r="CY1214" s="6"/>
      <c r="CZ1214" s="6"/>
      <c r="DA1214" s="6"/>
      <c r="DB1214" s="6"/>
      <c r="DC1214" s="6"/>
      <c r="DD1214" s="6"/>
      <c r="DE1214" s="6"/>
      <c r="DF1214" s="6"/>
      <c r="DG1214" s="6"/>
      <c r="DH1214" s="6"/>
      <c r="DI1214" s="6"/>
      <c r="DJ1214" s="6"/>
      <c r="DK1214" s="6"/>
      <c r="DL1214" s="6"/>
      <c r="DM1214" s="6"/>
      <c r="DN1214" s="6"/>
      <c r="DO1214" s="6"/>
      <c r="DP1214" s="6"/>
      <c r="DQ1214" s="6"/>
      <c r="DR1214" s="6"/>
      <c r="DS1214" s="6"/>
      <c r="DT1214" s="6"/>
      <c r="DU1214" s="6"/>
      <c r="DV1214" s="6"/>
      <c r="DW1214" s="6"/>
      <c r="DX1214" s="6"/>
      <c r="DY1214" s="6"/>
      <c r="DZ1214" s="6"/>
      <c r="EA1214" s="6"/>
      <c r="EB1214" s="6"/>
      <c r="EC1214" s="6"/>
      <c r="ED1214" s="6"/>
      <c r="EE1214" s="6"/>
    </row>
    <row r="1215" spans="1:135" ht="27.75" customHeight="1" thickBot="1" x14ac:dyDescent="0.3">
      <c r="A1215" s="578" t="s">
        <v>103</v>
      </c>
      <c r="B1215" s="139" t="s">
        <v>387</v>
      </c>
      <c r="C1215" s="56" t="s">
        <v>388</v>
      </c>
      <c r="D1215" s="10" t="s">
        <v>24</v>
      </c>
      <c r="E1215" s="28" t="s">
        <v>25</v>
      </c>
      <c r="F1215" s="15"/>
      <c r="G1215" s="152"/>
      <c r="H1215" s="102" t="s">
        <v>97</v>
      </c>
      <c r="I1215" s="54" t="s">
        <v>48</v>
      </c>
      <c r="J1215" s="18" t="s">
        <v>393</v>
      </c>
      <c r="K1215" s="33" t="s">
        <v>402</v>
      </c>
      <c r="L1215" s="25" t="str">
        <f>"RUTL-"&amp;RIGHT(K1215,10)</f>
        <v>RUTL-201A4F6N02</v>
      </c>
      <c r="M1215" s="208"/>
      <c r="N1215" s="23"/>
      <c r="O1215" s="23"/>
      <c r="P1215" s="45"/>
      <c r="Q1215" s="39"/>
      <c r="R1215" s="46" t="s">
        <v>56</v>
      </c>
      <c r="S1215" s="146"/>
      <c r="T1215" s="64"/>
      <c r="U1215" s="23"/>
      <c r="V1215" s="82">
        <v>46111</v>
      </c>
      <c r="W1215" s="23" t="s">
        <v>421</v>
      </c>
      <c r="X1215" s="6"/>
      <c r="Y1215" s="6"/>
      <c r="Z1215" s="6"/>
      <c r="AA1215" s="6"/>
      <c r="AB1215" s="6"/>
      <c r="AC1215" s="6"/>
      <c r="AD1215" s="6"/>
      <c r="AE1215" s="6"/>
      <c r="AF1215" s="6"/>
      <c r="AG1215" s="6"/>
      <c r="AH1215" s="6"/>
      <c r="AI1215" s="6"/>
      <c r="AJ1215" s="6"/>
      <c r="AK1215" s="6"/>
      <c r="AL1215" s="6"/>
      <c r="AM1215" s="6"/>
      <c r="AN1215" s="6"/>
      <c r="AO1215" s="6"/>
      <c r="AP1215" s="6"/>
      <c r="AQ1215" s="6"/>
      <c r="AR1215" s="6"/>
      <c r="AS1215" s="6"/>
      <c r="AT1215" s="6"/>
      <c r="AU1215" s="6"/>
      <c r="AV1215" s="6"/>
      <c r="AW1215" s="6"/>
      <c r="AX1215" s="6"/>
      <c r="AY1215" s="6"/>
      <c r="AZ1215" s="6"/>
      <c r="BA1215" s="6"/>
      <c r="BB1215" s="6"/>
      <c r="BC1215" s="6"/>
      <c r="BD1215" s="6"/>
      <c r="BE1215" s="6"/>
      <c r="BF1215" s="6"/>
      <c r="BG1215" s="6"/>
      <c r="BH1215" s="6"/>
      <c r="BI1215" s="6"/>
      <c r="BJ1215" s="6"/>
      <c r="BK1215" s="6"/>
      <c r="BL1215" s="6"/>
      <c r="BM1215" s="6"/>
      <c r="BN1215" s="6"/>
      <c r="BO1215" s="6"/>
      <c r="BP1215" s="6"/>
      <c r="BQ1215" s="6"/>
      <c r="BR1215" s="6"/>
      <c r="BS1215" s="6"/>
      <c r="BT1215" s="6"/>
      <c r="BU1215" s="6"/>
      <c r="BV1215" s="6"/>
      <c r="BW1215" s="6"/>
      <c r="BX1215" s="6"/>
      <c r="BY1215" s="6"/>
      <c r="BZ1215" s="6"/>
      <c r="CA1215" s="6"/>
      <c r="CB1215" s="6"/>
      <c r="CC1215" s="6"/>
      <c r="CD1215" s="6"/>
      <c r="CE1215" s="6"/>
      <c r="CF1215" s="6"/>
      <c r="CG1215" s="6"/>
      <c r="CH1215" s="6"/>
      <c r="CI1215" s="6"/>
      <c r="CJ1215" s="6"/>
      <c r="CK1215" s="6"/>
      <c r="CL1215" s="6"/>
      <c r="CM1215" s="6"/>
      <c r="CN1215" s="6"/>
      <c r="CO1215" s="6"/>
      <c r="CP1215" s="6"/>
      <c r="CQ1215" s="6"/>
      <c r="CR1215" s="6"/>
      <c r="CS1215" s="6"/>
      <c r="CT1215" s="6"/>
      <c r="CU1215" s="6"/>
      <c r="CV1215" s="6"/>
      <c r="CW1215" s="6"/>
      <c r="CX1215" s="6"/>
      <c r="CY1215" s="6"/>
      <c r="CZ1215" s="6"/>
      <c r="DA1215" s="6"/>
      <c r="DB1215" s="6"/>
      <c r="DC1215" s="6"/>
      <c r="DD1215" s="6"/>
      <c r="DE1215" s="6"/>
      <c r="DF1215" s="6"/>
      <c r="DG1215" s="6"/>
      <c r="DH1215" s="6"/>
      <c r="DI1215" s="6"/>
      <c r="DJ1215" s="6"/>
      <c r="DK1215" s="6"/>
      <c r="DL1215" s="6"/>
      <c r="DM1215" s="6"/>
      <c r="DN1215" s="6"/>
      <c r="DO1215" s="6"/>
      <c r="DP1215" s="6"/>
      <c r="DQ1215" s="6"/>
      <c r="DR1215" s="6"/>
      <c r="DS1215" s="6"/>
      <c r="DT1215" s="6"/>
      <c r="DU1215" s="6"/>
      <c r="DV1215" s="6"/>
      <c r="DW1215" s="6"/>
      <c r="DX1215" s="6"/>
      <c r="DY1215" s="6"/>
      <c r="DZ1215" s="6"/>
      <c r="EA1215" s="6"/>
      <c r="EB1215" s="6"/>
      <c r="EC1215" s="6"/>
      <c r="ED1215" s="6"/>
      <c r="EE1215" s="6"/>
    </row>
    <row r="1216" spans="1:135" ht="27.75" customHeight="1" thickBot="1" x14ac:dyDescent="0.3">
      <c r="A1216" s="578" t="s">
        <v>103</v>
      </c>
      <c r="B1216" s="139" t="s">
        <v>429</v>
      </c>
      <c r="C1216" s="56" t="s">
        <v>388</v>
      </c>
      <c r="D1216" s="10" t="s">
        <v>24</v>
      </c>
      <c r="E1216" s="28" t="s">
        <v>25</v>
      </c>
      <c r="F1216" s="62"/>
      <c r="G1216" s="474"/>
      <c r="H1216" s="102" t="s">
        <v>97</v>
      </c>
      <c r="I1216" s="54" t="s">
        <v>48</v>
      </c>
      <c r="J1216" s="18" t="s">
        <v>393</v>
      </c>
      <c r="K1216" s="33" t="s">
        <v>463</v>
      </c>
      <c r="L1216" s="106" t="str">
        <f>"RUTL-"&amp; RIGHT(K1216,10)</f>
        <v>RUTL-201A416N02</v>
      </c>
      <c r="M1216" s="255" t="s">
        <v>40</v>
      </c>
      <c r="N1216" s="23" t="s">
        <v>54</v>
      </c>
      <c r="O1216" s="23"/>
      <c r="P1216" s="45" t="s">
        <v>46</v>
      </c>
      <c r="Q1216" s="39" t="s">
        <v>477</v>
      </c>
      <c r="R1216" s="46" t="s">
        <v>56</v>
      </c>
      <c r="S1216" s="146" t="s">
        <v>57</v>
      </c>
      <c r="T1216" s="41" t="s">
        <v>65</v>
      </c>
      <c r="U1216" s="23" t="s">
        <v>478</v>
      </c>
      <c r="V1216" s="82">
        <v>46111</v>
      </c>
      <c r="W1216" s="23" t="s">
        <v>421</v>
      </c>
      <c r="X1216" s="6"/>
      <c r="Y1216" s="6"/>
      <c r="Z1216" s="6"/>
      <c r="AA1216" s="6"/>
      <c r="AB1216" s="6"/>
      <c r="AC1216" s="6"/>
      <c r="AD1216" s="6"/>
      <c r="AE1216" s="6"/>
      <c r="AF1216" s="6"/>
      <c r="AG1216" s="6"/>
      <c r="AH1216" s="6"/>
      <c r="AI1216" s="6"/>
      <c r="AJ1216" s="6"/>
      <c r="AK1216" s="6"/>
      <c r="AL1216" s="6"/>
      <c r="AM1216" s="6"/>
      <c r="AN1216" s="6"/>
      <c r="AO1216" s="6"/>
      <c r="AP1216" s="6"/>
      <c r="AQ1216" s="6"/>
      <c r="AR1216" s="6"/>
      <c r="AS1216" s="6"/>
      <c r="AT1216" s="6"/>
      <c r="AU1216" s="6"/>
      <c r="AV1216" s="6"/>
      <c r="AW1216" s="6"/>
      <c r="AX1216" s="6"/>
      <c r="AY1216" s="6"/>
      <c r="AZ1216" s="6"/>
      <c r="BA1216" s="6"/>
      <c r="BB1216" s="6"/>
      <c r="BC1216" s="6"/>
      <c r="BD1216" s="6"/>
      <c r="BE1216" s="6"/>
      <c r="BF1216" s="6"/>
      <c r="BG1216" s="6"/>
      <c r="BH1216" s="6"/>
      <c r="BI1216" s="6"/>
      <c r="BJ1216" s="6"/>
      <c r="BK1216" s="6"/>
      <c r="BL1216" s="6"/>
      <c r="BM1216" s="6"/>
      <c r="BN1216" s="6"/>
      <c r="BO1216" s="6"/>
      <c r="BP1216" s="6"/>
      <c r="BQ1216" s="6"/>
      <c r="BR1216" s="6"/>
      <c r="BS1216" s="6"/>
      <c r="BT1216" s="6"/>
      <c r="BU1216" s="6"/>
      <c r="BV1216" s="6"/>
      <c r="BW1216" s="6"/>
      <c r="BX1216" s="6"/>
      <c r="BY1216" s="6"/>
      <c r="BZ1216" s="6"/>
      <c r="CA1216" s="6"/>
      <c r="CB1216" s="6"/>
      <c r="CC1216" s="6"/>
      <c r="CD1216" s="6"/>
      <c r="CE1216" s="6"/>
      <c r="CF1216" s="6"/>
      <c r="CG1216" s="6"/>
      <c r="CH1216" s="6"/>
      <c r="CI1216" s="6"/>
      <c r="CJ1216" s="6"/>
      <c r="CK1216" s="6"/>
      <c r="CL1216" s="6"/>
      <c r="CM1216" s="6"/>
      <c r="CN1216" s="6"/>
      <c r="CO1216" s="6"/>
      <c r="CP1216" s="6"/>
      <c r="CQ1216" s="6"/>
      <c r="CR1216" s="6"/>
      <c r="CS1216" s="6"/>
      <c r="CT1216" s="6"/>
      <c r="CU1216" s="6"/>
      <c r="CV1216" s="6"/>
      <c r="CW1216" s="6"/>
      <c r="CX1216" s="6"/>
      <c r="CY1216" s="6"/>
      <c r="CZ1216" s="6"/>
      <c r="DA1216" s="6"/>
      <c r="DB1216" s="6"/>
      <c r="DC1216" s="6"/>
      <c r="DD1216" s="6"/>
      <c r="DE1216" s="6"/>
      <c r="DF1216" s="6"/>
      <c r="DG1216" s="6"/>
      <c r="DH1216" s="6"/>
      <c r="DI1216" s="6"/>
      <c r="DJ1216" s="6"/>
      <c r="DK1216" s="6"/>
      <c r="DL1216" s="6"/>
      <c r="DM1216" s="6"/>
      <c r="DN1216" s="6"/>
      <c r="DO1216" s="6"/>
      <c r="DP1216" s="6"/>
      <c r="DQ1216" s="6"/>
      <c r="DR1216" s="6"/>
      <c r="DS1216" s="6"/>
      <c r="DT1216" s="6"/>
      <c r="DU1216" s="6"/>
      <c r="DV1216" s="6"/>
      <c r="DW1216" s="6"/>
      <c r="DX1216" s="6"/>
      <c r="DY1216" s="6"/>
      <c r="DZ1216" s="6"/>
      <c r="EA1216" s="6"/>
      <c r="EB1216" s="6"/>
      <c r="EC1216" s="6"/>
      <c r="ED1216" s="6"/>
      <c r="EE1216" s="6"/>
    </row>
    <row r="1217" spans="1:135" ht="27.75" customHeight="1" thickBot="1" x14ac:dyDescent="0.3">
      <c r="A1217" s="578" t="s">
        <v>103</v>
      </c>
      <c r="B1217" s="139" t="s">
        <v>492</v>
      </c>
      <c r="C1217" s="56" t="s">
        <v>388</v>
      </c>
      <c r="D1217" s="10" t="s">
        <v>24</v>
      </c>
      <c r="E1217" s="28" t="s">
        <v>25</v>
      </c>
      <c r="F1217" s="15"/>
      <c r="G1217" s="152"/>
      <c r="H1217" s="102" t="s">
        <v>97</v>
      </c>
      <c r="I1217" s="54" t="s">
        <v>48</v>
      </c>
      <c r="J1217" s="18" t="s">
        <v>393</v>
      </c>
      <c r="K1217" s="33" t="s">
        <v>499</v>
      </c>
      <c r="L1217" s="25" t="str">
        <f>"RUTL-"&amp;RIGHT(K1217,10)</f>
        <v>RUTL-201A366N02</v>
      </c>
      <c r="M1217" s="208"/>
      <c r="N1217" s="23"/>
      <c r="O1217" s="23"/>
      <c r="P1217" s="45"/>
      <c r="Q1217" s="39"/>
      <c r="R1217" s="46" t="s">
        <v>56</v>
      </c>
      <c r="S1217" s="146"/>
      <c r="T1217" s="64"/>
      <c r="U1217" s="23"/>
      <c r="V1217" s="82">
        <v>46111</v>
      </c>
      <c r="W1217" s="23" t="s">
        <v>421</v>
      </c>
      <c r="X1217" s="6"/>
      <c r="Y1217" s="6"/>
      <c r="Z1217" s="6"/>
      <c r="AA1217" s="6"/>
      <c r="AB1217" s="6"/>
      <c r="AC1217" s="6"/>
      <c r="AD1217" s="6"/>
      <c r="AE1217" s="6"/>
      <c r="AF1217" s="6"/>
      <c r="AG1217" s="6"/>
      <c r="AH1217" s="6"/>
      <c r="AI1217" s="6"/>
      <c r="AJ1217" s="6"/>
      <c r="AK1217" s="6"/>
      <c r="AL1217" s="6"/>
      <c r="AM1217" s="6"/>
      <c r="AN1217" s="6"/>
      <c r="AO1217" s="6"/>
      <c r="AP1217" s="6"/>
      <c r="AQ1217" s="6"/>
      <c r="AR1217" s="6"/>
      <c r="AS1217" s="6"/>
      <c r="AT1217" s="6"/>
      <c r="AU1217" s="6"/>
      <c r="AV1217" s="6"/>
      <c r="AW1217" s="6"/>
      <c r="AX1217" s="6"/>
      <c r="AY1217" s="6"/>
      <c r="AZ1217" s="6"/>
      <c r="BA1217" s="6"/>
      <c r="BB1217" s="6"/>
      <c r="BC1217" s="6"/>
      <c r="BD1217" s="6"/>
      <c r="BE1217" s="6"/>
      <c r="BF1217" s="6"/>
      <c r="BG1217" s="6"/>
      <c r="BH1217" s="6"/>
      <c r="BI1217" s="6"/>
      <c r="BJ1217" s="6"/>
      <c r="BK1217" s="6"/>
      <c r="BL1217" s="6"/>
      <c r="BM1217" s="6"/>
      <c r="BN1217" s="6"/>
      <c r="BO1217" s="6"/>
      <c r="BP1217" s="6"/>
      <c r="BQ1217" s="6"/>
      <c r="BR1217" s="6"/>
      <c r="BS1217" s="6"/>
      <c r="BT1217" s="6"/>
      <c r="BU1217" s="6"/>
      <c r="BV1217" s="6"/>
      <c r="BW1217" s="6"/>
      <c r="BX1217" s="6"/>
      <c r="BY1217" s="6"/>
      <c r="BZ1217" s="6"/>
      <c r="CA1217" s="6"/>
      <c r="CB1217" s="6"/>
      <c r="CC1217" s="6"/>
      <c r="CD1217" s="6"/>
      <c r="CE1217" s="6"/>
      <c r="CF1217" s="6"/>
      <c r="CG1217" s="6"/>
      <c r="CH1217" s="6"/>
      <c r="CI1217" s="6"/>
      <c r="CJ1217" s="6"/>
      <c r="CK1217" s="6"/>
      <c r="CL1217" s="6"/>
      <c r="CM1217" s="6"/>
      <c r="CN1217" s="6"/>
      <c r="CO1217" s="6"/>
      <c r="CP1217" s="6"/>
      <c r="CQ1217" s="6"/>
      <c r="CR1217" s="6"/>
      <c r="CS1217" s="6"/>
      <c r="CT1217" s="6"/>
      <c r="CU1217" s="6"/>
      <c r="CV1217" s="6"/>
      <c r="CW1217" s="6"/>
      <c r="CX1217" s="6"/>
      <c r="CY1217" s="6"/>
      <c r="CZ1217" s="6"/>
      <c r="DA1217" s="6"/>
      <c r="DB1217" s="6"/>
      <c r="DC1217" s="6"/>
      <c r="DD1217" s="6"/>
      <c r="DE1217" s="6"/>
      <c r="DF1217" s="6"/>
      <c r="DG1217" s="6"/>
      <c r="DH1217" s="6"/>
      <c r="DI1217" s="6"/>
      <c r="DJ1217" s="6"/>
      <c r="DK1217" s="6"/>
      <c r="DL1217" s="6"/>
      <c r="DM1217" s="6"/>
      <c r="DN1217" s="6"/>
      <c r="DO1217" s="6"/>
      <c r="DP1217" s="6"/>
      <c r="DQ1217" s="6"/>
      <c r="DR1217" s="6"/>
      <c r="DS1217" s="6"/>
      <c r="DT1217" s="6"/>
      <c r="DU1217" s="6"/>
      <c r="DV1217" s="6"/>
      <c r="DW1217" s="6"/>
      <c r="DX1217" s="6"/>
      <c r="DY1217" s="6"/>
      <c r="DZ1217" s="6"/>
      <c r="EA1217" s="6"/>
      <c r="EB1217" s="6"/>
      <c r="EC1217" s="6"/>
      <c r="ED1217" s="6"/>
      <c r="EE1217" s="6"/>
    </row>
    <row r="1218" spans="1:135" ht="27.75" customHeight="1" thickBot="1" x14ac:dyDescent="0.3">
      <c r="A1218" s="578" t="s">
        <v>103</v>
      </c>
      <c r="B1218" s="139" t="s">
        <v>524</v>
      </c>
      <c r="C1218" s="56" t="s">
        <v>388</v>
      </c>
      <c r="D1218" s="140" t="s">
        <v>24</v>
      </c>
      <c r="E1218" s="466" t="s">
        <v>25</v>
      </c>
      <c r="F1218" s="293"/>
      <c r="G1218" s="294"/>
      <c r="H1218" s="65" t="s">
        <v>97</v>
      </c>
      <c r="I1218" s="142" t="s">
        <v>48</v>
      </c>
      <c r="J1218" s="142" t="s">
        <v>393</v>
      </c>
      <c r="K1218" s="500" t="s">
        <v>528</v>
      </c>
      <c r="L1218" s="505" t="str">
        <f>"RUTL-"&amp;RIGHT(K1218,10)</f>
        <v>RUTL-201A536N02</v>
      </c>
      <c r="M1218" s="297"/>
      <c r="N1218" s="247"/>
      <c r="O1218" s="247"/>
      <c r="P1218" s="523"/>
      <c r="Q1218" s="258"/>
      <c r="R1218" s="542" t="s">
        <v>56</v>
      </c>
      <c r="S1218" s="299"/>
      <c r="T1218" s="300"/>
      <c r="U1218" s="247"/>
      <c r="V1218" s="301">
        <v>46111</v>
      </c>
      <c r="W1218" s="247" t="s">
        <v>421</v>
      </c>
      <c r="X1218" s="6"/>
      <c r="Y1218" s="6"/>
      <c r="Z1218" s="6"/>
      <c r="AA1218" s="6"/>
      <c r="AB1218" s="6"/>
      <c r="AC1218" s="6"/>
      <c r="AD1218" s="6"/>
      <c r="AE1218" s="6"/>
      <c r="AF1218" s="6"/>
      <c r="AG1218" s="6"/>
      <c r="AH1218" s="6"/>
      <c r="AI1218" s="6"/>
      <c r="AJ1218" s="6"/>
      <c r="AK1218" s="6"/>
      <c r="AL1218" s="6"/>
      <c r="AM1218" s="6"/>
      <c r="AN1218" s="6"/>
      <c r="AO1218" s="6"/>
      <c r="AP1218" s="6"/>
      <c r="AQ1218" s="6"/>
      <c r="AR1218" s="6"/>
      <c r="AS1218" s="6"/>
      <c r="AT1218" s="6"/>
      <c r="AU1218" s="6"/>
      <c r="AV1218" s="6"/>
      <c r="AW1218" s="6"/>
      <c r="AX1218" s="6"/>
      <c r="AY1218" s="6"/>
      <c r="AZ1218" s="6"/>
      <c r="BA1218" s="6"/>
      <c r="BB1218" s="6"/>
      <c r="BC1218" s="6"/>
      <c r="BD1218" s="6"/>
      <c r="BE1218" s="6"/>
      <c r="BF1218" s="6"/>
      <c r="BG1218" s="6"/>
      <c r="BH1218" s="6"/>
      <c r="BI1218" s="6"/>
      <c r="BJ1218" s="6"/>
      <c r="BK1218" s="6"/>
      <c r="BL1218" s="6"/>
      <c r="BM1218" s="6"/>
      <c r="BN1218" s="6"/>
      <c r="BO1218" s="6"/>
      <c r="BP1218" s="6"/>
      <c r="BQ1218" s="6"/>
      <c r="BR1218" s="6"/>
      <c r="BS1218" s="6"/>
      <c r="BT1218" s="6"/>
      <c r="BU1218" s="6"/>
      <c r="BV1218" s="6"/>
      <c r="BW1218" s="6"/>
      <c r="BX1218" s="6"/>
      <c r="BY1218" s="6"/>
      <c r="BZ1218" s="6"/>
      <c r="CA1218" s="6"/>
      <c r="CB1218" s="6"/>
      <c r="CC1218" s="6"/>
      <c r="CD1218" s="6"/>
      <c r="CE1218" s="6"/>
      <c r="CF1218" s="6"/>
      <c r="CG1218" s="6"/>
      <c r="CH1218" s="6"/>
      <c r="CI1218" s="6"/>
      <c r="CJ1218" s="6"/>
      <c r="CK1218" s="6"/>
      <c r="CL1218" s="6"/>
      <c r="CM1218" s="6"/>
      <c r="CN1218" s="6"/>
      <c r="CO1218" s="6"/>
      <c r="CP1218" s="6"/>
      <c r="CQ1218" s="6"/>
      <c r="CR1218" s="6"/>
      <c r="CS1218" s="6"/>
      <c r="CT1218" s="6"/>
      <c r="CU1218" s="6"/>
      <c r="CV1218" s="6"/>
      <c r="CW1218" s="6"/>
      <c r="CX1218" s="6"/>
      <c r="CY1218" s="6"/>
      <c r="CZ1218" s="6"/>
      <c r="DA1218" s="6"/>
      <c r="DB1218" s="6"/>
      <c r="DC1218" s="6"/>
      <c r="DD1218" s="6"/>
      <c r="DE1218" s="6"/>
      <c r="DF1218" s="6"/>
      <c r="DG1218" s="6"/>
      <c r="DH1218" s="6"/>
      <c r="DI1218" s="6"/>
      <c r="DJ1218" s="6"/>
      <c r="DK1218" s="6"/>
      <c r="DL1218" s="6"/>
      <c r="DM1218" s="6"/>
      <c r="DN1218" s="6"/>
      <c r="DO1218" s="6"/>
      <c r="DP1218" s="6"/>
      <c r="DQ1218" s="6"/>
      <c r="DR1218" s="6"/>
      <c r="DS1218" s="6"/>
      <c r="DT1218" s="6"/>
      <c r="DU1218" s="6"/>
      <c r="DV1218" s="6"/>
      <c r="DW1218" s="6"/>
      <c r="DX1218" s="6"/>
      <c r="DY1218" s="6"/>
      <c r="DZ1218" s="6"/>
      <c r="EA1218" s="6"/>
      <c r="EB1218" s="6"/>
      <c r="EC1218" s="6"/>
      <c r="ED1218" s="6"/>
      <c r="EE1218" s="6"/>
    </row>
    <row r="1219" spans="1:135" ht="15.75" customHeight="1" thickBot="1" x14ac:dyDescent="0.3">
      <c r="A1219" s="578" t="s">
        <v>103</v>
      </c>
      <c r="B1219" s="139" t="s">
        <v>555</v>
      </c>
      <c r="C1219" s="56" t="s">
        <v>388</v>
      </c>
      <c r="D1219" s="10" t="s">
        <v>24</v>
      </c>
      <c r="E1219" s="28" t="s">
        <v>25</v>
      </c>
      <c r="F1219" s="15"/>
      <c r="G1219" s="15"/>
      <c r="H1219" s="65" t="s">
        <v>97</v>
      </c>
      <c r="I1219" s="18" t="s">
        <v>48</v>
      </c>
      <c r="J1219" s="18" t="s">
        <v>393</v>
      </c>
      <c r="K1219" s="33" t="s">
        <v>558</v>
      </c>
      <c r="L1219" s="25" t="str">
        <f>"RUTL-"&amp;RIGHT(K1219,10)</f>
        <v>RUTL-201A496N02</v>
      </c>
      <c r="M1219" s="109"/>
      <c r="N1219" s="23"/>
      <c r="O1219" s="23"/>
      <c r="P1219" s="45"/>
      <c r="Q1219" s="39"/>
      <c r="R1219" s="46" t="s">
        <v>56</v>
      </c>
      <c r="S1219" s="37"/>
      <c r="T1219" s="64"/>
      <c r="U1219" s="23"/>
      <c r="V1219" s="48">
        <v>46111</v>
      </c>
      <c r="W1219" s="23" t="s">
        <v>421</v>
      </c>
      <c r="X1219" s="154"/>
    </row>
    <row r="1220" spans="1:135" ht="38.25" thickBot="1" x14ac:dyDescent="0.3">
      <c r="A1220" s="578" t="s">
        <v>103</v>
      </c>
      <c r="B1220" s="139" t="s">
        <v>572</v>
      </c>
      <c r="C1220" s="56" t="s">
        <v>388</v>
      </c>
      <c r="D1220" s="10" t="s">
        <v>24</v>
      </c>
      <c r="E1220" s="28" t="s">
        <v>25</v>
      </c>
      <c r="F1220" s="15"/>
      <c r="G1220" s="15"/>
      <c r="H1220" s="65" t="s">
        <v>97</v>
      </c>
      <c r="I1220" s="18" t="s">
        <v>48</v>
      </c>
      <c r="J1220" s="18" t="s">
        <v>393</v>
      </c>
      <c r="K1220" s="33" t="s">
        <v>573</v>
      </c>
      <c r="L1220" s="25" t="str">
        <f>"RUTL-"&amp;RIGHT(K1220,10)</f>
        <v>RUTL-201A506N02</v>
      </c>
      <c r="M1220" s="109"/>
      <c r="N1220" s="23"/>
      <c r="O1220" s="23"/>
      <c r="P1220" s="45"/>
      <c r="Q1220" s="39"/>
      <c r="R1220" s="46" t="s">
        <v>56</v>
      </c>
      <c r="S1220" s="37"/>
      <c r="T1220" s="64"/>
      <c r="U1220" s="23"/>
      <c r="V1220" s="48">
        <v>46111</v>
      </c>
      <c r="W1220" s="23" t="s">
        <v>421</v>
      </c>
      <c r="X1220" s="154"/>
    </row>
    <row r="1221" spans="1:135" ht="15.75" customHeight="1" thickBot="1" x14ac:dyDescent="0.3">
      <c r="A1221" s="578" t="s">
        <v>103</v>
      </c>
      <c r="B1221" s="139" t="s">
        <v>601</v>
      </c>
      <c r="C1221" s="56" t="s">
        <v>388</v>
      </c>
      <c r="D1221" s="10" t="s">
        <v>24</v>
      </c>
      <c r="E1221" s="28" t="s">
        <v>25</v>
      </c>
      <c r="F1221" s="15"/>
      <c r="G1221" s="15"/>
      <c r="H1221" s="65" t="s">
        <v>97</v>
      </c>
      <c r="I1221" s="18" t="s">
        <v>48</v>
      </c>
      <c r="J1221" s="18" t="s">
        <v>393</v>
      </c>
      <c r="K1221" s="33" t="s">
        <v>607</v>
      </c>
      <c r="L1221" s="25" t="str">
        <f>"RUTL-"&amp;RIGHT(K1221,10)</f>
        <v>RUTL-201A3D6N02</v>
      </c>
      <c r="M1221" s="109"/>
      <c r="N1221" s="23"/>
      <c r="O1221" s="23"/>
      <c r="P1221" s="45"/>
      <c r="Q1221" s="39"/>
      <c r="R1221" s="46" t="s">
        <v>56</v>
      </c>
      <c r="S1221" s="37"/>
      <c r="T1221" s="64"/>
      <c r="U1221" s="23"/>
      <c r="V1221" s="48">
        <v>46111</v>
      </c>
      <c r="W1221" s="23" t="s">
        <v>421</v>
      </c>
      <c r="X1221" s="71"/>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c r="BR1221" s="5"/>
      <c r="BS1221" s="5"/>
      <c r="BT1221" s="5"/>
      <c r="BU1221" s="5"/>
      <c r="BV1221" s="5"/>
      <c r="BW1221" s="5"/>
      <c r="BX1221" s="5"/>
      <c r="BY1221" s="5"/>
      <c r="BZ1221" s="5"/>
      <c r="CA1221" s="5"/>
      <c r="CB1221" s="5"/>
      <c r="CC1221" s="5"/>
      <c r="CD1221" s="5"/>
      <c r="CE1221" s="5"/>
      <c r="CF1221" s="5"/>
      <c r="CG1221" s="5"/>
      <c r="CH1221" s="5"/>
      <c r="CI1221" s="5"/>
      <c r="CJ1221" s="5"/>
      <c r="CK1221" s="5"/>
      <c r="CL1221" s="5"/>
      <c r="CM1221" s="5"/>
      <c r="CN1221" s="5"/>
      <c r="CO1221" s="5"/>
      <c r="CP1221" s="5"/>
      <c r="CQ1221" s="5"/>
      <c r="CR1221" s="5"/>
      <c r="CS1221" s="5"/>
      <c r="CT1221" s="5"/>
      <c r="CU1221" s="5"/>
      <c r="CV1221" s="5"/>
      <c r="CW1221" s="5"/>
      <c r="CX1221" s="5"/>
      <c r="CY1221" s="5"/>
      <c r="CZ1221" s="5"/>
      <c r="DA1221" s="5"/>
      <c r="DB1221" s="5"/>
      <c r="DC1221" s="5"/>
      <c r="DD1221" s="5"/>
      <c r="DE1221" s="5"/>
      <c r="DF1221" s="5"/>
      <c r="DG1221" s="5"/>
      <c r="DH1221" s="5"/>
      <c r="DI1221" s="5"/>
      <c r="DJ1221" s="5"/>
      <c r="DK1221" s="5"/>
      <c r="DL1221" s="5"/>
      <c r="DM1221" s="5"/>
      <c r="DN1221" s="5"/>
      <c r="DO1221" s="5"/>
      <c r="DP1221" s="5"/>
      <c r="DQ1221" s="5"/>
      <c r="DR1221" s="5"/>
      <c r="DS1221" s="5"/>
      <c r="DT1221" s="5"/>
      <c r="DU1221" s="5"/>
      <c r="DV1221" s="5"/>
      <c r="DW1221" s="5"/>
      <c r="DX1221" s="5"/>
      <c r="DY1221" s="5"/>
      <c r="DZ1221" s="5"/>
      <c r="EA1221" s="5"/>
      <c r="EB1221" s="5"/>
      <c r="EC1221" s="5"/>
      <c r="ED1221" s="5"/>
      <c r="EE1221" s="5"/>
    </row>
    <row r="1222" spans="1:135" ht="15.75" customHeight="1" thickBot="1" x14ac:dyDescent="0.3">
      <c r="A1222" s="578" t="s">
        <v>103</v>
      </c>
      <c r="B1222" s="139" t="s">
        <v>622</v>
      </c>
      <c r="C1222" s="56" t="s">
        <v>388</v>
      </c>
      <c r="D1222" s="10" t="s">
        <v>24</v>
      </c>
      <c r="E1222" s="28" t="s">
        <v>25</v>
      </c>
      <c r="F1222" s="15"/>
      <c r="G1222" s="15"/>
      <c r="H1222" s="65" t="s">
        <v>97</v>
      </c>
      <c r="I1222" s="18" t="s">
        <v>48</v>
      </c>
      <c r="J1222" s="18" t="s">
        <v>393</v>
      </c>
      <c r="K1222" s="33" t="s">
        <v>626</v>
      </c>
      <c r="L1222" s="25" t="str">
        <f>"RUTL-"&amp;RIGHT(K1222,10)</f>
        <v>RUTL-201A3E6N02</v>
      </c>
      <c r="M1222" s="109"/>
      <c r="N1222" s="23"/>
      <c r="O1222" s="23"/>
      <c r="P1222" s="45"/>
      <c r="Q1222" s="39"/>
      <c r="R1222" s="46" t="s">
        <v>56</v>
      </c>
      <c r="S1222" s="37"/>
      <c r="T1222" s="64"/>
      <c r="U1222" s="23"/>
      <c r="V1222" s="48">
        <v>46111</v>
      </c>
      <c r="W1222" s="23" t="s">
        <v>421</v>
      </c>
      <c r="X1222" s="310"/>
      <c r="Y1222" s="310"/>
      <c r="Z1222" s="310"/>
      <c r="AA1222" s="310"/>
      <c r="AB1222" s="310"/>
      <c r="AC1222" s="310"/>
      <c r="AD1222" s="310"/>
      <c r="AE1222" s="310"/>
      <c r="AF1222" s="310"/>
      <c r="AG1222" s="310"/>
      <c r="AH1222" s="310"/>
      <c r="AI1222" s="310"/>
      <c r="AJ1222" s="310"/>
      <c r="AK1222" s="310"/>
      <c r="AL1222" s="310"/>
      <c r="AM1222" s="310"/>
      <c r="AN1222" s="310"/>
      <c r="AO1222" s="310"/>
      <c r="AP1222" s="310"/>
      <c r="AQ1222" s="310"/>
      <c r="AR1222" s="310"/>
      <c r="AS1222" s="310"/>
      <c r="AT1222" s="310"/>
      <c r="AU1222" s="310"/>
      <c r="AV1222" s="310"/>
      <c r="AW1222" s="310"/>
      <c r="AX1222" s="310"/>
      <c r="AY1222" s="310"/>
      <c r="AZ1222" s="310"/>
      <c r="BA1222" s="310"/>
      <c r="BB1222" s="310"/>
      <c r="BC1222" s="310"/>
      <c r="BD1222" s="310"/>
      <c r="BE1222" s="310"/>
      <c r="BF1222" s="310"/>
      <c r="BG1222" s="310"/>
      <c r="BH1222" s="310"/>
      <c r="BI1222" s="310"/>
      <c r="BJ1222" s="310"/>
      <c r="BK1222" s="310"/>
      <c r="BL1222" s="310"/>
      <c r="BM1222" s="310"/>
      <c r="BN1222" s="310"/>
      <c r="BO1222" s="310"/>
      <c r="BP1222" s="310"/>
      <c r="BQ1222" s="310"/>
      <c r="BR1222" s="310"/>
      <c r="BS1222" s="310"/>
      <c r="BT1222" s="310"/>
      <c r="BU1222" s="310"/>
      <c r="BV1222" s="310"/>
      <c r="BW1222" s="310"/>
      <c r="BX1222" s="310"/>
      <c r="BY1222" s="310"/>
      <c r="BZ1222" s="310"/>
      <c r="CA1222" s="310"/>
      <c r="CB1222" s="310"/>
      <c r="CC1222" s="310"/>
      <c r="CD1222" s="310"/>
      <c r="CE1222" s="310"/>
      <c r="CF1222" s="310"/>
      <c r="CG1222" s="310"/>
      <c r="CH1222" s="310"/>
      <c r="CI1222" s="310"/>
      <c r="CJ1222" s="310"/>
      <c r="CK1222" s="310"/>
      <c r="CL1222" s="310"/>
      <c r="CM1222" s="310"/>
      <c r="CN1222" s="310"/>
      <c r="CO1222" s="310"/>
      <c r="CP1222" s="310"/>
      <c r="CQ1222" s="310"/>
      <c r="CR1222" s="310"/>
      <c r="CS1222" s="310"/>
      <c r="CT1222" s="310"/>
      <c r="CU1222" s="310"/>
      <c r="CV1222" s="310"/>
      <c r="CW1222" s="310"/>
      <c r="CX1222" s="310"/>
      <c r="CY1222" s="310"/>
      <c r="CZ1222" s="310"/>
      <c r="DA1222" s="310"/>
      <c r="DB1222" s="310"/>
      <c r="DC1222" s="310"/>
      <c r="DD1222" s="310"/>
      <c r="DE1222" s="310"/>
      <c r="DF1222" s="310"/>
      <c r="DG1222" s="310"/>
      <c r="DH1222" s="310"/>
      <c r="DI1222" s="310"/>
      <c r="DJ1222" s="310"/>
      <c r="DK1222" s="310"/>
      <c r="DL1222" s="310"/>
      <c r="DM1222" s="310"/>
      <c r="DN1222" s="310"/>
      <c r="DO1222" s="310"/>
      <c r="DP1222" s="310"/>
      <c r="DQ1222" s="310"/>
      <c r="DR1222" s="310"/>
      <c r="DS1222" s="310"/>
      <c r="DT1222" s="310"/>
      <c r="DU1222" s="310"/>
      <c r="DV1222" s="310"/>
      <c r="DW1222" s="310"/>
      <c r="DX1222" s="310"/>
      <c r="DY1222" s="310"/>
      <c r="DZ1222" s="310"/>
      <c r="EA1222" s="310"/>
      <c r="EB1222" s="310"/>
      <c r="EC1222" s="310"/>
      <c r="ED1222" s="310"/>
      <c r="EE1222" s="310"/>
    </row>
    <row r="1223" spans="1:135" ht="15.75" customHeight="1" thickBot="1" x14ac:dyDescent="0.3">
      <c r="A1223" s="578" t="s">
        <v>103</v>
      </c>
      <c r="B1223" s="139" t="s">
        <v>633</v>
      </c>
      <c r="C1223" s="56" t="s">
        <v>388</v>
      </c>
      <c r="D1223" s="10" t="s">
        <v>24</v>
      </c>
      <c r="E1223" s="28" t="s">
        <v>25</v>
      </c>
      <c r="F1223" s="15"/>
      <c r="G1223" s="15"/>
      <c r="H1223" s="65" t="s">
        <v>97</v>
      </c>
      <c r="I1223" s="18" t="s">
        <v>48</v>
      </c>
      <c r="J1223" s="18" t="s">
        <v>393</v>
      </c>
      <c r="K1223" s="33" t="s">
        <v>634</v>
      </c>
      <c r="L1223" s="25" t="str">
        <f>"RUTL-"&amp;RIGHT(K1223,10)</f>
        <v>RUTL-201A346N02</v>
      </c>
      <c r="M1223" s="109"/>
      <c r="N1223" s="23"/>
      <c r="O1223" s="23"/>
      <c r="P1223" s="45"/>
      <c r="Q1223" s="39"/>
      <c r="R1223" s="46" t="s">
        <v>56</v>
      </c>
      <c r="S1223" s="37"/>
      <c r="T1223" s="64"/>
      <c r="U1223" s="23"/>
      <c r="V1223" s="48">
        <v>46111</v>
      </c>
      <c r="W1223" s="23" t="s">
        <v>421</v>
      </c>
      <c r="X1223" s="71"/>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c r="AV1223" s="5"/>
      <c r="AW1223" s="5"/>
      <c r="AX1223" s="5"/>
      <c r="AY1223" s="5"/>
      <c r="AZ1223" s="5"/>
      <c r="BA1223" s="5"/>
      <c r="BB1223" s="5"/>
      <c r="BC1223" s="5"/>
      <c r="BD1223" s="5"/>
      <c r="BE1223" s="5"/>
      <c r="BF1223" s="5"/>
      <c r="BG1223" s="5"/>
      <c r="BH1223" s="5"/>
      <c r="BI1223" s="5"/>
      <c r="BJ1223" s="5"/>
      <c r="BK1223" s="5"/>
      <c r="BL1223" s="5"/>
      <c r="BM1223" s="5"/>
      <c r="BN1223" s="5"/>
      <c r="BO1223" s="5"/>
      <c r="BP1223" s="5"/>
      <c r="BQ1223" s="5"/>
      <c r="BR1223" s="5"/>
      <c r="BS1223" s="5"/>
      <c r="BT1223" s="5"/>
      <c r="BU1223" s="5"/>
      <c r="BV1223" s="5"/>
      <c r="BW1223" s="5"/>
      <c r="BX1223" s="5"/>
      <c r="BY1223" s="5"/>
      <c r="BZ1223" s="5"/>
      <c r="CA1223" s="5"/>
      <c r="CB1223" s="5"/>
      <c r="CC1223" s="5"/>
      <c r="CD1223" s="5"/>
      <c r="CE1223" s="5"/>
      <c r="CF1223" s="5"/>
      <c r="CG1223" s="5"/>
      <c r="CH1223" s="5"/>
      <c r="CI1223" s="5"/>
      <c r="CJ1223" s="5"/>
      <c r="CK1223" s="5"/>
      <c r="CL1223" s="5"/>
      <c r="CM1223" s="5"/>
      <c r="CN1223" s="5"/>
      <c r="CO1223" s="5"/>
      <c r="CP1223" s="5"/>
      <c r="CQ1223" s="5"/>
      <c r="CR1223" s="5"/>
      <c r="CS1223" s="5"/>
      <c r="CT1223" s="5"/>
      <c r="CU1223" s="5"/>
      <c r="CV1223" s="5"/>
      <c r="CW1223" s="5"/>
      <c r="CX1223" s="5"/>
      <c r="CY1223" s="5"/>
      <c r="CZ1223" s="5"/>
      <c r="DA1223" s="5"/>
      <c r="DB1223" s="5"/>
      <c r="DC1223" s="5"/>
      <c r="DD1223" s="5"/>
      <c r="DE1223" s="5"/>
      <c r="DF1223" s="5"/>
      <c r="DG1223" s="5"/>
      <c r="DH1223" s="5"/>
      <c r="DI1223" s="5"/>
      <c r="DJ1223" s="5"/>
      <c r="DK1223" s="5"/>
      <c r="DL1223" s="5"/>
      <c r="DM1223" s="5"/>
      <c r="DN1223" s="5"/>
      <c r="DO1223" s="5"/>
      <c r="DP1223" s="5"/>
      <c r="DQ1223" s="5"/>
      <c r="DR1223" s="5"/>
      <c r="DS1223" s="5"/>
      <c r="DT1223" s="5"/>
      <c r="DU1223" s="5"/>
      <c r="DV1223" s="5"/>
      <c r="DW1223" s="5"/>
      <c r="DX1223" s="5"/>
      <c r="DY1223" s="5"/>
      <c r="DZ1223" s="5"/>
      <c r="EA1223" s="5"/>
      <c r="EB1223" s="5"/>
      <c r="EC1223" s="5"/>
      <c r="ED1223" s="5"/>
      <c r="EE1223" s="5"/>
    </row>
    <row r="1224" spans="1:135" ht="45.75" customHeight="1" x14ac:dyDescent="0.25">
      <c r="A1224" s="578" t="s">
        <v>103</v>
      </c>
      <c r="B1224" s="343" t="s">
        <v>642</v>
      </c>
      <c r="C1224" s="199" t="s">
        <v>650</v>
      </c>
      <c r="D1224" s="10" t="s">
        <v>24</v>
      </c>
      <c r="E1224" s="28" t="s">
        <v>25</v>
      </c>
      <c r="F1224" s="15"/>
      <c r="G1224" s="15"/>
      <c r="H1224" s="102" t="s">
        <v>97</v>
      </c>
      <c r="I1224" s="18" t="s">
        <v>48</v>
      </c>
      <c r="J1224" s="18" t="s">
        <v>49</v>
      </c>
      <c r="K1224" s="61" t="s">
        <v>663</v>
      </c>
      <c r="L1224" s="25" t="str">
        <f>"RUTL-"&amp;RIGHT(K1224,8)</f>
        <v>RUTL-1D216N02</v>
      </c>
      <c r="M1224" s="34" t="s">
        <v>40</v>
      </c>
      <c r="N1224" s="23" t="s">
        <v>43</v>
      </c>
      <c r="O1224" s="23"/>
      <c r="P1224" s="45" t="s">
        <v>46</v>
      </c>
      <c r="Q1224" s="35" t="s">
        <v>670</v>
      </c>
      <c r="R1224" s="15" t="s">
        <v>56</v>
      </c>
      <c r="S1224" s="37" t="s">
        <v>57</v>
      </c>
      <c r="T1224" s="183" t="s">
        <v>675</v>
      </c>
      <c r="U1224" s="39" t="s">
        <v>679</v>
      </c>
      <c r="V1224" s="48"/>
      <c r="W1224" s="23" t="s">
        <v>99</v>
      </c>
      <c r="X1224" s="401"/>
      <c r="Y1224" s="401"/>
      <c r="Z1224" s="401"/>
      <c r="AA1224" s="401"/>
      <c r="AB1224" s="401"/>
      <c r="AC1224" s="401"/>
      <c r="AD1224" s="401"/>
      <c r="AE1224" s="401"/>
      <c r="AF1224" s="401"/>
      <c r="AG1224" s="401"/>
      <c r="AH1224" s="401"/>
      <c r="AI1224" s="401"/>
      <c r="AJ1224" s="401"/>
      <c r="AK1224" s="401"/>
      <c r="AL1224" s="401"/>
      <c r="AM1224" s="401"/>
      <c r="AN1224" s="401"/>
      <c r="AO1224" s="401"/>
      <c r="AP1224" s="401"/>
      <c r="AQ1224" s="401"/>
      <c r="AR1224" s="238"/>
      <c r="AS1224" s="238"/>
      <c r="AT1224" s="238"/>
      <c r="AU1224" s="238"/>
      <c r="AV1224" s="238"/>
      <c r="AW1224" s="238"/>
      <c r="AX1224" s="238"/>
      <c r="AY1224" s="238"/>
      <c r="AZ1224" s="238"/>
      <c r="BA1224" s="238"/>
      <c r="BB1224" s="238"/>
      <c r="BC1224" s="238"/>
      <c r="BD1224" s="238"/>
      <c r="BE1224" s="238"/>
      <c r="BF1224" s="238"/>
      <c r="BG1224" s="238"/>
      <c r="BH1224" s="238"/>
      <c r="BI1224" s="238"/>
      <c r="BJ1224" s="238"/>
      <c r="BK1224" s="238"/>
      <c r="BL1224" s="238"/>
      <c r="BM1224" s="238"/>
      <c r="BN1224" s="238"/>
      <c r="BO1224" s="238"/>
      <c r="BP1224" s="238"/>
      <c r="BQ1224" s="238"/>
      <c r="BR1224" s="238"/>
      <c r="BS1224" s="238"/>
      <c r="BT1224" s="238"/>
      <c r="BU1224" s="238"/>
      <c r="BV1224" s="238"/>
      <c r="BW1224" s="238"/>
      <c r="BX1224" s="238"/>
      <c r="BY1224" s="238"/>
      <c r="BZ1224" s="238"/>
      <c r="CA1224" s="238"/>
      <c r="CB1224" s="238"/>
      <c r="CC1224" s="238"/>
      <c r="CD1224" s="238"/>
      <c r="CE1224" s="238"/>
      <c r="CF1224" s="238"/>
      <c r="CG1224" s="238"/>
      <c r="CH1224" s="238"/>
      <c r="CI1224" s="238"/>
      <c r="CJ1224" s="238"/>
      <c r="CK1224" s="238"/>
      <c r="CL1224" s="238"/>
      <c r="CM1224" s="238"/>
      <c r="CN1224" s="238"/>
      <c r="CO1224" s="238"/>
      <c r="CP1224" s="238"/>
      <c r="CQ1224" s="238"/>
      <c r="CR1224" s="238"/>
      <c r="CS1224" s="238"/>
      <c r="CT1224" s="238"/>
      <c r="CU1224" s="238"/>
      <c r="CV1224" s="238"/>
      <c r="CW1224" s="238"/>
      <c r="CX1224" s="238"/>
      <c r="CY1224" s="238"/>
      <c r="CZ1224" s="238"/>
      <c r="DA1224" s="238"/>
      <c r="DB1224" s="238"/>
      <c r="DC1224" s="238"/>
      <c r="DD1224" s="238"/>
      <c r="DE1224" s="238"/>
      <c r="DF1224" s="238"/>
      <c r="DG1224" s="238"/>
      <c r="DH1224" s="238"/>
      <c r="DI1224" s="238"/>
      <c r="DJ1224" s="238"/>
      <c r="DK1224" s="238"/>
      <c r="DL1224" s="238"/>
      <c r="DM1224" s="238"/>
      <c r="DN1224" s="238"/>
      <c r="DO1224" s="238"/>
      <c r="DP1224" s="238"/>
      <c r="DQ1224" s="238"/>
      <c r="DR1224" s="238"/>
      <c r="DS1224" s="238"/>
      <c r="DT1224" s="238"/>
      <c r="DU1224" s="238"/>
      <c r="DV1224" s="238"/>
      <c r="DW1224" s="238"/>
      <c r="DX1224" s="238"/>
      <c r="DY1224" s="238"/>
      <c r="DZ1224" s="238"/>
      <c r="EA1224" s="238"/>
      <c r="EB1224" s="238"/>
      <c r="EC1224" s="238"/>
      <c r="ED1224" s="238"/>
      <c r="EE1224" s="238"/>
    </row>
    <row r="1225" spans="1:135" ht="44.25" customHeight="1" x14ac:dyDescent="0.3">
      <c r="A1225" s="578" t="s">
        <v>103</v>
      </c>
      <c r="B1225" s="343" t="s">
        <v>706</v>
      </c>
      <c r="C1225" s="199" t="s">
        <v>707</v>
      </c>
      <c r="D1225" s="418" t="s">
        <v>24</v>
      </c>
      <c r="E1225" s="28" t="s">
        <v>25</v>
      </c>
      <c r="F1225" s="15"/>
      <c r="G1225" s="15"/>
      <c r="H1225" s="102" t="s">
        <v>97</v>
      </c>
      <c r="I1225" s="18" t="s">
        <v>48</v>
      </c>
      <c r="J1225" s="67" t="s">
        <v>49</v>
      </c>
      <c r="K1225" s="502" t="s">
        <v>719</v>
      </c>
      <c r="L1225" s="184" t="str">
        <f>"RUTL-"&amp;RIGHT(K1225,8)</f>
        <v>RUTL-1A936N02</v>
      </c>
      <c r="M1225" s="186" t="s">
        <v>40</v>
      </c>
      <c r="N1225" s="188" t="s">
        <v>54</v>
      </c>
      <c r="O1225" s="79"/>
      <c r="P1225" s="189" t="s">
        <v>46</v>
      </c>
      <c r="Q1225" s="190"/>
      <c r="R1225" s="46" t="s">
        <v>56</v>
      </c>
      <c r="S1225" s="85" t="s">
        <v>57</v>
      </c>
      <c r="T1225" s="191" t="s">
        <v>453</v>
      </c>
      <c r="U1225" s="192" t="s">
        <v>748</v>
      </c>
      <c r="V1225" s="193">
        <v>46111</v>
      </c>
      <c r="W1225" s="77" t="s">
        <v>67</v>
      </c>
      <c r="X1225" s="238"/>
      <c r="Y1225" s="238"/>
      <c r="Z1225" s="238"/>
      <c r="AA1225" s="238"/>
      <c r="AB1225" s="238"/>
      <c r="AC1225" s="238"/>
      <c r="AD1225" s="238"/>
      <c r="AE1225" s="238"/>
      <c r="AF1225" s="238"/>
      <c r="AG1225" s="238"/>
      <c r="AH1225" s="238"/>
      <c r="AI1225" s="238"/>
      <c r="AJ1225" s="238"/>
      <c r="AK1225" s="238"/>
      <c r="AL1225" s="238"/>
      <c r="AM1225" s="238"/>
      <c r="AN1225" s="238"/>
      <c r="AO1225" s="238"/>
      <c r="AP1225" s="238"/>
      <c r="AQ1225" s="238"/>
      <c r="AR1225" s="238"/>
      <c r="AS1225" s="238"/>
      <c r="AT1225" s="238"/>
      <c r="AU1225" s="238"/>
      <c r="AV1225" s="238"/>
      <c r="AW1225" s="238"/>
      <c r="AX1225" s="238"/>
      <c r="AY1225" s="238"/>
      <c r="AZ1225" s="238"/>
      <c r="BA1225" s="238"/>
      <c r="BB1225" s="238"/>
      <c r="BC1225" s="238"/>
      <c r="BD1225" s="238"/>
      <c r="BE1225" s="238"/>
      <c r="BF1225" s="238"/>
      <c r="BG1225" s="238"/>
      <c r="BH1225" s="238"/>
      <c r="BI1225" s="238"/>
      <c r="BJ1225" s="238"/>
      <c r="BK1225" s="238"/>
      <c r="BL1225" s="238"/>
      <c r="BM1225" s="238"/>
      <c r="BN1225" s="238"/>
      <c r="BO1225" s="238"/>
      <c r="BP1225" s="238"/>
      <c r="BQ1225" s="238"/>
      <c r="BR1225" s="238"/>
      <c r="BS1225" s="238"/>
      <c r="BT1225" s="238"/>
      <c r="BU1225" s="238"/>
      <c r="BV1225" s="238"/>
      <c r="BW1225" s="238"/>
      <c r="BX1225" s="238"/>
      <c r="BY1225" s="238"/>
      <c r="BZ1225" s="238"/>
      <c r="CA1225" s="238"/>
      <c r="CB1225" s="238"/>
      <c r="CC1225" s="238"/>
      <c r="CD1225" s="238"/>
      <c r="CE1225" s="238"/>
      <c r="CF1225" s="238"/>
      <c r="CG1225" s="238"/>
      <c r="CH1225" s="238"/>
      <c r="CI1225" s="238"/>
      <c r="CJ1225" s="238"/>
      <c r="CK1225" s="238"/>
      <c r="CL1225" s="238"/>
      <c r="CM1225" s="238"/>
      <c r="CN1225" s="238"/>
      <c r="CO1225" s="238"/>
      <c r="CP1225" s="238"/>
      <c r="CQ1225" s="238"/>
      <c r="CR1225" s="238"/>
      <c r="CS1225" s="238"/>
      <c r="CT1225" s="238"/>
      <c r="CU1225" s="238"/>
      <c r="CV1225" s="238"/>
      <c r="CW1225" s="238"/>
      <c r="CX1225" s="238"/>
      <c r="CY1225" s="238"/>
      <c r="CZ1225" s="238"/>
      <c r="DA1225" s="238"/>
      <c r="DB1225" s="238"/>
      <c r="DC1225" s="238"/>
      <c r="DD1225" s="238"/>
      <c r="DE1225" s="238"/>
      <c r="DF1225" s="238"/>
      <c r="DG1225" s="238"/>
      <c r="DH1225" s="238"/>
      <c r="DI1225" s="238"/>
      <c r="DJ1225" s="238"/>
      <c r="DK1225" s="238"/>
      <c r="DL1225" s="238"/>
      <c r="DM1225" s="238"/>
      <c r="DN1225" s="238"/>
      <c r="DO1225" s="238"/>
      <c r="DP1225" s="238"/>
      <c r="DQ1225" s="238"/>
      <c r="DR1225" s="238"/>
      <c r="DS1225" s="238"/>
      <c r="DT1225" s="238"/>
      <c r="DU1225" s="238"/>
      <c r="DV1225" s="238"/>
      <c r="DW1225" s="238"/>
      <c r="DX1225" s="238"/>
      <c r="DY1225" s="238"/>
      <c r="DZ1225" s="238"/>
      <c r="EA1225" s="238"/>
      <c r="EB1225" s="238"/>
      <c r="EC1225" s="238"/>
      <c r="ED1225" s="238"/>
      <c r="EE1225" s="238"/>
    </row>
    <row r="1226" spans="1:135" ht="31.5" customHeight="1" x14ac:dyDescent="0.25">
      <c r="A1226" s="578" t="s">
        <v>103</v>
      </c>
      <c r="B1226" s="343" t="s">
        <v>784</v>
      </c>
      <c r="C1226" s="199" t="s">
        <v>787</v>
      </c>
      <c r="D1226" s="10" t="s">
        <v>24</v>
      </c>
      <c r="E1226" s="28" t="s">
        <v>25</v>
      </c>
      <c r="F1226" s="20" t="s">
        <v>791</v>
      </c>
      <c r="G1226" s="15" t="s">
        <v>793</v>
      </c>
      <c r="H1226" s="102" t="s">
        <v>97</v>
      </c>
      <c r="I1226" s="18" t="s">
        <v>48</v>
      </c>
      <c r="J1226" s="18" t="s">
        <v>49</v>
      </c>
      <c r="K1226" s="23" t="s">
        <v>797</v>
      </c>
      <c r="L1226" s="25" t="str">
        <f>"RUTL-"&amp;RIGHT(K1226,8)</f>
        <v>RUTL-1A976N02</v>
      </c>
      <c r="M1226" s="150" t="s">
        <v>40</v>
      </c>
      <c r="N1226" s="23" t="s">
        <v>54</v>
      </c>
      <c r="O1226" s="23"/>
      <c r="P1226" s="45" t="s">
        <v>46</v>
      </c>
      <c r="Q1226" s="35" t="s">
        <v>799</v>
      </c>
      <c r="R1226" s="46" t="s">
        <v>56</v>
      </c>
      <c r="S1226" s="37" t="s">
        <v>57</v>
      </c>
      <c r="T1226" s="118" t="s">
        <v>65</v>
      </c>
      <c r="U1226" s="23" t="s">
        <v>802</v>
      </c>
      <c r="V1226" s="48">
        <v>46111</v>
      </c>
      <c r="W1226" s="23" t="s">
        <v>67</v>
      </c>
      <c r="X1226" s="238"/>
      <c r="Y1226" s="238"/>
      <c r="Z1226" s="238"/>
      <c r="AA1226" s="238"/>
      <c r="AB1226" s="238"/>
      <c r="AC1226" s="238"/>
      <c r="AD1226" s="238"/>
      <c r="AE1226" s="238"/>
      <c r="AF1226" s="238"/>
      <c r="AG1226" s="238"/>
      <c r="AH1226" s="238"/>
      <c r="AI1226" s="238"/>
      <c r="AJ1226" s="238"/>
      <c r="AK1226" s="238"/>
      <c r="AL1226" s="238"/>
      <c r="AM1226" s="238"/>
      <c r="AN1226" s="238"/>
      <c r="AO1226" s="238"/>
      <c r="AP1226" s="238"/>
      <c r="AQ1226" s="238"/>
      <c r="AR1226" s="238"/>
      <c r="AS1226" s="238"/>
      <c r="AT1226" s="238"/>
      <c r="AU1226" s="238"/>
      <c r="AV1226" s="238"/>
      <c r="AW1226" s="238"/>
      <c r="AX1226" s="238"/>
      <c r="AY1226" s="238"/>
      <c r="AZ1226" s="238"/>
      <c r="BA1226" s="238"/>
      <c r="BB1226" s="238"/>
      <c r="BC1226" s="238"/>
      <c r="BD1226" s="238"/>
      <c r="BE1226" s="238"/>
      <c r="BF1226" s="238"/>
      <c r="BG1226" s="238"/>
      <c r="BH1226" s="238"/>
      <c r="BI1226" s="238"/>
      <c r="BJ1226" s="238"/>
      <c r="BK1226" s="238"/>
      <c r="BL1226" s="238"/>
      <c r="BM1226" s="238"/>
      <c r="BN1226" s="238"/>
      <c r="BO1226" s="238"/>
      <c r="BP1226" s="238"/>
      <c r="BQ1226" s="238"/>
      <c r="BR1226" s="238"/>
      <c r="BS1226" s="238"/>
      <c r="BT1226" s="238"/>
      <c r="BU1226" s="238"/>
      <c r="BV1226" s="238"/>
      <c r="BW1226" s="238"/>
      <c r="BX1226" s="238"/>
      <c r="BY1226" s="238"/>
      <c r="BZ1226" s="238"/>
      <c r="CA1226" s="238"/>
      <c r="CB1226" s="238"/>
      <c r="CC1226" s="238"/>
      <c r="CD1226" s="238"/>
      <c r="CE1226" s="238"/>
      <c r="CF1226" s="238"/>
      <c r="CG1226" s="238"/>
      <c r="CH1226" s="238"/>
      <c r="CI1226" s="238"/>
      <c r="CJ1226" s="238"/>
      <c r="CK1226" s="238"/>
      <c r="CL1226" s="238"/>
      <c r="CM1226" s="238"/>
      <c r="CN1226" s="238"/>
      <c r="CO1226" s="238"/>
      <c r="CP1226" s="238"/>
      <c r="CQ1226" s="238"/>
      <c r="CR1226" s="238"/>
      <c r="CS1226" s="238"/>
      <c r="CT1226" s="238"/>
      <c r="CU1226" s="238"/>
      <c r="CV1226" s="238"/>
      <c r="CW1226" s="238"/>
      <c r="CX1226" s="238"/>
      <c r="CY1226" s="238"/>
      <c r="CZ1226" s="238"/>
      <c r="DA1226" s="238"/>
      <c r="DB1226" s="238"/>
      <c r="DC1226" s="238"/>
      <c r="DD1226" s="238"/>
      <c r="DE1226" s="238"/>
      <c r="DF1226" s="238"/>
      <c r="DG1226" s="238"/>
      <c r="DH1226" s="238"/>
      <c r="DI1226" s="238"/>
      <c r="DJ1226" s="238"/>
      <c r="DK1226" s="238"/>
      <c r="DL1226" s="238"/>
      <c r="DM1226" s="238"/>
      <c r="DN1226" s="238"/>
      <c r="DO1226" s="238"/>
      <c r="DP1226" s="238"/>
      <c r="DQ1226" s="238"/>
      <c r="DR1226" s="238"/>
      <c r="DS1226" s="238"/>
      <c r="DT1226" s="238"/>
      <c r="DU1226" s="238"/>
      <c r="DV1226" s="238"/>
      <c r="DW1226" s="238"/>
      <c r="DX1226" s="238"/>
      <c r="DY1226" s="238"/>
      <c r="DZ1226" s="238"/>
      <c r="EA1226" s="238"/>
      <c r="EB1226" s="238"/>
      <c r="EC1226" s="238"/>
      <c r="ED1226" s="238"/>
      <c r="EE1226" s="238"/>
    </row>
    <row r="1227" spans="1:135" ht="37.5" x14ac:dyDescent="0.25">
      <c r="A1227" s="578" t="s">
        <v>103</v>
      </c>
      <c r="B1227" s="343" t="s">
        <v>866</v>
      </c>
      <c r="C1227" s="199" t="s">
        <v>822</v>
      </c>
      <c r="D1227" s="418" t="s">
        <v>24</v>
      </c>
      <c r="E1227" s="28" t="s">
        <v>25</v>
      </c>
      <c r="F1227" s="62"/>
      <c r="G1227" s="62"/>
      <c r="H1227" s="102" t="s">
        <v>97</v>
      </c>
      <c r="I1227" s="24" t="s">
        <v>135</v>
      </c>
      <c r="J1227" s="24" t="s">
        <v>32</v>
      </c>
      <c r="K1227" s="33" t="s">
        <v>872</v>
      </c>
      <c r="L1227" s="25" t="str">
        <f>"RUTL-"&amp;RIGHT(K1227,8)</f>
        <v>RUTL-PW0K0D8T</v>
      </c>
      <c r="M1227" s="109"/>
      <c r="N1227" s="98"/>
      <c r="O1227" s="98"/>
      <c r="P1227" s="45" t="s">
        <v>46</v>
      </c>
      <c r="Q1227" s="35"/>
      <c r="R1227" s="46" t="s">
        <v>56</v>
      </c>
      <c r="S1227" s="133"/>
      <c r="T1227" s="137"/>
      <c r="U1227" s="124"/>
      <c r="V1227" s="43">
        <v>46122</v>
      </c>
      <c r="W1227" s="32" t="s">
        <v>62</v>
      </c>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c r="DS1227" s="5"/>
      <c r="DT1227" s="5"/>
      <c r="DU1227" s="5"/>
      <c r="DV1227" s="5"/>
      <c r="DW1227" s="5"/>
      <c r="DX1227" s="5"/>
      <c r="DY1227" s="5"/>
      <c r="DZ1227" s="5"/>
      <c r="EA1227" s="5"/>
      <c r="EB1227" s="5"/>
      <c r="EC1227" s="5"/>
      <c r="ED1227" s="5"/>
      <c r="EE1227" s="5"/>
    </row>
    <row r="1228" spans="1:135" ht="63" customHeight="1" x14ac:dyDescent="0.3">
      <c r="A1228" s="578" t="s">
        <v>103</v>
      </c>
      <c r="B1228" s="447" t="s">
        <v>1761</v>
      </c>
      <c r="C1228" s="90" t="s">
        <v>1849</v>
      </c>
      <c r="D1228" s="27" t="s">
        <v>1763</v>
      </c>
      <c r="E1228" s="266" t="s">
        <v>25</v>
      </c>
      <c r="F1228" s="12" t="s">
        <v>1795</v>
      </c>
      <c r="G1228" s="15" t="s">
        <v>1796</v>
      </c>
      <c r="H1228" s="267" t="s">
        <v>1646</v>
      </c>
      <c r="I1228" s="406" t="s">
        <v>48</v>
      </c>
      <c r="J1228" s="24" t="s">
        <v>49</v>
      </c>
      <c r="K1228" s="33" t="s">
        <v>1798</v>
      </c>
      <c r="L1228" s="21" t="str">
        <f>"RUTL-"&amp;RIGHT(K1228,8)</f>
        <v>RUTL-1D126N02</v>
      </c>
      <c r="M1228" s="34" t="s">
        <v>40</v>
      </c>
      <c r="N1228" s="23" t="s">
        <v>54</v>
      </c>
      <c r="O1228" s="23"/>
      <c r="P1228" s="35" t="s">
        <v>46</v>
      </c>
      <c r="Q1228" s="36" t="s">
        <v>1802</v>
      </c>
      <c r="R1228" s="15" t="s">
        <v>56</v>
      </c>
      <c r="S1228" s="40" t="s">
        <v>57</v>
      </c>
      <c r="T1228" s="41" t="s">
        <v>65</v>
      </c>
      <c r="U1228" s="47" t="s">
        <v>1803</v>
      </c>
      <c r="V1228" s="48"/>
      <c r="W1228" s="23" t="s">
        <v>99</v>
      </c>
      <c r="X1228" s="30"/>
      <c r="Y1228" s="30"/>
      <c r="Z1228" s="30"/>
      <c r="AA1228" s="30"/>
      <c r="AB1228" s="30"/>
      <c r="AC1228" s="30"/>
      <c r="AD1228" s="30"/>
      <c r="AE1228" s="30"/>
      <c r="AF1228" s="30"/>
      <c r="AG1228" s="30"/>
      <c r="AH1228" s="30"/>
      <c r="AI1228" s="30"/>
      <c r="AJ1228" s="30"/>
      <c r="AK1228" s="30"/>
      <c r="AL1228" s="30"/>
      <c r="AM1228" s="30"/>
      <c r="AN1228" s="30"/>
      <c r="AO1228" s="30"/>
      <c r="AP1228" s="30"/>
      <c r="AQ1228" s="30"/>
      <c r="AR1228" s="30"/>
      <c r="AS1228" s="30"/>
      <c r="AT1228" s="30"/>
      <c r="AU1228" s="30"/>
      <c r="AV1228" s="30"/>
      <c r="AW1228" s="30"/>
      <c r="AX1228" s="30"/>
      <c r="AY1228" s="30"/>
      <c r="AZ1228" s="30"/>
      <c r="BA1228" s="30"/>
      <c r="BB1228" s="30"/>
      <c r="BC1228" s="30"/>
      <c r="BD1228" s="30"/>
      <c r="BE1228" s="30"/>
      <c r="BF1228" s="30"/>
      <c r="BG1228" s="30"/>
      <c r="BH1228" s="30"/>
      <c r="BI1228" s="30"/>
      <c r="BJ1228" s="30"/>
      <c r="BK1228" s="30"/>
      <c r="BL1228" s="30"/>
      <c r="BM1228" s="30"/>
      <c r="BN1228" s="30"/>
      <c r="BO1228" s="30"/>
      <c r="BP1228" s="30"/>
      <c r="BQ1228" s="30"/>
      <c r="BR1228" s="30"/>
      <c r="BS1228" s="30"/>
      <c r="BT1228" s="30"/>
      <c r="BU1228" s="30"/>
      <c r="BV1228" s="30"/>
      <c r="BW1228" s="30"/>
      <c r="BX1228" s="30"/>
      <c r="BY1228" s="30"/>
      <c r="BZ1228" s="30"/>
      <c r="CA1228" s="30"/>
      <c r="CB1228" s="30"/>
      <c r="CC1228" s="30"/>
      <c r="CD1228" s="30"/>
      <c r="CE1228" s="30"/>
      <c r="CF1228" s="30"/>
      <c r="CG1228" s="30"/>
      <c r="CH1228" s="30"/>
      <c r="CI1228" s="30"/>
      <c r="CJ1228" s="30"/>
      <c r="CK1228" s="30"/>
      <c r="CL1228" s="30"/>
      <c r="CM1228" s="30"/>
      <c r="CN1228" s="30"/>
      <c r="CO1228" s="30"/>
      <c r="CP1228" s="30"/>
      <c r="CQ1228" s="30"/>
      <c r="CR1228" s="30"/>
      <c r="CS1228" s="30"/>
      <c r="CT1228" s="30"/>
      <c r="CU1228" s="30"/>
      <c r="CV1228" s="30"/>
      <c r="CW1228" s="30"/>
      <c r="CX1228" s="30"/>
      <c r="CY1228" s="30"/>
      <c r="CZ1228" s="30"/>
      <c r="DA1228" s="30"/>
      <c r="DB1228" s="30"/>
      <c r="DC1228" s="30"/>
      <c r="DD1228" s="30"/>
      <c r="DE1228" s="30"/>
      <c r="DF1228" s="30"/>
      <c r="DG1228" s="30"/>
      <c r="DH1228" s="30"/>
      <c r="DI1228" s="30"/>
      <c r="DJ1228" s="30"/>
      <c r="DK1228" s="30"/>
      <c r="DL1228" s="30"/>
      <c r="DM1228" s="30"/>
      <c r="DN1228" s="30"/>
      <c r="DO1228" s="30"/>
      <c r="DP1228" s="30"/>
      <c r="DQ1228" s="30"/>
      <c r="DR1228" s="30"/>
      <c r="DS1228" s="30"/>
      <c r="DT1228" s="30"/>
      <c r="DU1228" s="30"/>
      <c r="DV1228" s="30"/>
      <c r="DW1228" s="30"/>
      <c r="DX1228" s="30"/>
      <c r="DY1228" s="30"/>
      <c r="DZ1228" s="30"/>
      <c r="EA1228" s="30"/>
      <c r="EB1228" s="30"/>
      <c r="EC1228" s="30"/>
      <c r="ED1228" s="30"/>
      <c r="EE1228" s="30"/>
    </row>
  </sheetData>
  <autoFilter ref="A1:W1228" xr:uid="{00000000-0009-0000-0000-000000000000}">
    <sortState xmlns:xlrd2="http://schemas.microsoft.com/office/spreadsheetml/2017/richdata2" ref="A1190:W1208">
      <sortCondition ref="A1:A1228"/>
    </sortState>
  </autoFilter>
  <mergeCells count="1">
    <mergeCell ref="X1:X2"/>
  </mergeCells>
  <conditionalFormatting sqref="B968:B969 B971:B972">
    <cfRule type="containsText" dxfId="3924" priority="4181" operator="containsText" text="apr">
      <formula>NOT(ISERROR(SEARCH(("apr"),(B968))))</formula>
    </cfRule>
  </conditionalFormatting>
  <conditionalFormatting sqref="B1068">
    <cfRule type="containsText" dxfId="3464" priority="1155" operator="containsText" text="apr">
      <formula>NOT(ISERROR(SEARCH(("apr"),(B1068))))</formula>
    </cfRule>
  </conditionalFormatting>
  <conditionalFormatting sqref="B945 B952">
    <cfRule type="containsText" dxfId="2350" priority="3021" operator="containsText" text="apr">
      <formula>NOT(ISERROR(SEARCH(("apr"),(B945))))</formula>
    </cfRule>
    <cfRule type="containsText" dxfId="2349" priority="3022" operator="containsText" text="apr">
      <formula>NOT(ISERROR(SEARCH(("apr"),(B945))))</formula>
    </cfRule>
    <cfRule type="containsText" dxfId="2348" priority="3023" operator="containsText" text="apr">
      <formula>NOT(ISERROR(SEARCH(("apr"),(B945))))</formula>
    </cfRule>
    <cfRule type="containsText" dxfId="2347" priority="3024" operator="containsText" text="apr">
      <formula>NOT(ISERROR(SEARCH(("apr"),(B945))))</formula>
    </cfRule>
    <cfRule type="containsText" dxfId="2346" priority="3025" operator="containsText" text="apr">
      <formula>NOT(ISERROR(SEARCH(("apr"),(B945))))</formula>
    </cfRule>
    <cfRule type="containsText" dxfId="2345" priority="3026" operator="containsText" text="apr">
      <formula>NOT(ISERROR(SEARCH(("apr"),(B945))))</formula>
    </cfRule>
  </conditionalFormatting>
  <conditionalFormatting sqref="B1068">
    <cfRule type="containsText" dxfId="2344" priority="1156" operator="containsText" text="apr">
      <formula>NOT(ISERROR(SEARCH(("apr"),(B1068))))</formula>
    </cfRule>
    <cfRule type="containsText" dxfId="2343" priority="1157" operator="containsText" text="apr">
      <formula>NOT(ISERROR(SEARCH(("apr"),(B1068))))</formula>
    </cfRule>
    <cfRule type="containsText" dxfId="2342" priority="1158" operator="containsText" text="apr">
      <formula>NOT(ISERROR(SEARCH(("apr"),(B1068))))</formula>
    </cfRule>
    <cfRule type="containsText" dxfId="2341" priority="1159" operator="containsText" text="apr">
      <formula>NOT(ISERROR(SEARCH(("apr"),(B1068))))</formula>
    </cfRule>
    <cfRule type="containsText" dxfId="2340" priority="1160" operator="containsText" text="apr">
      <formula>NOT(ISERROR(SEARCH(("apr"),(B1068))))</formula>
    </cfRule>
  </conditionalFormatting>
  <conditionalFormatting sqref="B1081">
    <cfRule type="containsText" dxfId="2339" priority="2052" operator="containsText" text="apr">
      <formula>NOT(ISERROR(SEARCH(("apr"),(B1081))))</formula>
    </cfRule>
    <cfRule type="containsText" dxfId="2338" priority="2053" operator="containsText" text="apr">
      <formula>NOT(ISERROR(SEARCH(("apr"),(B1081))))</formula>
    </cfRule>
    <cfRule type="containsText" dxfId="2337" priority="2054" operator="containsText" text="apr">
      <formula>NOT(ISERROR(SEARCH(("apr"),(B1081))))</formula>
    </cfRule>
    <cfRule type="containsText" dxfId="2336" priority="2055" operator="containsText" text="apr">
      <formula>NOT(ISERROR(SEARCH(("apr"),(B1081))))</formula>
    </cfRule>
    <cfRule type="containsText" dxfId="2335" priority="2056" operator="containsText" text="apr">
      <formula>NOT(ISERROR(SEARCH(("apr"),(B1081))))</formula>
    </cfRule>
    <cfRule type="containsText" dxfId="2334" priority="2057" operator="containsText" text="apr">
      <formula>NOT(ISERROR(SEARCH(("apr"),(B1081))))</formula>
    </cfRule>
  </conditionalFormatting>
  <conditionalFormatting sqref="B1085">
    <cfRule type="containsText" dxfId="2333" priority="1565" operator="containsText" text="apr">
      <formula>NOT(ISERROR(SEARCH(("apr"),(B1085))))</formula>
    </cfRule>
    <cfRule type="containsText" dxfId="2332" priority="1567" operator="containsText" text="apr">
      <formula>NOT(ISERROR(SEARCH(("apr"),(B1085))))</formula>
    </cfRule>
    <cfRule type="containsText" dxfId="2331" priority="1568" operator="containsText" text="apr">
      <formula>NOT(ISERROR(SEARCH(("apr"),(B1085))))</formula>
    </cfRule>
    <cfRule type="containsText" dxfId="2330" priority="1569" operator="containsText" text="apr">
      <formula>NOT(ISERROR(SEARCH(("apr"),(B1085))))</formula>
    </cfRule>
    <cfRule type="containsText" dxfId="2329" priority="1570" operator="containsText" text="apr">
      <formula>NOT(ISERROR(SEARCH(("apr"),(B1085))))</formula>
    </cfRule>
    <cfRule type="containsText" dxfId="2328" priority="1572" operator="containsText" text="apr">
      <formula>NOT(ISERROR(SEARCH(("apr"),(B1085))))</formula>
    </cfRule>
  </conditionalFormatting>
  <conditionalFormatting sqref="B1197">
    <cfRule type="containsText" dxfId="2327" priority="270" operator="containsText" text="apr">
      <formula>NOT(ISERROR(SEARCH(("apr"),(B1197))))</formula>
    </cfRule>
    <cfRule type="containsText" dxfId="2326" priority="271" operator="containsText" text="apr">
      <formula>NOT(ISERROR(SEARCH(("apr"),(B1197))))</formula>
    </cfRule>
    <cfRule type="containsText" dxfId="2325" priority="272" operator="containsText" text="apr">
      <formula>NOT(ISERROR(SEARCH(("apr"),(B1197))))</formula>
    </cfRule>
    <cfRule type="containsText" dxfId="2324" priority="273" operator="containsText" text="apr">
      <formula>NOT(ISERROR(SEARCH(("apr"),(B1197))))</formula>
    </cfRule>
    <cfRule type="containsText" dxfId="2323" priority="274" operator="containsText" text="apr">
      <formula>NOT(ISERROR(SEARCH(("apr"),(B1197))))</formula>
    </cfRule>
    <cfRule type="containsText" dxfId="2322" priority="275" operator="containsText" text="apr">
      <formula>NOT(ISERROR(SEARCH(("apr"),(B1197))))</formula>
    </cfRule>
  </conditionalFormatting>
  <conditionalFormatting sqref="B744:B746 B748:B752 B754:B767 B793:B795">
    <cfRule type="containsText" dxfId="2321" priority="5659" operator="containsText" text="apr">
      <formula>NOT(ISERROR(SEARCH(("apr"),(B744))))</formula>
    </cfRule>
  </conditionalFormatting>
  <conditionalFormatting sqref="B769:B791">
    <cfRule type="containsText" dxfId="2320" priority="4909" operator="containsText" text="apr">
      <formula>NOT(ISERROR(SEARCH(("apr"),(B769))))</formula>
    </cfRule>
  </conditionalFormatting>
  <conditionalFormatting sqref="B797:B823">
    <cfRule type="containsText" dxfId="2319" priority="4675" operator="containsText" text="apr">
      <formula>NOT(ISERROR(SEARCH(("apr"),(B797))))</formula>
    </cfRule>
  </conditionalFormatting>
  <conditionalFormatting sqref="B813:B823 B845:B846 B868 B870:B877 B888:B894 B897:B901 B906:B916 B918:B919 B942:B944 B946:B950 B953:B958 B961:B966 B968:B969 B971:B972">
    <cfRule type="containsText" dxfId="2318" priority="4693" operator="containsText" text="apr">
      <formula>NOT(ISERROR(SEARCH(("apr"),(C813))))</formula>
    </cfRule>
    <cfRule type="containsText" dxfId="2317" priority="4694" operator="containsText" text="apr">
      <formula>NOT(ISERROR(SEARCH(("apr"),(C813))))</formula>
    </cfRule>
    <cfRule type="containsText" dxfId="2316" priority="4695" operator="containsText" text="apr">
      <formula>NOT(ISERROR(SEARCH(("apr"),(C813))))</formula>
    </cfRule>
    <cfRule type="containsText" dxfId="2315" priority="4696" operator="containsText" text="apr">
      <formula>NOT(ISERROR(SEARCH(("apr"),(C813))))</formula>
    </cfRule>
    <cfRule type="containsText" dxfId="2314" priority="4697" operator="containsText" text="apr">
      <formula>NOT(ISERROR(SEARCH(("apr"),(C813))))</formula>
    </cfRule>
    <cfRule type="containsText" dxfId="2313" priority="4698" operator="containsText" text="apr">
      <formula>NOT(ISERROR(SEARCH(("apr"),(C813))))</formula>
    </cfRule>
  </conditionalFormatting>
  <conditionalFormatting sqref="B845:B846">
    <cfRule type="containsText" dxfId="2312" priority="4575" operator="containsText" text="apr">
      <formula>NOT(ISERROR(SEARCH(("apr"),(B845))))</formula>
    </cfRule>
  </conditionalFormatting>
  <conditionalFormatting sqref="B868:B877">
    <cfRule type="containsText" dxfId="2311" priority="4449" operator="containsText" text="apr">
      <formula>NOT(ISERROR(SEARCH(("apr"),(B868))))</formula>
    </cfRule>
  </conditionalFormatting>
  <conditionalFormatting sqref="B888:B894 B897:B901 B906:B916 B918:B919 B941:B944 B946:B958 B961:B966">
    <cfRule type="containsText" dxfId="2310" priority="4279" operator="containsText" text="apr">
      <formula>NOT(ISERROR(SEARCH(("apr"),(B888))))</formula>
    </cfRule>
  </conditionalFormatting>
  <conditionalFormatting sqref="B899 B901 B906:B916 B918:B919 B942:B944 B946:B950 B953:B958 B961:B966 B968:B969 B971:B972">
    <cfRule type="containsText" dxfId="2309" priority="4059" operator="containsText" text="apr">
      <formula>NOT(ISERROR(SEARCH(("apr"),(B899))))</formula>
    </cfRule>
    <cfRule type="containsText" dxfId="2308" priority="4060" operator="containsText" text="apr">
      <formula>NOT(ISERROR(SEARCH(("apr"),(B899))))</formula>
    </cfRule>
    <cfRule type="containsText" dxfId="2307" priority="4061" operator="containsText" text="apr">
      <formula>NOT(ISERROR(SEARCH(("apr"),(B899))))</formula>
    </cfRule>
    <cfRule type="containsText" dxfId="2306" priority="4062" operator="containsText" text="apr">
      <formula>NOT(ISERROR(SEARCH(("apr"),(B899))))</formula>
    </cfRule>
    <cfRule type="containsText" dxfId="2305" priority="4063" operator="containsText" text="apr">
      <formula>NOT(ISERROR(SEARCH(("apr"),(B899))))</formula>
    </cfRule>
    <cfRule type="containsText" dxfId="2304" priority="4064" operator="containsText" text="apr">
      <formula>NOT(ISERROR(SEARCH(("apr"),(B899))))</formula>
    </cfRule>
    <cfRule type="containsText" dxfId="2303" priority="4065" operator="containsText" text="apr">
      <formula>NOT(ISERROR(SEARCH(("apr"),(B899))))</formula>
    </cfRule>
    <cfRule type="containsText" dxfId="2302" priority="4066" operator="containsText" text="apr">
      <formula>NOT(ISERROR(SEARCH(("apr"),(B899))))</formula>
    </cfRule>
    <cfRule type="containsText" dxfId="2301" priority="4067" operator="containsText" text="apr">
      <formula>NOT(ISERROR(SEARCH(("apr"),(B899))))</formula>
    </cfRule>
    <cfRule type="containsText" dxfId="2300" priority="4068" operator="containsText" text="apr">
      <formula>NOT(ISERROR(SEARCH(("apr"),(B899))))</formula>
    </cfRule>
    <cfRule type="containsText" dxfId="2299" priority="4069" operator="containsText" text="apr">
      <formula>NOT(ISERROR(SEARCH(("apr"),(B899))))</formula>
    </cfRule>
    <cfRule type="containsText" dxfId="2298" priority="4070" operator="containsText" text="apr">
      <formula>NOT(ISERROR(SEARCH(("apr"),(B899))))</formula>
    </cfRule>
    <cfRule type="containsText" dxfId="2297" priority="4071" operator="containsText" text="apr">
      <formula>NOT(ISERROR(SEARCH(("apr"),(B899))))</formula>
    </cfRule>
    <cfRule type="containsText" dxfId="2296" priority="4072" operator="containsText" text="apr">
      <formula>NOT(ISERROR(SEARCH(("apr"),(B899))))</formula>
    </cfRule>
    <cfRule type="containsText" dxfId="2295" priority="4073" operator="containsText" text="apr">
      <formula>NOT(ISERROR(SEARCH(("apr"),(B899))))</formula>
    </cfRule>
    <cfRule type="containsText" dxfId="2294" priority="4074" operator="containsText" text="apr">
      <formula>NOT(ISERROR(SEARCH(("apr"),(B899))))</formula>
    </cfRule>
    <cfRule type="containsText" dxfId="2293" priority="4075" operator="containsText" text="apr">
      <formula>NOT(ISERROR(SEARCH(("apr"),(B899))))</formula>
    </cfRule>
    <cfRule type="containsText" dxfId="2292" priority="4076" operator="containsText" text="apr">
      <formula>NOT(ISERROR(SEARCH(("apr"),(B899))))</formula>
    </cfRule>
  </conditionalFormatting>
  <conditionalFormatting sqref="B906:B912">
    <cfRule type="containsText" dxfId="2291" priority="3962" operator="containsText" text="apr">
      <formula>NOT(ISERROR(SEARCH(("apr"),(B906))))</formula>
    </cfRule>
    <cfRule type="containsText" dxfId="2290" priority="3963" operator="containsText" text="apr">
      <formula>NOT(ISERROR(SEARCH(("apr"),(B906))))</formula>
    </cfRule>
    <cfRule type="containsText" dxfId="2289" priority="3964" operator="containsText" text="apr">
      <formula>NOT(ISERROR(SEARCH(("apr"),(B906))))</formula>
    </cfRule>
    <cfRule type="containsText" dxfId="2288" priority="3965" operator="containsText" text="apr">
      <formula>NOT(ISERROR(SEARCH(("apr"),(B906))))</formula>
    </cfRule>
    <cfRule type="containsText" dxfId="2287" priority="3966" operator="containsText" text="apr">
      <formula>NOT(ISERROR(SEARCH(("apr"),(B906))))</formula>
    </cfRule>
    <cfRule type="containsText" dxfId="2286" priority="3967" operator="containsText" text="apr">
      <formula>NOT(ISERROR(SEARCH(("apr"),(B906))))</formula>
    </cfRule>
  </conditionalFormatting>
  <conditionalFormatting sqref="B959">
    <cfRule type="containsText" dxfId="2285" priority="2895" operator="containsText" text="apr">
      <formula>NOT(ISERROR(SEARCH(("apr"),(B959))))</formula>
    </cfRule>
    <cfRule type="containsText" dxfId="2284" priority="2896" operator="containsText" text="apr">
      <formula>NOT(ISERROR(SEARCH(("apr"),(B959))))</formula>
    </cfRule>
    <cfRule type="containsText" dxfId="2283" priority="2897" operator="containsText" text="apr">
      <formula>NOT(ISERROR(SEARCH(("apr"),(B959))))</formula>
    </cfRule>
    <cfRule type="containsText" dxfId="2282" priority="2898" operator="containsText" text="apr">
      <formula>NOT(ISERROR(SEARCH(("apr"),(B959))))</formula>
    </cfRule>
    <cfRule type="containsText" dxfId="2281" priority="2899" operator="containsText" text="apr">
      <formula>NOT(ISERROR(SEARCH(("apr"),(B959))))</formula>
    </cfRule>
    <cfRule type="containsText" dxfId="2280" priority="2900" operator="containsText" text="apr">
      <formula>NOT(ISERROR(SEARCH(("apr"),(B959))))</formula>
    </cfRule>
    <cfRule type="containsText" dxfId="2279" priority="2901" operator="containsText" text="apr">
      <formula>NOT(ISERROR(SEARCH(("apr"),(B959))))</formula>
    </cfRule>
    <cfRule type="containsText" dxfId="2278" priority="2902" operator="containsText" text="apr">
      <formula>NOT(ISERROR(SEARCH(("apr"),(B959))))</formula>
    </cfRule>
    <cfRule type="containsText" dxfId="2277" priority="2903" operator="containsText" text="apr">
      <formula>NOT(ISERROR(SEARCH(("apr"),(B959))))</formula>
    </cfRule>
    <cfRule type="containsText" dxfId="2276" priority="2904" operator="containsText" text="apr">
      <formula>NOT(ISERROR(SEARCH(("apr"),(B959))))</formula>
    </cfRule>
    <cfRule type="containsText" dxfId="2275" priority="2905" operator="containsText" text="apr">
      <formula>NOT(ISERROR(SEARCH(("apr"),(B959))))</formula>
    </cfRule>
    <cfRule type="containsText" dxfId="2274" priority="2906" operator="containsText" text="apr">
      <formula>NOT(ISERROR(SEARCH(("apr"),(B959))))</formula>
    </cfRule>
    <cfRule type="containsText" dxfId="2273" priority="2907" operator="containsText" text="apr">
      <formula>NOT(ISERROR(SEARCH(("apr"),(B959))))</formula>
    </cfRule>
    <cfRule type="containsText" dxfId="2272" priority="2908" operator="containsText" text="apr">
      <formula>NOT(ISERROR(SEARCH(("apr"),(B959))))</formula>
    </cfRule>
    <cfRule type="containsText" dxfId="2271" priority="2909" operator="containsText" text="apr">
      <formula>NOT(ISERROR(SEARCH(("apr"),(B959))))</formula>
    </cfRule>
    <cfRule type="containsText" dxfId="2270" priority="2910" operator="containsText" text="apr">
      <formula>NOT(ISERROR(SEARCH(("apr"),(B959))))</formula>
    </cfRule>
    <cfRule type="containsText" dxfId="2269" priority="2911" operator="containsText" text="apr">
      <formula>NOT(ISERROR(SEARCH(("apr"),(B959))))</formula>
    </cfRule>
    <cfRule type="containsText" dxfId="2268" priority="2912" operator="containsText" text="apr">
      <formula>NOT(ISERROR(SEARCH(("apr"),(B959))))</formula>
    </cfRule>
    <cfRule type="containsText" dxfId="2267" priority="2913" operator="containsText" text="apr">
      <formula>NOT(ISERROR(SEARCH(("apr"),(B959))))</formula>
    </cfRule>
    <cfRule type="containsText" dxfId="2266" priority="2914" operator="containsText" text="apr">
      <formula>NOT(ISERROR(SEARCH(("apr"),(B959))))</formula>
    </cfRule>
    <cfRule type="containsText" dxfId="2265" priority="2915" operator="containsText" text="apr">
      <formula>NOT(ISERROR(SEARCH(("apr"),(B959))))</formula>
    </cfRule>
    <cfRule type="containsText" dxfId="2264" priority="2916" operator="containsText" text="apr">
      <formula>NOT(ISERROR(SEARCH(("apr"),(B959))))</formula>
    </cfRule>
    <cfRule type="containsText" dxfId="2263" priority="2917" operator="containsText" text="apr">
      <formula>NOT(ISERROR(SEARCH(("apr"),(B959))))</formula>
    </cfRule>
    <cfRule type="containsText" dxfId="2262" priority="2918" operator="containsText" text="apr">
      <formula>NOT(ISERROR(SEARCH(("apr"),(B959))))</formula>
    </cfRule>
    <cfRule type="containsText" dxfId="2261" priority="2919" operator="containsText" text="apr">
      <formula>NOT(ISERROR(SEARCH(("apr"),(B959))))</formula>
    </cfRule>
    <cfRule type="containsText" dxfId="2260" priority="2920" operator="containsText" text="apr">
      <formula>NOT(ISERROR(SEARCH(("apr"),(B959))))</formula>
    </cfRule>
    <cfRule type="containsText" dxfId="2259" priority="2921" operator="containsText" text="apr">
      <formula>NOT(ISERROR(SEARCH(("apr"),(B959))))</formula>
    </cfRule>
    <cfRule type="containsText" dxfId="2258" priority="2922" operator="containsText" text="apr">
      <formula>NOT(ISERROR(SEARCH(("apr"),(B959))))</formula>
    </cfRule>
    <cfRule type="containsText" dxfId="2257" priority="2923" operator="containsText" text="apr">
      <formula>NOT(ISERROR(SEARCH(("apr"),(B959))))</formula>
    </cfRule>
    <cfRule type="containsText" dxfId="2256" priority="2924" operator="containsText" text="apr">
      <formula>NOT(ISERROR(SEARCH(("apr"),(B959))))</formula>
    </cfRule>
    <cfRule type="containsText" dxfId="2255" priority="2925" operator="containsText" text="apr">
      <formula>NOT(ISERROR(SEARCH(("apr"),(B959))))</formula>
    </cfRule>
    <cfRule type="containsText" dxfId="2254" priority="2926" operator="containsText" text="apr">
      <formula>NOT(ISERROR(SEARCH(("apr"),(B959))))</formula>
    </cfRule>
    <cfRule type="containsText" dxfId="2253" priority="2927" operator="containsText" text="apr">
      <formula>NOT(ISERROR(SEARCH(("apr"),(B959))))</formula>
    </cfRule>
    <cfRule type="containsText" dxfId="2252" priority="2928" operator="containsText" text="apr">
      <formula>NOT(ISERROR(SEARCH(("apr"),(B959))))</formula>
    </cfRule>
    <cfRule type="containsText" dxfId="2251" priority="2929" operator="containsText" text="apr">
      <formula>NOT(ISERROR(SEARCH(("apr"),(B959))))</formula>
    </cfRule>
    <cfRule type="containsText" dxfId="2250" priority="2930" operator="containsText" text="apr">
      <formula>NOT(ISERROR(SEARCH(("apr"),(B959))))</formula>
    </cfRule>
    <cfRule type="containsText" dxfId="2249" priority="2931" operator="containsText" text="apr">
      <formula>NOT(ISERROR(SEARCH(("apr"),(B959))))</formula>
    </cfRule>
    <cfRule type="containsText" dxfId="2248" priority="2932" operator="containsText" text="apr">
      <formula>NOT(ISERROR(SEARCH(("apr"),(B959))))</formula>
    </cfRule>
    <cfRule type="containsText" dxfId="2247" priority="2933" operator="containsText" text="apr">
      <formula>NOT(ISERROR(SEARCH(("apr"),(B959))))</formula>
    </cfRule>
    <cfRule type="containsText" dxfId="2246" priority="2934" operator="containsText" text="apr">
      <formula>NOT(ISERROR(SEARCH(("apr"),(B959))))</formula>
    </cfRule>
    <cfRule type="containsText" dxfId="2245" priority="2935" operator="containsText" text="apr">
      <formula>NOT(ISERROR(SEARCH(("apr"),(B959))))</formula>
    </cfRule>
    <cfRule type="containsText" dxfId="2244" priority="2936" operator="containsText" text="apr">
      <formula>NOT(ISERROR(SEARCH(("apr"),(B959))))</formula>
    </cfRule>
    <cfRule type="containsText" dxfId="2243" priority="2937" operator="containsText" text="apr">
      <formula>NOT(ISERROR(SEARCH(("apr"),(B959))))</formula>
    </cfRule>
    <cfRule type="containsText" dxfId="2242" priority="2938" operator="containsText" text="apr">
      <formula>NOT(ISERROR(SEARCH(("apr"),(B959))))</formula>
    </cfRule>
    <cfRule type="containsText" dxfId="2241" priority="2939" operator="containsText" text="apr">
      <formula>NOT(ISERROR(SEARCH(("apr"),(B959))))</formula>
    </cfRule>
    <cfRule type="containsText" dxfId="2240" priority="2940" operator="containsText" text="apr">
      <formula>NOT(ISERROR(SEARCH(("apr"),(B959))))</formula>
    </cfRule>
    <cfRule type="containsText" dxfId="2239" priority="2941" operator="containsText" text="apr">
      <formula>NOT(ISERROR(SEARCH(("apr"),(B959))))</formula>
    </cfRule>
    <cfRule type="containsText" dxfId="2238" priority="2942" operator="containsText" text="apr">
      <formula>NOT(ISERROR(SEARCH(("apr"),(B959))))</formula>
    </cfRule>
    <cfRule type="containsText" dxfId="2237" priority="2943" operator="containsText" text="apr">
      <formula>NOT(ISERROR(SEARCH(("apr"),(B959))))</formula>
    </cfRule>
    <cfRule type="containsText" dxfId="2236" priority="2944" operator="containsText" text="apr">
      <formula>NOT(ISERROR(SEARCH(("apr"),(B959))))</formula>
    </cfRule>
    <cfRule type="containsText" dxfId="2235" priority="2945" operator="containsText" text="apr">
      <formula>NOT(ISERROR(SEARCH(("apr"),(B959))))</formula>
    </cfRule>
    <cfRule type="containsText" dxfId="2234" priority="2946" operator="containsText" text="apr">
      <formula>NOT(ISERROR(SEARCH(("apr"),(B959))))</formula>
    </cfRule>
    <cfRule type="containsText" dxfId="2233" priority="2947" operator="containsText" text="apr">
      <formula>NOT(ISERROR(SEARCH(("apr"),(B959))))</formula>
    </cfRule>
    <cfRule type="containsText" dxfId="2232" priority="2948" operator="containsText" text="apr">
      <formula>NOT(ISERROR(SEARCH(("apr"),(B959))))</formula>
    </cfRule>
  </conditionalFormatting>
  <conditionalFormatting sqref="B970:B972">
    <cfRule type="containsText" dxfId="2231" priority="2806" operator="containsText" text="apr">
      <formula>NOT(ISERROR(SEARCH(("apr"),(B970))))</formula>
    </cfRule>
    <cfRule type="containsText" dxfId="2230" priority="2807" operator="containsText" text="apr">
      <formula>NOT(ISERROR(SEARCH(("apr"),(B970))))</formula>
    </cfRule>
    <cfRule type="containsText" dxfId="2229" priority="2808" operator="containsText" text="apr">
      <formula>NOT(ISERROR(SEARCH(("apr"),(B970))))</formula>
    </cfRule>
    <cfRule type="containsText" dxfId="2228" priority="2809" operator="containsText" text="apr">
      <formula>NOT(ISERROR(SEARCH(("apr"),(B970))))</formula>
    </cfRule>
    <cfRule type="containsText" dxfId="2227" priority="2810" operator="containsText" text="apr">
      <formula>NOT(ISERROR(SEARCH(("apr"),(B970))))</formula>
    </cfRule>
    <cfRule type="containsText" dxfId="2226" priority="2811" operator="containsText" text="apr">
      <formula>NOT(ISERROR(SEARCH(("apr"),(B970))))</formula>
    </cfRule>
    <cfRule type="containsText" dxfId="2225" priority="2812" operator="containsText" text="apr">
      <formula>NOT(ISERROR(SEARCH(("apr"),(B970))))</formula>
    </cfRule>
    <cfRule type="containsText" dxfId="2224" priority="2813" operator="containsText" text="apr">
      <formula>NOT(ISERROR(SEARCH(("apr"),(B970))))</formula>
    </cfRule>
    <cfRule type="containsText" dxfId="2223" priority="2814" operator="containsText" text="apr">
      <formula>NOT(ISERROR(SEARCH(("apr"),(B970))))</formula>
    </cfRule>
    <cfRule type="containsText" dxfId="2222" priority="2815" operator="containsText" text="apr">
      <formula>NOT(ISERROR(SEARCH(("apr"),(B970))))</formula>
    </cfRule>
    <cfRule type="containsText" dxfId="2221" priority="2816" operator="containsText" text="apr">
      <formula>NOT(ISERROR(SEARCH(("apr"),(B970))))</formula>
    </cfRule>
    <cfRule type="containsText" dxfId="2220" priority="2817" operator="containsText" text="apr">
      <formula>NOT(ISERROR(SEARCH(("apr"),(B970))))</formula>
    </cfRule>
    <cfRule type="containsText" dxfId="2219" priority="2818" operator="containsText" text="apr">
      <formula>NOT(ISERROR(SEARCH(("apr"),(B970))))</formula>
    </cfRule>
    <cfRule type="containsText" dxfId="2218" priority="2819" operator="containsText" text="apr">
      <formula>NOT(ISERROR(SEARCH(("apr"),(B970))))</formula>
    </cfRule>
    <cfRule type="containsText" dxfId="2217" priority="2820" operator="containsText" text="apr">
      <formula>NOT(ISERROR(SEARCH(("apr"),(B970))))</formula>
    </cfRule>
    <cfRule type="containsText" dxfId="2216" priority="2821" operator="containsText" text="apr">
      <formula>NOT(ISERROR(SEARCH(("apr"),(B970))))</formula>
    </cfRule>
    <cfRule type="containsText" dxfId="2215" priority="2822" operator="containsText" text="apr">
      <formula>NOT(ISERROR(SEARCH(("apr"),(B970))))</formula>
    </cfRule>
    <cfRule type="containsText" dxfId="2214" priority="2823" operator="containsText" text="apr">
      <formula>NOT(ISERROR(SEARCH(("apr"),(B970))))</formula>
    </cfRule>
    <cfRule type="containsText" dxfId="2213" priority="2824" operator="containsText" text="apr">
      <formula>NOT(ISERROR(SEARCH(("apr"),(B970))))</formula>
    </cfRule>
    <cfRule type="containsText" dxfId="2212" priority="2825" operator="containsText" text="apr">
      <formula>NOT(ISERROR(SEARCH(("apr"),(B970))))</formula>
    </cfRule>
    <cfRule type="containsText" dxfId="2211" priority="2826" operator="containsText" text="apr">
      <formula>NOT(ISERROR(SEARCH(("apr"),(B970))))</formula>
    </cfRule>
    <cfRule type="containsText" dxfId="2210" priority="2827" operator="containsText" text="apr">
      <formula>NOT(ISERROR(SEARCH(("apr"),(B970))))</formula>
    </cfRule>
    <cfRule type="containsText" dxfId="2209" priority="2828" operator="containsText" text="apr">
      <formula>NOT(ISERROR(SEARCH(("apr"),(B970))))</formula>
    </cfRule>
    <cfRule type="containsText" dxfId="2208" priority="2829" operator="containsText" text="apr">
      <formula>NOT(ISERROR(SEARCH(("apr"),(B970))))</formula>
    </cfRule>
    <cfRule type="containsText" dxfId="2207" priority="2830" operator="containsText" text="apr">
      <formula>NOT(ISERROR(SEARCH(("apr"),(B970))))</formula>
    </cfRule>
    <cfRule type="containsText" dxfId="2206" priority="2831" operator="containsText" text="apr">
      <formula>NOT(ISERROR(SEARCH(("apr"),(B970))))</formula>
    </cfRule>
    <cfRule type="containsText" dxfId="2205" priority="2832" operator="containsText" text="apr">
      <formula>NOT(ISERROR(SEARCH(("apr"),(B970))))</formula>
    </cfRule>
    <cfRule type="containsText" dxfId="2204" priority="2833" operator="containsText" text="apr">
      <formula>NOT(ISERROR(SEARCH(("apr"),(B970))))</formula>
    </cfRule>
    <cfRule type="containsText" dxfId="2203" priority="2834" operator="containsText" text="apr">
      <formula>NOT(ISERROR(SEARCH(("apr"),(B970))))</formula>
    </cfRule>
    <cfRule type="containsText" dxfId="2202" priority="2835" operator="containsText" text="apr">
      <formula>NOT(ISERROR(SEARCH(("apr"),(B970))))</formula>
    </cfRule>
    <cfRule type="containsText" dxfId="2201" priority="2836" operator="containsText" text="apr">
      <formula>NOT(ISERROR(SEARCH(("apr"),(B970))))</formula>
    </cfRule>
    <cfRule type="containsText" dxfId="2200" priority="2837" operator="containsText" text="apr">
      <formula>NOT(ISERROR(SEARCH(("apr"),(B970))))</formula>
    </cfRule>
    <cfRule type="containsText" dxfId="2199" priority="2838" operator="containsText" text="apr">
      <formula>NOT(ISERROR(SEARCH(("apr"),(B970))))</formula>
    </cfRule>
    <cfRule type="containsText" dxfId="2198" priority="2839" operator="containsText" text="apr">
      <formula>NOT(ISERROR(SEARCH(("apr"),(B970))))</formula>
    </cfRule>
    <cfRule type="containsText" dxfId="2197" priority="2840" operator="containsText" text="apr">
      <formula>NOT(ISERROR(SEARCH(("apr"),(B970))))</formula>
    </cfRule>
    <cfRule type="containsText" dxfId="2196" priority="2841" operator="containsText" text="apr">
      <formula>NOT(ISERROR(SEARCH(("apr"),(B970))))</formula>
    </cfRule>
    <cfRule type="containsText" dxfId="2195" priority="2842" operator="containsText" text="apr">
      <formula>NOT(ISERROR(SEARCH(("apr"),(B970))))</formula>
    </cfRule>
    <cfRule type="containsText" dxfId="2194" priority="2843" operator="containsText" text="apr">
      <formula>NOT(ISERROR(SEARCH(("apr"),(B970))))</formula>
    </cfRule>
    <cfRule type="containsText" dxfId="2193" priority="2844" operator="containsText" text="apr">
      <formula>NOT(ISERROR(SEARCH(("apr"),(B970))))</formula>
    </cfRule>
    <cfRule type="containsText" dxfId="2192" priority="2845" operator="containsText" text="apr">
      <formula>NOT(ISERROR(SEARCH(("apr"),(B970))))</formula>
    </cfRule>
    <cfRule type="containsText" dxfId="2191" priority="2846" operator="containsText" text="apr">
      <formula>NOT(ISERROR(SEARCH(("apr"),(B970))))</formula>
    </cfRule>
    <cfRule type="containsText" dxfId="2190" priority="2847" operator="containsText" text="apr">
      <formula>NOT(ISERROR(SEARCH(("apr"),(B970))))</formula>
    </cfRule>
    <cfRule type="containsText" dxfId="2189" priority="2848" operator="containsText" text="apr">
      <formula>NOT(ISERROR(SEARCH(("apr"),(B970))))</formula>
    </cfRule>
    <cfRule type="containsText" dxfId="2188" priority="2849" operator="containsText" text="apr">
      <formula>NOT(ISERROR(SEARCH(("apr"),(B970))))</formula>
    </cfRule>
    <cfRule type="containsText" dxfId="2187" priority="2850" operator="containsText" text="apr">
      <formula>NOT(ISERROR(SEARCH(("apr"),(B970))))</formula>
    </cfRule>
    <cfRule type="containsText" dxfId="2186" priority="2851" operator="containsText" text="apr">
      <formula>NOT(ISERROR(SEARCH(("apr"),(B970))))</formula>
    </cfRule>
    <cfRule type="containsText" dxfId="2185" priority="2852" operator="containsText" text="apr">
      <formula>NOT(ISERROR(SEARCH(("apr"),(B970))))</formula>
    </cfRule>
    <cfRule type="containsText" dxfId="2184" priority="2853" operator="containsText" text="apr">
      <formula>NOT(ISERROR(SEARCH(("apr"),(B970))))</formula>
    </cfRule>
    <cfRule type="containsText" dxfId="2183" priority="2854" operator="containsText" text="apr">
      <formula>NOT(ISERROR(SEARCH(("apr"),(B970))))</formula>
    </cfRule>
    <cfRule type="containsText" dxfId="2182" priority="2855" operator="containsText" text="apr">
      <formula>NOT(ISERROR(SEARCH(("apr"),(B970))))</formula>
    </cfRule>
    <cfRule type="containsText" dxfId="2181" priority="2856" operator="containsText" text="apr">
      <formula>NOT(ISERROR(SEARCH(("apr"),(B970))))</formula>
    </cfRule>
    <cfRule type="containsText" dxfId="2180" priority="2857" operator="containsText" text="apr">
      <formula>NOT(ISERROR(SEARCH(("apr"),(B970))))</formula>
    </cfRule>
    <cfRule type="containsText" dxfId="2179" priority="2858" operator="containsText" text="apr">
      <formula>NOT(ISERROR(SEARCH(("apr"),(B970))))</formula>
    </cfRule>
    <cfRule type="containsText" dxfId="2178" priority="2859" operator="containsText" text="apr">
      <formula>NOT(ISERROR(SEARCH(("apr"),(B970))))</formula>
    </cfRule>
    <cfRule type="containsText" dxfId="2177" priority="2860" operator="containsText" text="apr">
      <formula>NOT(ISERROR(SEARCH(("apr"),(B970))))</formula>
    </cfRule>
    <cfRule type="containsText" dxfId="2176" priority="2861" operator="containsText" text="apr">
      <formula>NOT(ISERROR(SEARCH(("apr"),(B970))))</formula>
    </cfRule>
    <cfRule type="containsText" dxfId="2175" priority="2862" operator="containsText" text="apr">
      <formula>NOT(ISERROR(SEARCH(("apr"),(B970))))</formula>
    </cfRule>
    <cfRule type="containsText" dxfId="2174" priority="2863" operator="containsText" text="apr">
      <formula>NOT(ISERROR(SEARCH(("apr"),(B970))))</formula>
    </cfRule>
    <cfRule type="containsText" dxfId="2173" priority="2864" operator="containsText" text="apr">
      <formula>NOT(ISERROR(SEARCH(("apr"),(B970))))</formula>
    </cfRule>
    <cfRule type="containsText" dxfId="2172" priority="2865" operator="containsText" text="apr">
      <formula>NOT(ISERROR(SEARCH(("apr"),(B970))))</formula>
    </cfRule>
    <cfRule type="containsText" dxfId="2171" priority="2866" operator="containsText" text="apr">
      <formula>NOT(ISERROR(SEARCH(("apr"),(B970))))</formula>
    </cfRule>
    <cfRule type="containsText" dxfId="2170" priority="2867" operator="containsText" text="apr">
      <formula>NOT(ISERROR(SEARCH(("apr"),(B970))))</formula>
    </cfRule>
    <cfRule type="containsText" dxfId="2169" priority="2868" operator="containsText" text="apr">
      <formula>NOT(ISERROR(SEARCH(("apr"),(B970))))</formula>
    </cfRule>
    <cfRule type="containsText" dxfId="2168" priority="2869" operator="containsText" text="apr">
      <formula>NOT(ISERROR(SEARCH(("apr"),(B970))))</formula>
    </cfRule>
    <cfRule type="containsText" dxfId="2167" priority="2870" operator="containsText" text="apr">
      <formula>NOT(ISERROR(SEARCH(("apr"),(B970))))</formula>
    </cfRule>
    <cfRule type="containsText" dxfId="2166" priority="2871" operator="containsText" text="apr">
      <formula>NOT(ISERROR(SEARCH(("apr"),(B970))))</formula>
    </cfRule>
  </conditionalFormatting>
  <conditionalFormatting sqref="B977">
    <cfRule type="containsText" dxfId="2165" priority="3403" operator="containsText" text="apr">
      <formula>NOT(ISERROR(SEARCH(("apr"),(B977))))</formula>
    </cfRule>
    <cfRule type="containsText" dxfId="2164" priority="3404" operator="containsText" text="apr">
      <formula>NOT(ISERROR(SEARCH(("apr"),(B977))))</formula>
    </cfRule>
    <cfRule type="containsText" dxfId="2163" priority="3405" operator="containsText" text="apr">
      <formula>NOT(ISERROR(SEARCH(("apr"),(B977))))</formula>
    </cfRule>
    <cfRule type="containsText" dxfId="2162" priority="3406" operator="containsText" text="apr">
      <formula>NOT(ISERROR(SEARCH(("apr"),(B977))))</formula>
    </cfRule>
    <cfRule type="containsText" dxfId="2161" priority="3407" operator="containsText" text="apr">
      <formula>NOT(ISERROR(SEARCH(("apr"),(B977))))</formula>
    </cfRule>
    <cfRule type="containsText" dxfId="2160" priority="3408" operator="containsText" text="apr">
      <formula>NOT(ISERROR(SEARCH(("apr"),(B977))))</formula>
    </cfRule>
    <cfRule type="containsText" dxfId="2159" priority="3409" operator="containsText" text="apr">
      <formula>NOT(ISERROR(SEARCH(("apr"),(B977))))</formula>
    </cfRule>
    <cfRule type="containsText" dxfId="2158" priority="3410" operator="containsText" text="apr">
      <formula>NOT(ISERROR(SEARCH(("apr"),(B977))))</formula>
    </cfRule>
    <cfRule type="containsText" dxfId="2157" priority="3411" operator="containsText" text="apr">
      <formula>NOT(ISERROR(SEARCH(("apr"),(B977))))</formula>
    </cfRule>
    <cfRule type="containsText" dxfId="2156" priority="3412" operator="containsText" text="apr">
      <formula>NOT(ISERROR(SEARCH(("apr"),(B977))))</formula>
    </cfRule>
    <cfRule type="containsText" dxfId="2155" priority="3413" operator="containsText" text="apr">
      <formula>NOT(ISERROR(SEARCH(("apr"),(B977))))</formula>
    </cfRule>
    <cfRule type="containsText" dxfId="2154" priority="3414" operator="containsText" text="apr">
      <formula>NOT(ISERROR(SEARCH(("apr"),(B977))))</formula>
    </cfRule>
    <cfRule type="containsText" dxfId="2153" priority="3415" operator="containsText" text="apr">
      <formula>NOT(ISERROR(SEARCH(("apr"),(B977))))</formula>
    </cfRule>
    <cfRule type="containsText" dxfId="2152" priority="3416" operator="containsText" text="apr">
      <formula>NOT(ISERROR(SEARCH(("apr"),(B977))))</formula>
    </cfRule>
    <cfRule type="containsText" dxfId="2151" priority="3417" operator="containsText" text="apr">
      <formula>NOT(ISERROR(SEARCH(("apr"),(B977))))</formula>
    </cfRule>
    <cfRule type="containsText" dxfId="2150" priority="3418" operator="containsText" text="apr">
      <formula>NOT(ISERROR(SEARCH(("apr"),(B977))))</formula>
    </cfRule>
    <cfRule type="containsText" dxfId="2149" priority="3419" operator="containsText" text="apr">
      <formula>NOT(ISERROR(SEARCH(("apr"),(B977))))</formula>
    </cfRule>
    <cfRule type="containsText" dxfId="2148" priority="3420" operator="containsText" text="apr">
      <formula>NOT(ISERROR(SEARCH(("apr"),(B977))))</formula>
    </cfRule>
    <cfRule type="containsText" dxfId="2147" priority="3421" operator="containsText" text="apr">
      <formula>NOT(ISERROR(SEARCH(("apr"),(B977))))</formula>
    </cfRule>
    <cfRule type="containsText" dxfId="2146" priority="3422" operator="containsText" text="apr">
      <formula>NOT(ISERROR(SEARCH(("apr"),(B977))))</formula>
    </cfRule>
    <cfRule type="containsText" dxfId="2145" priority="3423" operator="containsText" text="apr">
      <formula>NOT(ISERROR(SEARCH(("apr"),(B977))))</formula>
    </cfRule>
    <cfRule type="containsText" dxfId="2144" priority="3424" operator="containsText" text="apr">
      <formula>NOT(ISERROR(SEARCH(("apr"),(B977))))</formula>
    </cfRule>
    <cfRule type="containsText" dxfId="2143" priority="3425" operator="containsText" text="apr">
      <formula>NOT(ISERROR(SEARCH(("apr"),(B977))))</formula>
    </cfRule>
    <cfRule type="containsText" dxfId="2142" priority="3426" operator="containsText" text="apr">
      <formula>NOT(ISERROR(SEARCH(("apr"),(B977))))</formula>
    </cfRule>
    <cfRule type="containsText" dxfId="2141" priority="3427" operator="containsText" text="apr">
      <formula>NOT(ISERROR(SEARCH(("apr"),(B977))))</formula>
    </cfRule>
    <cfRule type="containsText" dxfId="2140" priority="3428" operator="containsText" text="apr">
      <formula>NOT(ISERROR(SEARCH(("apr"),(B977))))</formula>
    </cfRule>
    <cfRule type="containsText" dxfId="2139" priority="3429" operator="containsText" text="apr">
      <formula>NOT(ISERROR(SEARCH(("apr"),(B977))))</formula>
    </cfRule>
    <cfRule type="containsText" dxfId="2138" priority="3430" operator="containsText" text="apr">
      <formula>NOT(ISERROR(SEARCH(("apr"),(B977))))</formula>
    </cfRule>
    <cfRule type="containsText" dxfId="2137" priority="3431" operator="containsText" text="apr">
      <formula>NOT(ISERROR(SEARCH(("apr"),(B977))))</formula>
    </cfRule>
    <cfRule type="containsText" dxfId="2136" priority="3432" operator="containsText" text="apr">
      <formula>NOT(ISERROR(SEARCH(("apr"),(B977))))</formula>
    </cfRule>
    <cfRule type="containsText" dxfId="2135" priority="3433" operator="containsText" text="apr">
      <formula>NOT(ISERROR(SEARCH(("apr"),(B977))))</formula>
    </cfRule>
    <cfRule type="containsText" dxfId="2134" priority="3434" operator="containsText" text="apr">
      <formula>NOT(ISERROR(SEARCH(("apr"),(B977))))</formula>
    </cfRule>
    <cfRule type="containsText" dxfId="2133" priority="3435" operator="containsText" text="apr">
      <formula>NOT(ISERROR(SEARCH(("apr"),(B977))))</formula>
    </cfRule>
    <cfRule type="containsText" dxfId="2132" priority="3436" operator="containsText" text="apr">
      <formula>NOT(ISERROR(SEARCH(("apr"),(B977))))</formula>
    </cfRule>
    <cfRule type="containsText" dxfId="2131" priority="3437" operator="containsText" text="apr">
      <formula>NOT(ISERROR(SEARCH(("apr"),(B977))))</formula>
    </cfRule>
    <cfRule type="containsText" dxfId="2130" priority="3438" operator="containsText" text="apr">
      <formula>NOT(ISERROR(SEARCH(("apr"),(B977))))</formula>
    </cfRule>
    <cfRule type="containsText" dxfId="2129" priority="3439" operator="containsText" text="apr">
      <formula>NOT(ISERROR(SEARCH(("apr"),(B977))))</formula>
    </cfRule>
    <cfRule type="containsText" dxfId="2128" priority="3440" operator="containsText" text="apr">
      <formula>NOT(ISERROR(SEARCH(("apr"),(B977))))</formula>
    </cfRule>
    <cfRule type="containsText" dxfId="2127" priority="3441" operator="containsText" text="apr">
      <formula>NOT(ISERROR(SEARCH(("apr"),(B977))))</formula>
    </cfRule>
    <cfRule type="containsText" dxfId="2126" priority="3442" operator="containsText" text="apr">
      <formula>NOT(ISERROR(SEARCH(("apr"),(B977))))</formula>
    </cfRule>
    <cfRule type="containsText" dxfId="2125" priority="3443" operator="containsText" text="apr">
      <formula>NOT(ISERROR(SEARCH(("apr"),(B977))))</formula>
    </cfRule>
    <cfRule type="containsText" dxfId="2124" priority="3444" operator="containsText" text="apr">
      <formula>NOT(ISERROR(SEARCH(("apr"),(B977))))</formula>
    </cfRule>
    <cfRule type="containsText" dxfId="2123" priority="3445" operator="containsText" text="apr">
      <formula>NOT(ISERROR(SEARCH(("apr"),(B977))))</formula>
    </cfRule>
    <cfRule type="containsText" dxfId="2122" priority="3446" operator="containsText" text="apr">
      <formula>NOT(ISERROR(SEARCH(("apr"),(B977))))</formula>
    </cfRule>
    <cfRule type="containsText" dxfId="2121" priority="3447" operator="containsText" text="apr">
      <formula>NOT(ISERROR(SEARCH(("apr"),(B977))))</formula>
    </cfRule>
    <cfRule type="containsText" dxfId="2120" priority="3448" operator="containsText" text="apr">
      <formula>NOT(ISERROR(SEARCH(("apr"),(B977))))</formula>
    </cfRule>
    <cfRule type="containsText" dxfId="2119" priority="3449" operator="containsText" text="apr">
      <formula>NOT(ISERROR(SEARCH(("apr"),(B977))))</formula>
    </cfRule>
    <cfRule type="containsText" dxfId="2118" priority="3450" operator="containsText" text="apr">
      <formula>NOT(ISERROR(SEARCH(("apr"),(B977))))</formula>
    </cfRule>
  </conditionalFormatting>
  <conditionalFormatting sqref="B999">
    <cfRule type="containsText" dxfId="2117" priority="1880" operator="containsText" text="apr">
      <formula>NOT(ISERROR(SEARCH(("apr"),(B999))))</formula>
    </cfRule>
    <cfRule type="containsText" dxfId="2116" priority="1881" operator="containsText" text="apr">
      <formula>NOT(ISERROR(SEARCH(("apr"),(B999))))</formula>
    </cfRule>
    <cfRule type="containsText" dxfId="2115" priority="1882" operator="containsText" text="apr">
      <formula>NOT(ISERROR(SEARCH(("apr"),(B999))))</formula>
    </cfRule>
    <cfRule type="containsText" dxfId="2114" priority="1883" operator="containsText" text="apr">
      <formula>NOT(ISERROR(SEARCH(("apr"),(B999))))</formula>
    </cfRule>
    <cfRule type="containsText" dxfId="2113" priority="1884" operator="containsText" text="apr">
      <formula>NOT(ISERROR(SEARCH(("apr"),(B999))))</formula>
    </cfRule>
    <cfRule type="containsText" dxfId="2112" priority="1885" operator="containsText" text="apr">
      <formula>NOT(ISERROR(SEARCH(("apr"),(B999))))</formula>
    </cfRule>
    <cfRule type="containsText" dxfId="2111" priority="1886" operator="containsText" text="apr">
      <formula>NOT(ISERROR(SEARCH(("apr"),(B999))))</formula>
    </cfRule>
    <cfRule type="containsText" dxfId="2110" priority="1887" operator="containsText" text="apr">
      <formula>NOT(ISERROR(SEARCH(("apr"),(B999))))</formula>
    </cfRule>
    <cfRule type="containsText" dxfId="2109" priority="1888" operator="containsText" text="apr">
      <formula>NOT(ISERROR(SEARCH(("apr"),(B999))))</formula>
    </cfRule>
    <cfRule type="containsText" dxfId="2108" priority="1889" operator="containsText" text="apr">
      <formula>NOT(ISERROR(SEARCH(("apr"),(B999))))</formula>
    </cfRule>
    <cfRule type="containsText" dxfId="2107" priority="1890" operator="containsText" text="apr">
      <formula>NOT(ISERROR(SEARCH(("apr"),(B999))))</formula>
    </cfRule>
    <cfRule type="containsText" dxfId="2106" priority="1891" operator="containsText" text="apr">
      <formula>NOT(ISERROR(SEARCH(("apr"),(B999))))</formula>
    </cfRule>
    <cfRule type="containsText" dxfId="2105" priority="1892" operator="containsText" text="apr">
      <formula>NOT(ISERROR(SEARCH(("apr"),(B999))))</formula>
    </cfRule>
    <cfRule type="containsText" dxfId="2104" priority="1893" operator="containsText" text="apr">
      <formula>NOT(ISERROR(SEARCH(("apr"),(B999))))</formula>
    </cfRule>
    <cfRule type="containsText" dxfId="2103" priority="1894" operator="containsText" text="apr">
      <formula>NOT(ISERROR(SEARCH(("apr"),(B999))))</formula>
    </cfRule>
    <cfRule type="containsText" dxfId="2102" priority="1895" operator="containsText" text="apr">
      <formula>NOT(ISERROR(SEARCH(("apr"),(B999))))</formula>
    </cfRule>
    <cfRule type="containsText" dxfId="2101" priority="1896" operator="containsText" text="apr">
      <formula>NOT(ISERROR(SEARCH(("apr"),(B999))))</formula>
    </cfRule>
    <cfRule type="containsText" dxfId="2100" priority="1897" operator="containsText" text="apr">
      <formula>NOT(ISERROR(SEARCH(("apr"),(B999))))</formula>
    </cfRule>
    <cfRule type="containsText" dxfId="2099" priority="1898" operator="containsText" text="apr">
      <formula>NOT(ISERROR(SEARCH(("apr"),(B999))))</formula>
    </cfRule>
    <cfRule type="containsText" dxfId="2098" priority="1899" operator="containsText" text="apr">
      <formula>NOT(ISERROR(SEARCH(("apr"),(B999))))</formula>
    </cfRule>
    <cfRule type="containsText" dxfId="2097" priority="1900" operator="containsText" text="apr">
      <formula>NOT(ISERROR(SEARCH(("apr"),(B999))))</formula>
    </cfRule>
    <cfRule type="containsText" dxfId="2096" priority="1901" operator="containsText" text="apr">
      <formula>NOT(ISERROR(SEARCH(("apr"),(B999))))</formula>
    </cfRule>
    <cfRule type="containsText" dxfId="2095" priority="1902" operator="containsText" text="apr">
      <formula>NOT(ISERROR(SEARCH(("apr"),(B999))))</formula>
    </cfRule>
    <cfRule type="containsText" dxfId="2094" priority="1903" operator="containsText" text="apr">
      <formula>NOT(ISERROR(SEARCH(("apr"),(B999))))</formula>
    </cfRule>
    <cfRule type="containsText" dxfId="2093" priority="1904" operator="containsText" text="apr">
      <formula>NOT(ISERROR(SEARCH(("apr"),(B999))))</formula>
    </cfRule>
    <cfRule type="containsText" dxfId="2092" priority="1905" operator="containsText" text="apr">
      <formula>NOT(ISERROR(SEARCH(("apr"),(B999))))</formula>
    </cfRule>
    <cfRule type="containsText" dxfId="2091" priority="1906" operator="containsText" text="apr">
      <formula>NOT(ISERROR(SEARCH(("apr"),(B999))))</formula>
    </cfRule>
    <cfRule type="containsText" dxfId="2090" priority="1907" operator="containsText" text="apr">
      <formula>NOT(ISERROR(SEARCH(("apr"),(B999))))</formula>
    </cfRule>
    <cfRule type="containsText" dxfId="2089" priority="1908" operator="containsText" text="apr">
      <formula>NOT(ISERROR(SEARCH(("apr"),(B999))))</formula>
    </cfRule>
    <cfRule type="containsText" dxfId="2088" priority="1909" operator="containsText" text="apr">
      <formula>NOT(ISERROR(SEARCH(("apr"),(B999))))</formula>
    </cfRule>
    <cfRule type="containsText" dxfId="2087" priority="1910" operator="containsText" text="apr">
      <formula>NOT(ISERROR(SEARCH(("apr"),(B999))))</formula>
    </cfRule>
    <cfRule type="containsText" dxfId="2086" priority="1911" operator="containsText" text="apr">
      <formula>NOT(ISERROR(SEARCH(("apr"),(B999))))</formula>
    </cfRule>
    <cfRule type="containsText" dxfId="2085" priority="1912" operator="containsText" text="apr">
      <formula>NOT(ISERROR(SEARCH(("apr"),(B999))))</formula>
    </cfRule>
    <cfRule type="containsText" dxfId="2084" priority="1913" operator="containsText" text="apr">
      <formula>NOT(ISERROR(SEARCH(("apr"),(B999))))</formula>
    </cfRule>
    <cfRule type="containsText" dxfId="2083" priority="1914" operator="containsText" text="apr">
      <formula>NOT(ISERROR(SEARCH(("apr"),(B999))))</formula>
    </cfRule>
    <cfRule type="containsText" dxfId="2082" priority="1915" operator="containsText" text="apr">
      <formula>NOT(ISERROR(SEARCH(("apr"),(B999))))</formula>
    </cfRule>
    <cfRule type="containsText" dxfId="2081" priority="1916" operator="containsText" text="apr">
      <formula>NOT(ISERROR(SEARCH(("apr"),(B999))))</formula>
    </cfRule>
    <cfRule type="containsText" dxfId="2080" priority="1917" operator="containsText" text="apr">
      <formula>NOT(ISERROR(SEARCH(("apr"),(B999))))</formula>
    </cfRule>
    <cfRule type="containsText" dxfId="2079" priority="1918" operator="containsText" text="apr">
      <formula>NOT(ISERROR(SEARCH(("apr"),(B999))))</formula>
    </cfRule>
    <cfRule type="containsText" dxfId="2078" priority="1919" operator="containsText" text="apr">
      <formula>NOT(ISERROR(SEARCH(("apr"),(B999))))</formula>
    </cfRule>
    <cfRule type="containsText" dxfId="2077" priority="1920" operator="containsText" text="apr">
      <formula>NOT(ISERROR(SEARCH(("apr"),(B999))))</formula>
    </cfRule>
    <cfRule type="containsText" dxfId="2076" priority="1921" operator="containsText" text="apr">
      <formula>NOT(ISERROR(SEARCH(("apr"),(B999))))</formula>
    </cfRule>
    <cfRule type="containsText" dxfId="2075" priority="1922" operator="containsText" text="apr">
      <formula>NOT(ISERROR(SEARCH(("apr"),(B999))))</formula>
    </cfRule>
    <cfRule type="containsText" dxfId="2074" priority="1923" operator="containsText" text="apr">
      <formula>NOT(ISERROR(SEARCH(("apr"),(B999))))</formula>
    </cfRule>
    <cfRule type="containsText" dxfId="2073" priority="1924" operator="containsText" text="apr">
      <formula>NOT(ISERROR(SEARCH(("apr"),(B999))))</formula>
    </cfRule>
    <cfRule type="containsText" dxfId="2072" priority="1925" operator="containsText" text="apr">
      <formula>NOT(ISERROR(SEARCH(("apr"),(B999))))</formula>
    </cfRule>
    <cfRule type="containsText" dxfId="2071" priority="1926" operator="containsText" text="apr">
      <formula>NOT(ISERROR(SEARCH(("apr"),(B999))))</formula>
    </cfRule>
    <cfRule type="containsText" dxfId="2070" priority="1927" operator="containsText" text="apr">
      <formula>NOT(ISERROR(SEARCH(("apr"),(B999))))</formula>
    </cfRule>
    <cfRule type="containsText" dxfId="2069" priority="1928" operator="containsText" text="apr">
      <formula>NOT(ISERROR(SEARCH(("apr"),(B999))))</formula>
    </cfRule>
    <cfRule type="containsText" dxfId="2068" priority="1929" operator="containsText" text="apr">
      <formula>NOT(ISERROR(SEARCH(("apr"),(B999))))</formula>
    </cfRule>
    <cfRule type="containsText" dxfId="2067" priority="1930" operator="containsText" text="apr">
      <formula>NOT(ISERROR(SEARCH(("apr"),(B999))))</formula>
    </cfRule>
    <cfRule type="containsText" dxfId="2066" priority="1931" operator="containsText" text="apr">
      <formula>NOT(ISERROR(SEARCH(("apr"),(B999))))</formula>
    </cfRule>
    <cfRule type="containsText" dxfId="2065" priority="1932" operator="containsText" text="apr">
      <formula>NOT(ISERROR(SEARCH(("apr"),(B999))))</formula>
    </cfRule>
    <cfRule type="containsText" dxfId="2064" priority="1933" operator="containsText" text="apr">
      <formula>NOT(ISERROR(SEARCH(("apr"),(B999))))</formula>
    </cfRule>
    <cfRule type="containsText" dxfId="2063" priority="1934" operator="containsText" text="apr">
      <formula>NOT(ISERROR(SEARCH(("apr"),(B999))))</formula>
    </cfRule>
    <cfRule type="containsText" dxfId="2062" priority="1935" operator="containsText" text="apr">
      <formula>NOT(ISERROR(SEARCH(("apr"),(B999))))</formula>
    </cfRule>
    <cfRule type="containsText" dxfId="2061" priority="1936" operator="containsText" text="apr">
      <formula>NOT(ISERROR(SEARCH(("apr"),(B999))))</formula>
    </cfRule>
    <cfRule type="containsText" dxfId="2060" priority="1937" operator="containsText" text="apr">
      <formula>NOT(ISERROR(SEARCH(("apr"),(B999))))</formula>
    </cfRule>
    <cfRule type="containsText" dxfId="2059" priority="1938" operator="containsText" text="apr">
      <formula>NOT(ISERROR(SEARCH(("apr"),(B999))))</formula>
    </cfRule>
    <cfRule type="containsText" dxfId="2058" priority="1939" operator="containsText" text="apr">
      <formula>NOT(ISERROR(SEARCH(("apr"),(B999))))</formula>
    </cfRule>
    <cfRule type="containsText" dxfId="2057" priority="1940" operator="containsText" text="apr">
      <formula>NOT(ISERROR(SEARCH(("apr"),(B999))))</formula>
    </cfRule>
    <cfRule type="containsText" dxfId="2056" priority="1941" operator="containsText" text="apr">
      <formula>NOT(ISERROR(SEARCH(("apr"),(B999))))</formula>
    </cfRule>
    <cfRule type="containsText" dxfId="2055" priority="1942" operator="containsText" text="apr">
      <formula>NOT(ISERROR(SEARCH(("apr"),(B999))))</formula>
    </cfRule>
    <cfRule type="containsText" dxfId="2054" priority="1943" operator="containsText" text="apr">
      <formula>NOT(ISERROR(SEARCH(("apr"),(B999))))</formula>
    </cfRule>
    <cfRule type="containsText" dxfId="2053" priority="1944" operator="containsText" text="apr">
      <formula>NOT(ISERROR(SEARCH(("apr"),(B999))))</formula>
    </cfRule>
    <cfRule type="containsText" dxfId="2052" priority="1945" operator="containsText" text="apr">
      <formula>NOT(ISERROR(SEARCH(("apr"),(B999))))</formula>
    </cfRule>
    <cfRule type="containsText" dxfId="2051" priority="1946" operator="containsText" text="apr">
      <formula>NOT(ISERROR(SEARCH(("apr"),(B999))))</formula>
    </cfRule>
    <cfRule type="containsText" dxfId="2050" priority="1947" operator="containsText" text="apr">
      <formula>NOT(ISERROR(SEARCH(("apr"),(B999))))</formula>
    </cfRule>
    <cfRule type="containsText" dxfId="2049" priority="1948" operator="containsText" text="apr">
      <formula>NOT(ISERROR(SEARCH(("apr"),(B999))))</formula>
    </cfRule>
    <cfRule type="containsText" dxfId="2048" priority="1949" operator="containsText" text="apr">
      <formula>NOT(ISERROR(SEARCH(("apr"),(B999))))</formula>
    </cfRule>
    <cfRule type="containsText" dxfId="2047" priority="1950" operator="containsText" text="apr">
      <formula>NOT(ISERROR(SEARCH(("apr"),(B999))))</formula>
    </cfRule>
    <cfRule type="containsText" dxfId="2046" priority="1951" operator="containsText" text="apr">
      <formula>NOT(ISERROR(SEARCH(("apr"),(B999))))</formula>
    </cfRule>
    <cfRule type="containsText" dxfId="2045" priority="1952" operator="containsText" text="apr">
      <formula>NOT(ISERROR(SEARCH(("apr"),(B999))))</formula>
    </cfRule>
    <cfRule type="containsText" dxfId="2044" priority="1953" operator="containsText" text="apr">
      <formula>NOT(ISERROR(SEARCH(("apr"),(B999))))</formula>
    </cfRule>
    <cfRule type="containsText" dxfId="2043" priority="1954" operator="containsText" text="apr">
      <formula>NOT(ISERROR(SEARCH(("apr"),(B999))))</formula>
    </cfRule>
    <cfRule type="containsText" dxfId="2042" priority="1955" operator="containsText" text="apr">
      <formula>NOT(ISERROR(SEARCH(("apr"),(B999))))</formula>
    </cfRule>
    <cfRule type="containsText" dxfId="2041" priority="1956" operator="containsText" text="apr">
      <formula>NOT(ISERROR(SEARCH(("apr"),(B999))))</formula>
    </cfRule>
    <cfRule type="containsText" dxfId="2040" priority="1957" operator="containsText" text="apr">
      <formula>NOT(ISERROR(SEARCH(("apr"),(B999))))</formula>
    </cfRule>
    <cfRule type="containsText" dxfId="2039" priority="1958" operator="containsText" text="apr">
      <formula>NOT(ISERROR(SEARCH(("apr"),(B999))))</formula>
    </cfRule>
    <cfRule type="containsText" dxfId="2038" priority="1959" operator="containsText" text="apr">
      <formula>NOT(ISERROR(SEARCH(("apr"),(B999))))</formula>
    </cfRule>
    <cfRule type="containsText" dxfId="2037" priority="1960" operator="containsText" text="apr">
      <formula>NOT(ISERROR(SEARCH(("apr"),(B999))))</formula>
    </cfRule>
    <cfRule type="containsText" dxfId="2036" priority="1961" operator="containsText" text="apr">
      <formula>NOT(ISERROR(SEARCH(("apr"),(B999))))</formula>
    </cfRule>
    <cfRule type="containsText" dxfId="2035" priority="1962" operator="containsText" text="apr">
      <formula>NOT(ISERROR(SEARCH(("apr"),(B999))))</formula>
    </cfRule>
    <cfRule type="containsText" dxfId="2034" priority="1963" operator="containsText" text="apr">
      <formula>NOT(ISERROR(SEARCH(("apr"),(B999))))</formula>
    </cfRule>
  </conditionalFormatting>
  <conditionalFormatting sqref="B1037:B1039">
    <cfRule type="containsText" dxfId="2033" priority="2659" operator="containsText" text="apr">
      <formula>NOT(ISERROR(SEARCH(("apr"),(B1037))))</formula>
    </cfRule>
    <cfRule type="containsText" dxfId="2032" priority="2660" operator="containsText" text="apr">
      <formula>NOT(ISERROR(SEARCH(("apr"),(B1037))))</formula>
    </cfRule>
    <cfRule type="containsText" dxfId="2031" priority="2661" operator="containsText" text="apr">
      <formula>NOT(ISERROR(SEARCH(("apr"),(B1037))))</formula>
    </cfRule>
    <cfRule type="containsText" dxfId="2030" priority="2662" operator="containsText" text="apr">
      <formula>NOT(ISERROR(SEARCH(("apr"),(B1037))))</formula>
    </cfRule>
    <cfRule type="containsText" dxfId="2029" priority="2663" operator="containsText" text="apr">
      <formula>NOT(ISERROR(SEARCH(("apr"),(B1037))))</formula>
    </cfRule>
    <cfRule type="containsText" dxfId="2028" priority="2664" operator="containsText" text="apr">
      <formula>NOT(ISERROR(SEARCH(("apr"),(B1037))))</formula>
    </cfRule>
  </conditionalFormatting>
  <conditionalFormatting sqref="B1048:B1049">
    <cfRule type="containsText" dxfId="2027" priority="2508" operator="containsText" text="apr">
      <formula>NOT(ISERROR(SEARCH(("apr"),(B1048))))</formula>
    </cfRule>
    <cfRule type="containsText" dxfId="2026" priority="2509" operator="containsText" text="apr">
      <formula>NOT(ISERROR(SEARCH(("apr"),(B1048))))</formula>
    </cfRule>
    <cfRule type="containsText" dxfId="2025" priority="2510" operator="containsText" text="apr">
      <formula>NOT(ISERROR(SEARCH(("apr"),(B1048))))</formula>
    </cfRule>
    <cfRule type="containsText" dxfId="2024" priority="2511" operator="containsText" text="apr">
      <formula>NOT(ISERROR(SEARCH(("apr"),(B1048))))</formula>
    </cfRule>
    <cfRule type="containsText" dxfId="2023" priority="2512" operator="containsText" text="apr">
      <formula>NOT(ISERROR(SEARCH(("apr"),(B1048))))</formula>
    </cfRule>
    <cfRule type="containsText" dxfId="2022" priority="2513" operator="containsText" text="apr">
      <formula>NOT(ISERROR(SEARCH(("apr"),(B1048))))</formula>
    </cfRule>
  </conditionalFormatting>
  <conditionalFormatting sqref="B1049">
    <cfRule type="containsText" dxfId="2021" priority="2466" operator="containsText" text="apr">
      <formula>NOT(ISERROR(SEARCH(("apr"),(B1049))))</formula>
    </cfRule>
    <cfRule type="containsText" dxfId="2020" priority="2467" operator="containsText" text="apr">
      <formula>NOT(ISERROR(SEARCH(("apr"),(B1049))))</formula>
    </cfRule>
    <cfRule type="containsText" dxfId="2019" priority="2468" operator="containsText" text="apr">
      <formula>NOT(ISERROR(SEARCH(("apr"),(B1049))))</formula>
    </cfRule>
    <cfRule type="containsText" dxfId="2018" priority="2469" operator="containsText" text="apr">
      <formula>NOT(ISERROR(SEARCH(("apr"),(B1049))))</formula>
    </cfRule>
    <cfRule type="containsText" dxfId="2017" priority="2470" operator="containsText" text="apr">
      <formula>NOT(ISERROR(SEARCH(("apr"),(B1049))))</formula>
    </cfRule>
    <cfRule type="containsText" dxfId="2016" priority="2471" operator="containsText" text="apr">
      <formula>NOT(ISERROR(SEARCH(("apr"),(B1049))))</formula>
    </cfRule>
    <cfRule type="containsText" dxfId="2015" priority="2472" operator="containsText" text="apr">
      <formula>NOT(ISERROR(SEARCH(("apr"),(B1049))))</formula>
    </cfRule>
    <cfRule type="containsText" dxfId="2014" priority="2473" operator="containsText" text="apr">
      <formula>NOT(ISERROR(SEARCH(("apr"),(B1049))))</formula>
    </cfRule>
    <cfRule type="containsText" dxfId="2013" priority="2474" operator="containsText" text="apr">
      <formula>NOT(ISERROR(SEARCH(("apr"),(B1049))))</formula>
    </cfRule>
    <cfRule type="containsText" dxfId="2012" priority="2475" operator="containsText" text="apr">
      <formula>NOT(ISERROR(SEARCH(("apr"),(B1049))))</formula>
    </cfRule>
    <cfRule type="containsText" dxfId="2011" priority="2476" operator="containsText" text="apr">
      <formula>NOT(ISERROR(SEARCH(("apr"),(B1049))))</formula>
    </cfRule>
    <cfRule type="containsText" dxfId="2010" priority="2477" operator="containsText" text="apr">
      <formula>NOT(ISERROR(SEARCH(("apr"),(B1049))))</formula>
    </cfRule>
    <cfRule type="containsText" dxfId="2009" priority="2478" operator="containsText" text="apr">
      <formula>NOT(ISERROR(SEARCH(("apr"),(B1049))))</formula>
    </cfRule>
    <cfRule type="containsText" dxfId="2008" priority="2479" operator="containsText" text="apr">
      <formula>NOT(ISERROR(SEARCH(("apr"),(B1049))))</formula>
    </cfRule>
    <cfRule type="containsText" dxfId="2007" priority="2480" operator="containsText" text="apr">
      <formula>NOT(ISERROR(SEARCH(("apr"),(B1049))))</formula>
    </cfRule>
    <cfRule type="containsText" dxfId="2006" priority="2481" operator="containsText" text="apr">
      <formula>NOT(ISERROR(SEARCH(("apr"),(B1049))))</formula>
    </cfRule>
    <cfRule type="containsText" dxfId="2005" priority="2482" operator="containsText" text="apr">
      <formula>NOT(ISERROR(SEARCH(("apr"),(B1049))))</formula>
    </cfRule>
    <cfRule type="containsText" dxfId="2004" priority="2483" operator="containsText" text="apr">
      <formula>NOT(ISERROR(SEARCH(("apr"),(B1049))))</formula>
    </cfRule>
    <cfRule type="containsText" dxfId="2003" priority="2484" operator="containsText" text="apr">
      <formula>NOT(ISERROR(SEARCH(("apr"),(B1049))))</formula>
    </cfRule>
    <cfRule type="containsText" dxfId="2002" priority="2485" operator="containsText" text="apr">
      <formula>NOT(ISERROR(SEARCH(("apr"),(B1049))))</formula>
    </cfRule>
    <cfRule type="containsText" dxfId="2001" priority="2486" operator="containsText" text="apr">
      <formula>NOT(ISERROR(SEARCH(("apr"),(B1049))))</formula>
    </cfRule>
    <cfRule type="containsText" dxfId="2000" priority="2487" operator="containsText" text="apr">
      <formula>NOT(ISERROR(SEARCH(("apr"),(B1049))))</formula>
    </cfRule>
    <cfRule type="containsText" dxfId="1999" priority="2488" operator="containsText" text="apr">
      <formula>NOT(ISERROR(SEARCH(("apr"),(B1049))))</formula>
    </cfRule>
    <cfRule type="containsText" dxfId="1998" priority="2489" operator="containsText" text="apr">
      <formula>NOT(ISERROR(SEARCH(("apr"),(B1049))))</formula>
    </cfRule>
    <cfRule type="containsText" dxfId="1997" priority="2490" operator="containsText" text="apr">
      <formula>NOT(ISERROR(SEARCH(("apr"),(B1049))))</formula>
    </cfRule>
    <cfRule type="containsText" dxfId="1996" priority="2491" operator="containsText" text="apr">
      <formula>NOT(ISERROR(SEARCH(("apr"),(B1049))))</formula>
    </cfRule>
    <cfRule type="containsText" dxfId="1995" priority="2492" operator="containsText" text="apr">
      <formula>NOT(ISERROR(SEARCH(("apr"),(B1049))))</formula>
    </cfRule>
    <cfRule type="containsText" dxfId="1994" priority="2493" operator="containsText" text="apr">
      <formula>NOT(ISERROR(SEARCH(("apr"),(B1049))))</formula>
    </cfRule>
    <cfRule type="containsText" dxfId="1993" priority="2494" operator="containsText" text="apr">
      <formula>NOT(ISERROR(SEARCH(("apr"),(B1049))))</formula>
    </cfRule>
    <cfRule type="containsText" dxfId="1992" priority="2495" operator="containsText" text="apr">
      <formula>NOT(ISERROR(SEARCH(("apr"),(B1049))))</formula>
    </cfRule>
    <cfRule type="containsText" dxfId="1991" priority="2496" operator="containsText" text="apr">
      <formula>NOT(ISERROR(SEARCH(("apr"),(B1049))))</formula>
    </cfRule>
    <cfRule type="containsText" dxfId="1990" priority="2497" operator="containsText" text="apr">
      <formula>NOT(ISERROR(SEARCH(("apr"),(B1049))))</formula>
    </cfRule>
    <cfRule type="containsText" dxfId="1989" priority="2498" operator="containsText" text="apr">
      <formula>NOT(ISERROR(SEARCH(("apr"),(B1049))))</formula>
    </cfRule>
    <cfRule type="containsText" dxfId="1988" priority="2499" operator="containsText" text="apr">
      <formula>NOT(ISERROR(SEARCH(("apr"),(B1049))))</formula>
    </cfRule>
    <cfRule type="containsText" dxfId="1987" priority="2500" operator="containsText" text="apr">
      <formula>NOT(ISERROR(SEARCH(("apr"),(B1049))))</formula>
    </cfRule>
    <cfRule type="containsText" dxfId="1986" priority="2501" operator="containsText" text="apr">
      <formula>NOT(ISERROR(SEARCH(("apr"),(B1049))))</formula>
    </cfRule>
  </conditionalFormatting>
  <conditionalFormatting sqref="B1050">
    <cfRule type="containsText" dxfId="1985" priority="2442" operator="containsText" text="apr">
      <formula>NOT(ISERROR(SEARCH(("apr"),(B1050))))</formula>
    </cfRule>
    <cfRule type="containsText" dxfId="1984" priority="2443" operator="containsText" text="apr">
      <formula>NOT(ISERROR(SEARCH(("apr"),(B1050))))</formula>
    </cfRule>
    <cfRule type="containsText" dxfId="1983" priority="2444" operator="containsText" text="apr">
      <formula>NOT(ISERROR(SEARCH(("apr"),(B1050))))</formula>
    </cfRule>
    <cfRule type="containsText" dxfId="1982" priority="2445" operator="containsText" text="apr">
      <formula>NOT(ISERROR(SEARCH(("apr"),(B1050))))</formula>
    </cfRule>
    <cfRule type="containsText" dxfId="1981" priority="2446" operator="containsText" text="apr">
      <formula>NOT(ISERROR(SEARCH(("apr"),(B1050))))</formula>
    </cfRule>
    <cfRule type="containsText" dxfId="1980" priority="2447" operator="containsText" text="apr">
      <formula>NOT(ISERROR(SEARCH(("apr"),(B1050))))</formula>
    </cfRule>
    <cfRule type="containsText" dxfId="1979" priority="2448" operator="containsText" text="apr">
      <formula>NOT(ISERROR(SEARCH(("apr"),(B1050))))</formula>
    </cfRule>
    <cfRule type="containsText" dxfId="1978" priority="2449" operator="containsText" text="apr">
      <formula>NOT(ISERROR(SEARCH(("apr"),(B1050))))</formula>
    </cfRule>
    <cfRule type="containsText" dxfId="1977" priority="2450" operator="containsText" text="apr">
      <formula>NOT(ISERROR(SEARCH(("apr"),(B1050))))</formula>
    </cfRule>
    <cfRule type="containsText" dxfId="1976" priority="2451" operator="containsText" text="apr">
      <formula>NOT(ISERROR(SEARCH(("apr"),(B1050))))</formula>
    </cfRule>
    <cfRule type="containsText" dxfId="1975" priority="2452" operator="containsText" text="apr">
      <formula>NOT(ISERROR(SEARCH(("apr"),(B1050))))</formula>
    </cfRule>
    <cfRule type="containsText" dxfId="1974" priority="2453" operator="containsText" text="apr">
      <formula>NOT(ISERROR(SEARCH(("apr"),(B1050))))</formula>
    </cfRule>
    <cfRule type="containsText" dxfId="1973" priority="2454" operator="containsText" text="apr">
      <formula>NOT(ISERROR(SEARCH(("apr"),(B1050))))</formula>
    </cfRule>
    <cfRule type="containsText" dxfId="1972" priority="2455" operator="containsText" text="apr">
      <formula>NOT(ISERROR(SEARCH(("apr"),(B1050))))</formula>
    </cfRule>
    <cfRule type="containsText" dxfId="1971" priority="2456" operator="containsText" text="apr">
      <formula>NOT(ISERROR(SEARCH(("apr"),(B1050))))</formula>
    </cfRule>
    <cfRule type="containsText" dxfId="1970" priority="2457" operator="containsText" text="apr">
      <formula>NOT(ISERROR(SEARCH(("apr"),(B1050))))</formula>
    </cfRule>
    <cfRule type="containsText" dxfId="1969" priority="2458" operator="containsText" text="apr">
      <formula>NOT(ISERROR(SEARCH(("apr"),(B1050))))</formula>
    </cfRule>
    <cfRule type="containsText" dxfId="1968" priority="2459" operator="containsText" text="apr">
      <formula>NOT(ISERROR(SEARCH(("apr"),(B1050))))</formula>
    </cfRule>
  </conditionalFormatting>
  <conditionalFormatting sqref="B1052">
    <cfRule type="containsText" dxfId="1967" priority="2385" operator="containsText" text="apr">
      <formula>NOT(ISERROR(SEARCH(("apr"),(B1052))))</formula>
    </cfRule>
    <cfRule type="containsText" dxfId="1966" priority="2386" operator="containsText" text="apr">
      <formula>NOT(ISERROR(SEARCH(("apr"),(B1052))))</formula>
    </cfRule>
    <cfRule type="containsText" dxfId="1965" priority="2387" operator="containsText" text="apr">
      <formula>NOT(ISERROR(SEARCH(("apr"),(B1052))))</formula>
    </cfRule>
    <cfRule type="containsText" dxfId="1964" priority="2388" operator="containsText" text="apr">
      <formula>NOT(ISERROR(SEARCH(("apr"),(B1052))))</formula>
    </cfRule>
    <cfRule type="containsText" dxfId="1963" priority="2389" operator="containsText" text="apr">
      <formula>NOT(ISERROR(SEARCH(("apr"),(B1052))))</formula>
    </cfRule>
    <cfRule type="containsText" dxfId="1962" priority="2390" operator="containsText" text="apr">
      <formula>NOT(ISERROR(SEARCH(("apr"),(B1052))))</formula>
    </cfRule>
    <cfRule type="containsText" dxfId="1961" priority="2391" operator="containsText" text="apr">
      <formula>NOT(ISERROR(SEARCH(("apr"),(B1052))))</formula>
    </cfRule>
    <cfRule type="containsText" dxfId="1960" priority="2392" operator="containsText" text="apr">
      <formula>NOT(ISERROR(SEARCH(("apr"),(B1052))))</formula>
    </cfRule>
    <cfRule type="containsText" dxfId="1959" priority="2393" operator="containsText" text="apr">
      <formula>NOT(ISERROR(SEARCH(("apr"),(B1052))))</formula>
    </cfRule>
    <cfRule type="containsText" dxfId="1958" priority="2394" operator="containsText" text="apr">
      <formula>NOT(ISERROR(SEARCH(("apr"),(B1052))))</formula>
    </cfRule>
    <cfRule type="containsText" dxfId="1957" priority="2395" operator="containsText" text="apr">
      <formula>NOT(ISERROR(SEARCH(("apr"),(B1052))))</formula>
    </cfRule>
    <cfRule type="containsText" dxfId="1956" priority="2396" operator="containsText" text="apr">
      <formula>NOT(ISERROR(SEARCH(("apr"),(B1052))))</formula>
    </cfRule>
    <cfRule type="containsText" dxfId="1955" priority="2397" operator="containsText" text="apr">
      <formula>NOT(ISERROR(SEARCH(("apr"),(B1052))))</formula>
    </cfRule>
    <cfRule type="containsText" dxfId="1954" priority="2398" operator="containsText" text="apr">
      <formula>NOT(ISERROR(SEARCH(("apr"),(B1052))))</formula>
    </cfRule>
    <cfRule type="containsText" dxfId="1953" priority="2399" operator="containsText" text="apr">
      <formula>NOT(ISERROR(SEARCH(("apr"),(B1052))))</formula>
    </cfRule>
    <cfRule type="containsText" dxfId="1952" priority="2400" operator="containsText" text="apr">
      <formula>NOT(ISERROR(SEARCH(("apr"),(B1052))))</formula>
    </cfRule>
    <cfRule type="containsText" dxfId="1951" priority="2401" operator="containsText" text="apr">
      <formula>NOT(ISERROR(SEARCH(("apr"),(B1052))))</formula>
    </cfRule>
    <cfRule type="containsText" dxfId="1950" priority="2402" operator="containsText" text="apr">
      <formula>NOT(ISERROR(SEARCH(("apr"),(B1052))))</formula>
    </cfRule>
    <cfRule type="containsText" dxfId="1949" priority="2403" operator="containsText" text="apr">
      <formula>NOT(ISERROR(SEARCH(("apr"),(B1052))))</formula>
    </cfRule>
    <cfRule type="containsText" dxfId="1948" priority="2404" operator="containsText" text="apr">
      <formula>NOT(ISERROR(SEARCH(("apr"),(B1052))))</formula>
    </cfRule>
    <cfRule type="containsText" dxfId="1947" priority="2405" operator="containsText" text="apr">
      <formula>NOT(ISERROR(SEARCH(("apr"),(B1052))))</formula>
    </cfRule>
    <cfRule type="containsText" dxfId="1946" priority="2406" operator="containsText" text="apr">
      <formula>NOT(ISERROR(SEARCH(("apr"),(B1052))))</formula>
    </cfRule>
    <cfRule type="containsText" dxfId="1945" priority="2407" operator="containsText" text="apr">
      <formula>NOT(ISERROR(SEARCH(("apr"),(B1052))))</formula>
    </cfRule>
    <cfRule type="containsText" dxfId="1944" priority="2408" operator="containsText" text="apr">
      <formula>NOT(ISERROR(SEARCH(("apr"),(B1052))))</formula>
    </cfRule>
    <cfRule type="containsText" dxfId="1943" priority="2409" operator="containsText" text="apr">
      <formula>NOT(ISERROR(SEARCH(("apr"),(B1052))))</formula>
    </cfRule>
    <cfRule type="containsText" dxfId="1942" priority="2410" operator="containsText" text="apr">
      <formula>NOT(ISERROR(SEARCH(("apr"),(B1052))))</formula>
    </cfRule>
    <cfRule type="containsText" dxfId="1941" priority="2411" operator="containsText" text="apr">
      <formula>NOT(ISERROR(SEARCH(("apr"),(B1052))))</formula>
    </cfRule>
    <cfRule type="containsText" dxfId="1940" priority="2412" operator="containsText" text="apr">
      <formula>NOT(ISERROR(SEARCH(("apr"),(B1052))))</formula>
    </cfRule>
    <cfRule type="containsText" dxfId="1939" priority="2413" operator="containsText" text="apr">
      <formula>NOT(ISERROR(SEARCH(("apr"),(B1052))))</formula>
    </cfRule>
    <cfRule type="containsText" dxfId="1938" priority="2414" operator="containsText" text="apr">
      <formula>NOT(ISERROR(SEARCH(("apr"),(B1052))))</formula>
    </cfRule>
    <cfRule type="containsText" dxfId="1937" priority="2415" operator="containsText" text="apr">
      <formula>NOT(ISERROR(SEARCH(("apr"),(B1052))))</formula>
    </cfRule>
    <cfRule type="containsText" dxfId="1936" priority="2416" operator="containsText" text="apr">
      <formula>NOT(ISERROR(SEARCH(("apr"),(B1052))))</formula>
    </cfRule>
    <cfRule type="containsText" dxfId="1935" priority="2417" operator="containsText" text="apr">
      <formula>NOT(ISERROR(SEARCH(("apr"),(B1052))))</formula>
    </cfRule>
    <cfRule type="containsText" dxfId="1934" priority="2418" operator="containsText" text="apr">
      <formula>NOT(ISERROR(SEARCH(("apr"),(B1052))))</formula>
    </cfRule>
    <cfRule type="containsText" dxfId="1933" priority="2419" operator="containsText" text="apr">
      <formula>NOT(ISERROR(SEARCH(("apr"),(B1052))))</formula>
    </cfRule>
    <cfRule type="containsText" dxfId="1932" priority="2420" operator="containsText" text="apr">
      <formula>NOT(ISERROR(SEARCH(("apr"),(B1052))))</formula>
    </cfRule>
  </conditionalFormatting>
  <conditionalFormatting sqref="B1052:B1056 B1058">
    <cfRule type="containsText" dxfId="1931" priority="2267" operator="containsText" text="apr">
      <formula>NOT(ISERROR(SEARCH(("apr"),(B1052))))</formula>
    </cfRule>
    <cfRule type="containsText" dxfId="1930" priority="2268" operator="containsText" text="apr">
      <formula>NOT(ISERROR(SEARCH(("apr"),(B1052))))</formula>
    </cfRule>
    <cfRule type="containsText" dxfId="1929" priority="2269" operator="containsText" text="apr">
      <formula>NOT(ISERROR(SEARCH(("apr"),(B1052))))</formula>
    </cfRule>
    <cfRule type="containsText" dxfId="1928" priority="2270" operator="containsText" text="apr">
      <formula>NOT(ISERROR(SEARCH(("apr"),(B1052))))</formula>
    </cfRule>
    <cfRule type="containsText" dxfId="1927" priority="2271" operator="containsText" text="apr">
      <formula>NOT(ISERROR(SEARCH(("apr"),(B1052))))</formula>
    </cfRule>
    <cfRule type="containsText" dxfId="1926" priority="2272" operator="containsText" text="apr">
      <formula>NOT(ISERROR(SEARCH(("apr"),(B1052))))</formula>
    </cfRule>
    <cfRule type="containsText" dxfId="1925" priority="2273" operator="containsText" text="apr">
      <formula>NOT(ISERROR(SEARCH(("apr"),(B1052))))</formula>
    </cfRule>
    <cfRule type="containsText" dxfId="1924" priority="2274" operator="containsText" text="apr">
      <formula>NOT(ISERROR(SEARCH(("apr"),(B1052))))</formula>
    </cfRule>
    <cfRule type="containsText" dxfId="1923" priority="2275" operator="containsText" text="apr">
      <formula>NOT(ISERROR(SEARCH(("apr"),(B1052))))</formula>
    </cfRule>
    <cfRule type="containsText" dxfId="1922" priority="2276" operator="containsText" text="apr">
      <formula>NOT(ISERROR(SEARCH(("apr"),(B1052))))</formula>
    </cfRule>
    <cfRule type="containsText" dxfId="1921" priority="2277" operator="containsText" text="apr">
      <formula>NOT(ISERROR(SEARCH(("apr"),(B1052))))</formula>
    </cfRule>
    <cfRule type="containsText" dxfId="1920" priority="2278" operator="containsText" text="apr">
      <formula>NOT(ISERROR(SEARCH(("apr"),(B1052))))</formula>
    </cfRule>
    <cfRule type="containsText" dxfId="1919" priority="2279" operator="containsText" text="apr">
      <formula>NOT(ISERROR(SEARCH(("apr"),(B1052))))</formula>
    </cfRule>
    <cfRule type="containsText" dxfId="1918" priority="2280" operator="containsText" text="apr">
      <formula>NOT(ISERROR(SEARCH(("apr"),(B1052))))</formula>
    </cfRule>
    <cfRule type="containsText" dxfId="1917" priority="2281" operator="containsText" text="apr">
      <formula>NOT(ISERROR(SEARCH(("apr"),(B1052))))</formula>
    </cfRule>
    <cfRule type="containsText" dxfId="1916" priority="2282" operator="containsText" text="apr">
      <formula>NOT(ISERROR(SEARCH(("apr"),(B1052))))</formula>
    </cfRule>
    <cfRule type="containsText" dxfId="1915" priority="2283" operator="containsText" text="apr">
      <formula>NOT(ISERROR(SEARCH(("apr"),(B1052))))</formula>
    </cfRule>
    <cfRule type="containsText" dxfId="1914" priority="2284" operator="containsText" text="apr">
      <formula>NOT(ISERROR(SEARCH(("apr"),(B1052))))</formula>
    </cfRule>
    <cfRule type="containsText" dxfId="1913" priority="2285" operator="containsText" text="apr">
      <formula>NOT(ISERROR(SEARCH(("apr"),(B1052))))</formula>
    </cfRule>
    <cfRule type="containsText" dxfId="1912" priority="2286" operator="containsText" text="apr">
      <formula>NOT(ISERROR(SEARCH(("apr"),(B1052))))</formula>
    </cfRule>
    <cfRule type="containsText" dxfId="1911" priority="2287" operator="containsText" text="apr">
      <formula>NOT(ISERROR(SEARCH(("apr"),(B1052))))</formula>
    </cfRule>
    <cfRule type="containsText" dxfId="1910" priority="2288" operator="containsText" text="apr">
      <formula>NOT(ISERROR(SEARCH(("apr"),(B1052))))</formula>
    </cfRule>
    <cfRule type="containsText" dxfId="1909" priority="2289" operator="containsText" text="apr">
      <formula>NOT(ISERROR(SEARCH(("apr"),(B1052))))</formula>
    </cfRule>
    <cfRule type="containsText" dxfId="1908" priority="2290" operator="containsText" text="apr">
      <formula>NOT(ISERROR(SEARCH(("apr"),(B1052))))</formula>
    </cfRule>
    <cfRule type="containsText" dxfId="1907" priority="2291" operator="containsText" text="apr">
      <formula>NOT(ISERROR(SEARCH(("apr"),(B1052))))</formula>
    </cfRule>
    <cfRule type="containsText" dxfId="1906" priority="2292" operator="containsText" text="apr">
      <formula>NOT(ISERROR(SEARCH(("apr"),(B1052))))</formula>
    </cfRule>
    <cfRule type="containsText" dxfId="1905" priority="2293" operator="containsText" text="apr">
      <formula>NOT(ISERROR(SEARCH(("apr"),(B1052))))</formula>
    </cfRule>
    <cfRule type="containsText" dxfId="1904" priority="2294" operator="containsText" text="apr">
      <formula>NOT(ISERROR(SEARCH(("apr"),(B1052))))</formula>
    </cfRule>
    <cfRule type="containsText" dxfId="1903" priority="2295" operator="containsText" text="apr">
      <formula>NOT(ISERROR(SEARCH(("apr"),(B1052))))</formula>
    </cfRule>
    <cfRule type="containsText" dxfId="1902" priority="2296" operator="containsText" text="apr">
      <formula>NOT(ISERROR(SEARCH(("apr"),(B1052))))</formula>
    </cfRule>
    <cfRule type="containsText" dxfId="1901" priority="2297" operator="containsText" text="apr">
      <formula>NOT(ISERROR(SEARCH(("apr"),(B1052))))</formula>
    </cfRule>
    <cfRule type="containsText" dxfId="1900" priority="2298" operator="containsText" text="apr">
      <formula>NOT(ISERROR(SEARCH(("apr"),(B1052))))</formula>
    </cfRule>
    <cfRule type="containsText" dxfId="1899" priority="2299" operator="containsText" text="apr">
      <formula>NOT(ISERROR(SEARCH(("apr"),(B1052))))</formula>
    </cfRule>
    <cfRule type="containsText" dxfId="1898" priority="2300" operator="containsText" text="apr">
      <formula>NOT(ISERROR(SEARCH(("apr"),(B1052))))</formula>
    </cfRule>
    <cfRule type="containsText" dxfId="1897" priority="2301" operator="containsText" text="apr">
      <formula>NOT(ISERROR(SEARCH(("apr"),(B1052))))</formula>
    </cfRule>
    <cfRule type="containsText" dxfId="1896" priority="2302" operator="containsText" text="apr">
      <formula>NOT(ISERROR(SEARCH(("apr"),(B1052))))</formula>
    </cfRule>
    <cfRule type="containsText" dxfId="1895" priority="2303" operator="containsText" text="apr">
      <formula>NOT(ISERROR(SEARCH(("apr"),(B1052))))</formula>
    </cfRule>
    <cfRule type="containsText" dxfId="1894" priority="2304" operator="containsText" text="apr">
      <formula>NOT(ISERROR(SEARCH(("apr"),(B1052))))</formula>
    </cfRule>
    <cfRule type="containsText" dxfId="1893" priority="2305" operator="containsText" text="apr">
      <formula>NOT(ISERROR(SEARCH(("apr"),(B1052))))</formula>
    </cfRule>
    <cfRule type="containsText" dxfId="1892" priority="2306" operator="containsText" text="apr">
      <formula>NOT(ISERROR(SEARCH(("apr"),(B1052))))</formula>
    </cfRule>
    <cfRule type="containsText" dxfId="1891" priority="2307" operator="containsText" text="apr">
      <formula>NOT(ISERROR(SEARCH(("apr"),(B1052))))</formula>
    </cfRule>
    <cfRule type="containsText" dxfId="1890" priority="2308" operator="containsText" text="apr">
      <formula>NOT(ISERROR(SEARCH(("apr"),(B1052))))</formula>
    </cfRule>
    <cfRule type="containsText" dxfId="1889" priority="2309" operator="containsText" text="apr">
      <formula>NOT(ISERROR(SEARCH(("apr"),(B1052))))</formula>
    </cfRule>
    <cfRule type="containsText" dxfId="1888" priority="2310" operator="containsText" text="apr">
      <formula>NOT(ISERROR(SEARCH(("apr"),(B1052))))</formula>
    </cfRule>
    <cfRule type="containsText" dxfId="1887" priority="2311" operator="containsText" text="apr">
      <formula>NOT(ISERROR(SEARCH(("apr"),(B1052))))</formula>
    </cfRule>
    <cfRule type="containsText" dxfId="1886" priority="2312" operator="containsText" text="apr">
      <formula>NOT(ISERROR(SEARCH(("apr"),(B1052))))</formula>
    </cfRule>
    <cfRule type="containsText" dxfId="1885" priority="2313" operator="containsText" text="apr">
      <formula>NOT(ISERROR(SEARCH(("apr"),(B1052))))</formula>
    </cfRule>
    <cfRule type="containsText" dxfId="1884" priority="2314" operator="containsText" text="apr">
      <formula>NOT(ISERROR(SEARCH(("apr"),(B1052))))</formula>
    </cfRule>
  </conditionalFormatting>
  <conditionalFormatting sqref="B1056">
    <cfRule type="containsText" dxfId="1883" priority="2315" operator="containsText" text="apr">
      <formula>NOT(ISERROR(SEARCH(("apr"),(B1056))))</formula>
    </cfRule>
    <cfRule type="containsText" dxfId="1882" priority="2316" operator="containsText" text="apr">
      <formula>NOT(ISERROR(SEARCH(("apr"),(B1056))))</formula>
    </cfRule>
    <cfRule type="containsText" dxfId="1881" priority="2317" operator="containsText" text="apr">
      <formula>NOT(ISERROR(SEARCH(("apr"),(B1056))))</formula>
    </cfRule>
    <cfRule type="containsText" dxfId="1880" priority="2318" operator="containsText" text="apr">
      <formula>NOT(ISERROR(SEARCH(("apr"),(B1056))))</formula>
    </cfRule>
    <cfRule type="containsText" dxfId="1879" priority="2319" operator="containsText" text="apr">
      <formula>NOT(ISERROR(SEARCH(("apr"),(B1056))))</formula>
    </cfRule>
    <cfRule type="containsText" dxfId="1878" priority="2320" operator="containsText" text="apr">
      <formula>NOT(ISERROR(SEARCH(("apr"),(B1056))))</formula>
    </cfRule>
  </conditionalFormatting>
  <conditionalFormatting sqref="B1057">
    <cfRule type="containsText" dxfId="1877" priority="1706" operator="containsText" text="apr">
      <formula>NOT(ISERROR(SEARCH(("apr"),(B1057))))</formula>
    </cfRule>
    <cfRule type="containsText" dxfId="1876" priority="1707" operator="containsText" text="apr">
      <formula>NOT(ISERROR(SEARCH(("apr"),(B1057))))</formula>
    </cfRule>
    <cfRule type="containsText" dxfId="1875" priority="1708" operator="containsText" text="apr">
      <formula>NOT(ISERROR(SEARCH(("apr"),(B1057))))</formula>
    </cfRule>
    <cfRule type="containsText" dxfId="1874" priority="1709" operator="containsText" text="apr">
      <formula>NOT(ISERROR(SEARCH(("apr"),(B1057))))</formula>
    </cfRule>
    <cfRule type="containsText" dxfId="1873" priority="1710" operator="containsText" text="apr">
      <formula>NOT(ISERROR(SEARCH(("apr"),(B1057))))</formula>
    </cfRule>
    <cfRule type="containsText" dxfId="1872" priority="1711" operator="containsText" text="apr">
      <formula>NOT(ISERROR(SEARCH(("apr"),(B1057))))</formula>
    </cfRule>
    <cfRule type="containsText" dxfId="1871" priority="1712" operator="containsText" text="apr">
      <formula>NOT(ISERROR(SEARCH(("apr"),(B1057))))</formula>
    </cfRule>
    <cfRule type="containsText" dxfId="1870" priority="1713" operator="containsText" text="apr">
      <formula>NOT(ISERROR(SEARCH(("apr"),(B1057))))</formula>
    </cfRule>
    <cfRule type="containsText" dxfId="1869" priority="1714" operator="containsText" text="apr">
      <formula>NOT(ISERROR(SEARCH(("apr"),(B1057))))</formula>
    </cfRule>
    <cfRule type="containsText" dxfId="1868" priority="1715" operator="containsText" text="apr">
      <formula>NOT(ISERROR(SEARCH(("apr"),(B1057))))</formula>
    </cfRule>
    <cfRule type="containsText" dxfId="1867" priority="1716" operator="containsText" text="apr">
      <formula>NOT(ISERROR(SEARCH(("apr"),(B1057))))</formula>
    </cfRule>
    <cfRule type="containsText" dxfId="1866" priority="1717" operator="containsText" text="apr">
      <formula>NOT(ISERROR(SEARCH(("apr"),(B1057))))</formula>
    </cfRule>
    <cfRule type="containsText" dxfId="1865" priority="1718" operator="containsText" text="apr">
      <formula>NOT(ISERROR(SEARCH(("apr"),(B1057))))</formula>
    </cfRule>
    <cfRule type="containsText" dxfId="1864" priority="1719" operator="containsText" text="apr">
      <formula>NOT(ISERROR(SEARCH(("apr"),(B1057))))</formula>
    </cfRule>
    <cfRule type="containsText" dxfId="1863" priority="1720" operator="containsText" text="apr">
      <formula>NOT(ISERROR(SEARCH(("apr"),(B1057))))</formula>
    </cfRule>
    <cfRule type="containsText" dxfId="1862" priority="1721" operator="containsText" text="apr">
      <formula>NOT(ISERROR(SEARCH(("apr"),(B1057))))</formula>
    </cfRule>
    <cfRule type="containsText" dxfId="1861" priority="1722" operator="containsText" text="apr">
      <formula>NOT(ISERROR(SEARCH(("apr"),(B1057))))</formula>
    </cfRule>
    <cfRule type="containsText" dxfId="1860" priority="1723" operator="containsText" text="apr">
      <formula>NOT(ISERROR(SEARCH(("apr"),(B1057))))</formula>
    </cfRule>
    <cfRule type="containsText" dxfId="1859" priority="1724" operator="containsText" text="apr">
      <formula>NOT(ISERROR(SEARCH(("apr"),(B1057))))</formula>
    </cfRule>
    <cfRule type="containsText" dxfId="1858" priority="1725" operator="containsText" text="apr">
      <formula>NOT(ISERROR(SEARCH(("apr"),(B1057))))</formula>
    </cfRule>
    <cfRule type="containsText" dxfId="1857" priority="1726" operator="containsText" text="apr">
      <formula>NOT(ISERROR(SEARCH(("apr"),(B1057))))</formula>
    </cfRule>
    <cfRule type="containsText" dxfId="1856" priority="1727" operator="containsText" text="apr">
      <formula>NOT(ISERROR(SEARCH(("apr"),(B1057))))</formula>
    </cfRule>
    <cfRule type="containsText" dxfId="1855" priority="1728" operator="containsText" text="apr">
      <formula>NOT(ISERROR(SEARCH(("apr"),(B1057))))</formula>
    </cfRule>
    <cfRule type="containsText" dxfId="1854" priority="1729" operator="containsText" text="apr">
      <formula>NOT(ISERROR(SEARCH(("apr"),(B1057))))</formula>
    </cfRule>
    <cfRule type="containsText" dxfId="1853" priority="1730" operator="containsText" text="apr">
      <formula>NOT(ISERROR(SEARCH(("apr"),(B1057))))</formula>
    </cfRule>
    <cfRule type="containsText" dxfId="1852" priority="1731" operator="containsText" text="apr">
      <formula>NOT(ISERROR(SEARCH(("apr"),(B1057))))</formula>
    </cfRule>
    <cfRule type="containsText" dxfId="1851" priority="1732" operator="containsText" text="apr">
      <formula>NOT(ISERROR(SEARCH(("apr"),(B1057))))</formula>
    </cfRule>
    <cfRule type="containsText" dxfId="1850" priority="1733" operator="containsText" text="apr">
      <formula>NOT(ISERROR(SEARCH(("apr"),(B1057))))</formula>
    </cfRule>
    <cfRule type="containsText" dxfId="1849" priority="1734" operator="containsText" text="apr">
      <formula>NOT(ISERROR(SEARCH(("apr"),(B1057))))</formula>
    </cfRule>
    <cfRule type="containsText" dxfId="1848" priority="1735" operator="containsText" text="apr">
      <formula>NOT(ISERROR(SEARCH(("apr"),(B1057))))</formula>
    </cfRule>
    <cfRule type="containsText" dxfId="1847" priority="1736" operator="containsText" text="apr">
      <formula>NOT(ISERROR(SEARCH(("apr"),(B1057))))</formula>
    </cfRule>
    <cfRule type="containsText" dxfId="1846" priority="1737" operator="containsText" text="apr">
      <formula>NOT(ISERROR(SEARCH(("apr"),(B1057))))</formula>
    </cfRule>
    <cfRule type="containsText" dxfId="1845" priority="1738" operator="containsText" text="apr">
      <formula>NOT(ISERROR(SEARCH(("apr"),(B1057))))</formula>
    </cfRule>
    <cfRule type="containsText" dxfId="1844" priority="1739" operator="containsText" text="apr">
      <formula>NOT(ISERROR(SEARCH(("apr"),(B1057))))</formula>
    </cfRule>
    <cfRule type="containsText" dxfId="1843" priority="1740" operator="containsText" text="apr">
      <formula>NOT(ISERROR(SEARCH(("apr"),(B1057))))</formula>
    </cfRule>
    <cfRule type="containsText" dxfId="1842" priority="1741" operator="containsText" text="apr">
      <formula>NOT(ISERROR(SEARCH(("apr"),(B1057))))</formula>
    </cfRule>
    <cfRule type="containsText" dxfId="1841" priority="1742" operator="containsText" text="apr">
      <formula>NOT(ISERROR(SEARCH(("apr"),(B1057))))</formula>
    </cfRule>
    <cfRule type="containsText" dxfId="1840" priority="1743" operator="containsText" text="apr">
      <formula>NOT(ISERROR(SEARCH(("apr"),(B1057))))</formula>
    </cfRule>
    <cfRule type="containsText" dxfId="1839" priority="1744" operator="containsText" text="apr">
      <formula>NOT(ISERROR(SEARCH(("apr"),(B1057))))</formula>
    </cfRule>
    <cfRule type="containsText" dxfId="1838" priority="1745" operator="containsText" text="apr">
      <formula>NOT(ISERROR(SEARCH(("apr"),(B1057))))</formula>
    </cfRule>
    <cfRule type="containsText" dxfId="1837" priority="1746" operator="containsText" text="apr">
      <formula>NOT(ISERROR(SEARCH(("apr"),(B1057))))</formula>
    </cfRule>
    <cfRule type="containsText" dxfId="1836" priority="1747" operator="containsText" text="apr">
      <formula>NOT(ISERROR(SEARCH(("apr"),(B1057))))</formula>
    </cfRule>
    <cfRule type="containsText" dxfId="1835" priority="1748" operator="containsText" text="apr">
      <formula>NOT(ISERROR(SEARCH(("apr"),(B1057))))</formula>
    </cfRule>
    <cfRule type="containsText" dxfId="1834" priority="1749" operator="containsText" text="apr">
      <formula>NOT(ISERROR(SEARCH(("apr"),(B1057))))</formula>
    </cfRule>
    <cfRule type="containsText" dxfId="1833" priority="1750" operator="containsText" text="apr">
      <formula>NOT(ISERROR(SEARCH(("apr"),(B1057))))</formula>
    </cfRule>
    <cfRule type="containsText" dxfId="1832" priority="1751" operator="containsText" text="apr">
      <formula>NOT(ISERROR(SEARCH(("apr"),(B1057))))</formula>
    </cfRule>
    <cfRule type="containsText" dxfId="1831" priority="1752" operator="containsText" text="apr">
      <formula>NOT(ISERROR(SEARCH(("apr"),(B1057))))</formula>
    </cfRule>
    <cfRule type="containsText" dxfId="1830" priority="1753" operator="containsText" text="apr">
      <formula>NOT(ISERROR(SEARCH(("apr"),(B1057))))</formula>
    </cfRule>
    <cfRule type="containsText" dxfId="1829" priority="1754" operator="containsText" text="apr">
      <formula>NOT(ISERROR(SEARCH(("apr"),(B1057))))</formula>
    </cfRule>
    <cfRule type="containsText" dxfId="1828" priority="1755" operator="containsText" text="apr">
      <formula>NOT(ISERROR(SEARCH(("apr"),(B1057))))</formula>
    </cfRule>
    <cfRule type="containsText" dxfId="1827" priority="1756" operator="containsText" text="apr">
      <formula>NOT(ISERROR(SEARCH(("apr"),(B1057))))</formula>
    </cfRule>
    <cfRule type="containsText" dxfId="1826" priority="1757" operator="containsText" text="apr">
      <formula>NOT(ISERROR(SEARCH(("apr"),(B1057))))</formula>
    </cfRule>
    <cfRule type="containsText" dxfId="1825" priority="1758" operator="containsText" text="apr">
      <formula>NOT(ISERROR(SEARCH(("apr"),(B1057))))</formula>
    </cfRule>
    <cfRule type="containsText" dxfId="1824" priority="1759" operator="containsText" text="apr">
      <formula>NOT(ISERROR(SEARCH(("apr"),(B1057))))</formula>
    </cfRule>
    <cfRule type="containsText" dxfId="1823" priority="1760" operator="containsText" text="apr">
      <formula>NOT(ISERROR(SEARCH(("apr"),(B1057))))</formula>
    </cfRule>
    <cfRule type="containsText" dxfId="1822" priority="1761" operator="containsText" text="apr">
      <formula>NOT(ISERROR(SEARCH(("apr"),(B1057))))</formula>
    </cfRule>
    <cfRule type="containsText" dxfId="1821" priority="1762" operator="containsText" text="apr">
      <formula>NOT(ISERROR(SEARCH(("apr"),(B1057))))</formula>
    </cfRule>
    <cfRule type="containsText" dxfId="1820" priority="1763" operator="containsText" text="apr">
      <formula>NOT(ISERROR(SEARCH(("apr"),(B1057))))</formula>
    </cfRule>
    <cfRule type="containsText" dxfId="1819" priority="1764" operator="containsText" text="apr">
      <formula>NOT(ISERROR(SEARCH(("apr"),(B1057))))</formula>
    </cfRule>
    <cfRule type="containsText" dxfId="1818" priority="1765" operator="containsText" text="apr">
      <formula>NOT(ISERROR(SEARCH(("apr"),(B1057))))</formula>
    </cfRule>
    <cfRule type="containsText" dxfId="1817" priority="1766" operator="containsText" text="apr">
      <formula>NOT(ISERROR(SEARCH(("apr"),(B1057))))</formula>
    </cfRule>
    <cfRule type="containsText" dxfId="1816" priority="1767" operator="containsText" text="apr">
      <formula>NOT(ISERROR(SEARCH(("apr"),(B1057))))</formula>
    </cfRule>
    <cfRule type="containsText" dxfId="1815" priority="1768" operator="containsText" text="apr">
      <formula>NOT(ISERROR(SEARCH(("apr"),(B1057))))</formula>
    </cfRule>
    <cfRule type="containsText" dxfId="1814" priority="1769" operator="containsText" text="apr">
      <formula>NOT(ISERROR(SEARCH(("apr"),(B1057))))</formula>
    </cfRule>
    <cfRule type="containsText" dxfId="1813" priority="1770" operator="containsText" text="apr">
      <formula>NOT(ISERROR(SEARCH(("apr"),(B1057))))</formula>
    </cfRule>
    <cfRule type="containsText" dxfId="1812" priority="1771" operator="containsText" text="apr">
      <formula>NOT(ISERROR(SEARCH(("apr"),(B1057))))</formula>
    </cfRule>
    <cfRule type="containsText" dxfId="1811" priority="1772" operator="containsText" text="apr">
      <formula>NOT(ISERROR(SEARCH(("apr"),(B1057))))</formula>
    </cfRule>
    <cfRule type="containsText" dxfId="1810" priority="1773" operator="containsText" text="apr">
      <formula>NOT(ISERROR(SEARCH(("apr"),(B1057))))</formula>
    </cfRule>
    <cfRule type="containsText" dxfId="1809" priority="1774" operator="containsText" text="apr">
      <formula>NOT(ISERROR(SEARCH(("apr"),(B1057))))</formula>
    </cfRule>
    <cfRule type="containsText" dxfId="1808" priority="1775" operator="containsText" text="apr">
      <formula>NOT(ISERROR(SEARCH(("apr"),(B1057))))</formula>
    </cfRule>
    <cfRule type="containsText" dxfId="1807" priority="1776" operator="containsText" text="apr">
      <formula>NOT(ISERROR(SEARCH(("apr"),(B1057))))</formula>
    </cfRule>
    <cfRule type="containsText" dxfId="1806" priority="1777" operator="containsText" text="apr">
      <formula>NOT(ISERROR(SEARCH(("apr"),(B1057))))</formula>
    </cfRule>
    <cfRule type="containsText" dxfId="1805" priority="1778" operator="containsText" text="apr">
      <formula>NOT(ISERROR(SEARCH(("apr"),(B1057))))</formula>
    </cfRule>
    <cfRule type="containsText" dxfId="1804" priority="1779" operator="containsText" text="apr">
      <formula>NOT(ISERROR(SEARCH(("apr"),(B1057))))</formula>
    </cfRule>
    <cfRule type="containsText" dxfId="1803" priority="1780" operator="containsText" text="apr">
      <formula>NOT(ISERROR(SEARCH(("apr"),(B1057))))</formula>
    </cfRule>
    <cfRule type="containsText" dxfId="1802" priority="1781" operator="containsText" text="apr">
      <formula>NOT(ISERROR(SEARCH(("apr"),(B1057))))</formula>
    </cfRule>
    <cfRule type="containsText" dxfId="1801" priority="1782" operator="containsText" text="apr">
      <formula>NOT(ISERROR(SEARCH(("apr"),(B1057))))</formula>
    </cfRule>
    <cfRule type="containsText" dxfId="1800" priority="1783" operator="containsText" text="apr">
      <formula>NOT(ISERROR(SEARCH(("apr"),(B1057))))</formula>
    </cfRule>
    <cfRule type="containsText" dxfId="1799" priority="1801" operator="containsText" text="apr">
      <formula>NOT(ISERROR(SEARCH(("apr"),(B1057))))</formula>
    </cfRule>
    <cfRule type="containsText" dxfId="1798" priority="1802" operator="containsText" text="apr">
      <formula>NOT(ISERROR(SEARCH(("apr"),(B1057))))</formula>
    </cfRule>
    <cfRule type="containsText" dxfId="1797" priority="1803" operator="containsText" text="apr">
      <formula>NOT(ISERROR(SEARCH(("apr"),(B1057))))</formula>
    </cfRule>
    <cfRule type="containsText" dxfId="1796" priority="1804" operator="containsText" text="apr">
      <formula>NOT(ISERROR(SEARCH(("apr"),(B1057))))</formula>
    </cfRule>
    <cfRule type="containsText" dxfId="1795" priority="1805" operator="containsText" text="apr">
      <formula>NOT(ISERROR(SEARCH(("apr"),(B1057))))</formula>
    </cfRule>
    <cfRule type="containsText" dxfId="1794" priority="1806" operator="containsText" text="apr">
      <formula>NOT(ISERROR(SEARCH(("apr"),(B1057))))</formula>
    </cfRule>
  </conditionalFormatting>
  <conditionalFormatting sqref="B1071">
    <cfRule type="containsText" dxfId="1793" priority="2194" operator="containsText" text="apr">
      <formula>NOT(ISERROR(SEARCH(("apr"),(C1071))))</formula>
    </cfRule>
  </conditionalFormatting>
  <conditionalFormatting sqref="B1080">
    <cfRule type="containsText" dxfId="1792" priority="2140" operator="containsText" text="apr">
      <formula>NOT(ISERROR(SEARCH(("apr"),(B1080))))</formula>
    </cfRule>
    <cfRule type="containsText" dxfId="1791" priority="2141" operator="containsText" text="apr">
      <formula>NOT(ISERROR(SEARCH(("apr"),(B1080))))</formula>
    </cfRule>
    <cfRule type="containsText" dxfId="1790" priority="2142" operator="containsText" text="apr">
      <formula>NOT(ISERROR(SEARCH(("apr"),(B1080))))</formula>
    </cfRule>
    <cfRule type="containsText" dxfId="1789" priority="2143" operator="containsText" text="apr">
      <formula>NOT(ISERROR(SEARCH(("apr"),(B1080))))</formula>
    </cfRule>
    <cfRule type="containsText" dxfId="1788" priority="2144" operator="containsText" text="apr">
      <formula>NOT(ISERROR(SEARCH(("apr"),(B1080))))</formula>
    </cfRule>
    <cfRule type="containsText" dxfId="1787" priority="2145" operator="containsText" text="apr">
      <formula>NOT(ISERROR(SEARCH(("apr"),(B1080))))</formula>
    </cfRule>
  </conditionalFormatting>
  <conditionalFormatting sqref="B1082">
    <cfRule type="containsText" dxfId="1786" priority="2030" operator="containsText" text="apr">
      <formula>NOT(ISERROR(SEARCH(("apr"),(B1082))))</formula>
    </cfRule>
    <cfRule type="containsText" dxfId="1785" priority="2031" operator="containsText" text="apr">
      <formula>NOT(ISERROR(SEARCH(("apr"),(B1082))))</formula>
    </cfRule>
    <cfRule type="containsText" dxfId="1784" priority="2032" operator="containsText" text="apr">
      <formula>NOT(ISERROR(SEARCH(("apr"),(B1082))))</formula>
    </cfRule>
    <cfRule type="containsText" dxfId="1783" priority="2033" operator="containsText" text="apr">
      <formula>NOT(ISERROR(SEARCH(("apr"),(B1082))))</formula>
    </cfRule>
    <cfRule type="containsText" dxfId="1782" priority="2034" operator="containsText" text="apr">
      <formula>NOT(ISERROR(SEARCH(("apr"),(B1082))))</formula>
    </cfRule>
    <cfRule type="containsText" dxfId="1781" priority="2035" operator="containsText" text="apr">
      <formula>NOT(ISERROR(SEARCH(("apr"),(B1082))))</formula>
    </cfRule>
  </conditionalFormatting>
  <conditionalFormatting sqref="B1083:B1084">
    <cfRule type="containsText" dxfId="1780" priority="1984" operator="containsText" text="apr">
      <formula>NOT(ISERROR(SEARCH(("apr"),(B1083))))</formula>
    </cfRule>
    <cfRule type="containsText" dxfId="1779" priority="1985" operator="containsText" text="apr">
      <formula>NOT(ISERROR(SEARCH(("apr"),(B1083))))</formula>
    </cfRule>
    <cfRule type="containsText" dxfId="1778" priority="1986" operator="containsText" text="apr">
      <formula>NOT(ISERROR(SEARCH(("apr"),(B1083))))</formula>
    </cfRule>
    <cfRule type="containsText" dxfId="1777" priority="1987" operator="containsText" text="apr">
      <formula>NOT(ISERROR(SEARCH(("apr"),(B1083))))</formula>
    </cfRule>
    <cfRule type="containsText" dxfId="1776" priority="1988" operator="containsText" text="apr">
      <formula>NOT(ISERROR(SEARCH(("apr"),(B1083))))</formula>
    </cfRule>
    <cfRule type="containsText" dxfId="1775" priority="1989" operator="containsText" text="apr">
      <formula>NOT(ISERROR(SEARCH(("apr"),(B1083))))</formula>
    </cfRule>
    <cfRule type="containsText" dxfId="1774" priority="1990" operator="containsText" text="apr">
      <formula>NOT(ISERROR(SEARCH(("apr"),(B1083))))</formula>
    </cfRule>
    <cfRule type="containsText" dxfId="1773" priority="1991" operator="containsText" text="apr">
      <formula>NOT(ISERROR(SEARCH(("apr"),(B1083))))</formula>
    </cfRule>
    <cfRule type="containsText" dxfId="1772" priority="1992" operator="containsText" text="apr">
      <formula>NOT(ISERROR(SEARCH(("apr"),(B1083))))</formula>
    </cfRule>
    <cfRule type="containsText" dxfId="1771" priority="1993" operator="containsText" text="apr">
      <formula>NOT(ISERROR(SEARCH(("apr"),(B1083))))</formula>
    </cfRule>
    <cfRule type="containsText" dxfId="1770" priority="1994" operator="containsText" text="apr">
      <formula>NOT(ISERROR(SEARCH(("apr"),(B1083))))</formula>
    </cfRule>
    <cfRule type="containsText" dxfId="1769" priority="1995" operator="containsText" text="apr">
      <formula>NOT(ISERROR(SEARCH(("apr"),(B1083))))</formula>
    </cfRule>
    <cfRule type="containsText" dxfId="1768" priority="1996" operator="containsText" text="apr">
      <formula>NOT(ISERROR(SEARCH(("apr"),(B1083))))</formula>
    </cfRule>
    <cfRule type="containsText" dxfId="1767" priority="1997" operator="containsText" text="apr">
      <formula>NOT(ISERROR(SEARCH(("apr"),(B1083))))</formula>
    </cfRule>
    <cfRule type="containsText" dxfId="1766" priority="1998" operator="containsText" text="apr">
      <formula>NOT(ISERROR(SEARCH(("apr"),(B1083))))</formula>
    </cfRule>
    <cfRule type="containsText" dxfId="1765" priority="1999" operator="containsText" text="apr">
      <formula>NOT(ISERROR(SEARCH(("apr"),(B1083))))</formula>
    </cfRule>
    <cfRule type="containsText" dxfId="1764" priority="2000" operator="containsText" text="apr">
      <formula>NOT(ISERROR(SEARCH(("apr"),(B1083))))</formula>
    </cfRule>
    <cfRule type="containsText" dxfId="1763" priority="2001" operator="containsText" text="apr">
      <formula>NOT(ISERROR(SEARCH(("apr"),(B1083))))</formula>
    </cfRule>
  </conditionalFormatting>
  <conditionalFormatting sqref="B1084">
    <cfRule type="containsText" dxfId="1762" priority="1613" operator="containsText" text="apr">
      <formula>NOT(ISERROR(SEARCH(("apr"),(B1084))))</formula>
    </cfRule>
    <cfRule type="containsText" dxfId="1761" priority="1614" operator="containsText" text="apr">
      <formula>NOT(ISERROR(SEARCH(("apr"),(B1084))))</formula>
    </cfRule>
    <cfRule type="containsText" dxfId="1760" priority="1615" operator="containsText" text="apr">
      <formula>NOT(ISERROR(SEARCH(("apr"),(B1084))))</formula>
    </cfRule>
    <cfRule type="containsText" dxfId="1759" priority="1616" operator="containsText" text="apr">
      <formula>NOT(ISERROR(SEARCH(("apr"),(B1084))))</formula>
    </cfRule>
    <cfRule type="containsText" dxfId="1758" priority="1617" operator="containsText" text="apr">
      <formula>NOT(ISERROR(SEARCH(("apr"),(B1084))))</formula>
    </cfRule>
    <cfRule type="containsText" dxfId="1757" priority="1618" operator="containsText" text="apr">
      <formula>NOT(ISERROR(SEARCH(("apr"),(B1084))))</formula>
    </cfRule>
    <cfRule type="containsText" dxfId="1756" priority="1619" operator="containsText" text="apr">
      <formula>NOT(ISERROR(SEARCH(("apr"),(B1084))))</formula>
    </cfRule>
    <cfRule type="containsText" dxfId="1755" priority="1620" operator="containsText" text="apr">
      <formula>NOT(ISERROR(SEARCH(("apr"),(B1084))))</formula>
    </cfRule>
    <cfRule type="containsText" dxfId="1754" priority="1621" operator="containsText" text="apr">
      <formula>NOT(ISERROR(SEARCH(("apr"),(B1084))))</formula>
    </cfRule>
    <cfRule type="containsText" dxfId="1753" priority="1622" operator="containsText" text="apr">
      <formula>NOT(ISERROR(SEARCH(("apr"),(B1084))))</formula>
    </cfRule>
    <cfRule type="containsText" dxfId="1752" priority="1623" operator="containsText" text="apr">
      <formula>NOT(ISERROR(SEARCH(("apr"),(B1084))))</formula>
    </cfRule>
    <cfRule type="containsText" dxfId="1751" priority="1624" operator="containsText" text="apr">
      <formula>NOT(ISERROR(SEARCH(("apr"),(B1084))))</formula>
    </cfRule>
    <cfRule type="containsText" dxfId="1750" priority="1625" operator="containsText" text="apr">
      <formula>NOT(ISERROR(SEARCH(("apr"),(B1084))))</formula>
    </cfRule>
    <cfRule type="containsText" dxfId="1749" priority="1626" operator="containsText" text="apr">
      <formula>NOT(ISERROR(SEARCH(("apr"),(B1084))))</formula>
    </cfRule>
    <cfRule type="containsText" dxfId="1748" priority="1627" operator="containsText" text="apr">
      <formula>NOT(ISERROR(SEARCH(("apr"),(B1084))))</formula>
    </cfRule>
    <cfRule type="containsText" dxfId="1747" priority="1628" operator="containsText" text="apr">
      <formula>NOT(ISERROR(SEARCH(("apr"),(B1084))))</formula>
    </cfRule>
    <cfRule type="containsText" dxfId="1746" priority="1629" operator="containsText" text="apr">
      <formula>NOT(ISERROR(SEARCH(("apr"),(B1084))))</formula>
    </cfRule>
    <cfRule type="containsText" dxfId="1745" priority="1630" operator="containsText" text="apr">
      <formula>NOT(ISERROR(SEARCH(("apr"),(B1084))))</formula>
    </cfRule>
    <cfRule type="containsText" dxfId="1744" priority="1631" operator="containsText" text="apr">
      <formula>NOT(ISERROR(SEARCH(("apr"),(B1084))))</formula>
    </cfRule>
    <cfRule type="containsText" dxfId="1743" priority="1632" operator="containsText" text="apr">
      <formula>NOT(ISERROR(SEARCH(("apr"),(B1084))))</formula>
    </cfRule>
    <cfRule type="containsText" dxfId="1742" priority="1633" operator="containsText" text="apr">
      <formula>NOT(ISERROR(SEARCH(("apr"),(B1084))))</formula>
    </cfRule>
    <cfRule type="containsText" dxfId="1741" priority="1634" operator="containsText" text="apr">
      <formula>NOT(ISERROR(SEARCH(("apr"),(B1084))))</formula>
    </cfRule>
    <cfRule type="containsText" dxfId="1740" priority="1635" operator="containsText" text="apr">
      <formula>NOT(ISERROR(SEARCH(("apr"),(B1084))))</formula>
    </cfRule>
    <cfRule type="containsText" dxfId="1739" priority="1636" operator="containsText" text="apr">
      <formula>NOT(ISERROR(SEARCH(("apr"),(B1084))))</formula>
    </cfRule>
    <cfRule type="containsText" dxfId="1738" priority="1637" operator="containsText" text="apr">
      <formula>NOT(ISERROR(SEARCH(("apr"),(B1084))))</formula>
    </cfRule>
    <cfRule type="containsText" dxfId="1737" priority="1638" operator="containsText" text="apr">
      <formula>NOT(ISERROR(SEARCH(("apr"),(B1084))))</formula>
    </cfRule>
    <cfRule type="containsText" dxfId="1736" priority="1639" operator="containsText" text="apr">
      <formula>NOT(ISERROR(SEARCH(("apr"),(B1084))))</formula>
    </cfRule>
    <cfRule type="containsText" dxfId="1735" priority="1640" operator="containsText" text="apr">
      <formula>NOT(ISERROR(SEARCH(("apr"),(B1084))))</formula>
    </cfRule>
    <cfRule type="containsText" dxfId="1734" priority="1641" operator="containsText" text="apr">
      <formula>NOT(ISERROR(SEARCH(("apr"),(B1084))))</formula>
    </cfRule>
    <cfRule type="containsText" dxfId="1733" priority="1642" operator="containsText" text="apr">
      <formula>NOT(ISERROR(SEARCH(("apr"),(B1084))))</formula>
    </cfRule>
    <cfRule type="containsText" dxfId="1732" priority="1643" operator="containsText" text="apr">
      <formula>NOT(ISERROR(SEARCH(("apr"),(B1084))))</formula>
    </cfRule>
    <cfRule type="containsText" dxfId="1731" priority="1644" operator="containsText" text="apr">
      <formula>NOT(ISERROR(SEARCH(("apr"),(B1084))))</formula>
    </cfRule>
    <cfRule type="containsText" dxfId="1730" priority="1645" operator="containsText" text="apr">
      <formula>NOT(ISERROR(SEARCH(("apr"),(B1084))))</formula>
    </cfRule>
    <cfRule type="containsText" dxfId="1729" priority="1646" operator="containsText" text="apr">
      <formula>NOT(ISERROR(SEARCH(("apr"),(B1084))))</formula>
    </cfRule>
    <cfRule type="containsText" dxfId="1728" priority="1647" operator="containsText" text="apr">
      <formula>NOT(ISERROR(SEARCH(("apr"),(B1084))))</formula>
    </cfRule>
    <cfRule type="containsText" dxfId="1727" priority="1648" operator="containsText" text="apr">
      <formula>NOT(ISERROR(SEARCH(("apr"),(B1084))))</formula>
    </cfRule>
    <cfRule type="containsText" dxfId="1726" priority="1652" operator="containsText" text="apr">
      <formula>NOT(ISERROR(SEARCH(("apr"),(B1084))))</formula>
    </cfRule>
    <cfRule type="containsText" dxfId="1725" priority="1653" operator="containsText" text="apr">
      <formula>NOT(ISERROR(SEARCH(("apr"),(B1084))))</formula>
    </cfRule>
    <cfRule type="containsText" dxfId="1724" priority="1654" operator="containsText" text="apr">
      <formula>NOT(ISERROR(SEARCH(("apr"),(B1084))))</formula>
    </cfRule>
    <cfRule type="containsText" dxfId="1723" priority="1655" operator="containsText" text="apr">
      <formula>NOT(ISERROR(SEARCH(("apr"),(B1084))))</formula>
    </cfRule>
    <cfRule type="containsText" dxfId="1722" priority="1656" operator="containsText" text="apr">
      <formula>NOT(ISERROR(SEARCH(("apr"),(B1084))))</formula>
    </cfRule>
    <cfRule type="containsText" dxfId="1721" priority="1657" operator="containsText" text="apr">
      <formula>NOT(ISERROR(SEARCH(("apr"),(B1084))))</formula>
    </cfRule>
    <cfRule type="containsText" dxfId="1720" priority="1658" operator="containsText" text="apr">
      <formula>NOT(ISERROR(SEARCH(("apr"),(B1084))))</formula>
    </cfRule>
    <cfRule type="containsText" dxfId="1719" priority="1659" operator="containsText" text="apr">
      <formula>NOT(ISERROR(SEARCH(("apr"),(B1084))))</formula>
    </cfRule>
    <cfRule type="containsText" dxfId="1718" priority="1660" operator="containsText" text="apr">
      <formula>NOT(ISERROR(SEARCH(("apr"),(B1084))))</formula>
    </cfRule>
    <cfRule type="containsText" dxfId="1717" priority="1661" operator="containsText" text="apr">
      <formula>NOT(ISERROR(SEARCH(("apr"),(B1084))))</formula>
    </cfRule>
    <cfRule type="containsText" dxfId="1716" priority="1662" operator="containsText" text="apr">
      <formula>NOT(ISERROR(SEARCH(("apr"),(B1084))))</formula>
    </cfRule>
    <cfRule type="containsText" dxfId="1715" priority="1663" operator="containsText" text="apr">
      <formula>NOT(ISERROR(SEARCH(("apr"),(B1084))))</formula>
    </cfRule>
    <cfRule type="containsText" dxfId="1714" priority="1664" operator="containsText" text="apr">
      <formula>NOT(ISERROR(SEARCH(("apr"),(B1084))))</formula>
    </cfRule>
    <cfRule type="containsText" dxfId="1713" priority="1665" operator="containsText" text="apr">
      <formula>NOT(ISERROR(SEARCH(("apr"),(B1084))))</formula>
    </cfRule>
    <cfRule type="containsText" dxfId="1712" priority="1666" operator="containsText" text="apr">
      <formula>NOT(ISERROR(SEARCH(("apr"),(B1084))))</formula>
    </cfRule>
    <cfRule type="containsText" dxfId="1711" priority="1667" operator="containsText" text="apr">
      <formula>NOT(ISERROR(SEARCH(("apr"),(B1084))))</formula>
    </cfRule>
    <cfRule type="containsText" dxfId="1710" priority="1668" operator="containsText" text="apr">
      <formula>NOT(ISERROR(SEARCH(("apr"),(B1084))))</formula>
    </cfRule>
    <cfRule type="containsText" dxfId="1709" priority="1669" operator="containsText" text="apr">
      <formula>NOT(ISERROR(SEARCH(("apr"),(B1084))))</formula>
    </cfRule>
    <cfRule type="containsText" dxfId="1708" priority="1670" operator="containsText" text="apr">
      <formula>NOT(ISERROR(SEARCH(("apr"),(B1084))))</formula>
    </cfRule>
    <cfRule type="containsText" dxfId="1707" priority="1671" operator="containsText" text="apr">
      <formula>NOT(ISERROR(SEARCH(("apr"),(B1084))))</formula>
    </cfRule>
    <cfRule type="containsText" dxfId="1706" priority="1672" operator="containsText" text="apr">
      <formula>NOT(ISERROR(SEARCH(("apr"),(B1084))))</formula>
    </cfRule>
    <cfRule type="containsText" dxfId="1705" priority="1673" operator="containsText" text="apr">
      <formula>NOT(ISERROR(SEARCH(("apr"),(B1084))))</formula>
    </cfRule>
    <cfRule type="containsText" dxfId="1704" priority="1674" operator="containsText" text="apr">
      <formula>NOT(ISERROR(SEARCH(("apr"),(B1084))))</formula>
    </cfRule>
    <cfRule type="containsText" dxfId="1703" priority="1675" operator="containsText" text="apr">
      <formula>NOT(ISERROR(SEARCH(("apr"),(B1084))))</formula>
    </cfRule>
    <cfRule type="containsText" dxfId="1702" priority="1676" operator="containsText" text="apr">
      <formula>NOT(ISERROR(SEARCH(("apr"),(B1084))))</formula>
    </cfRule>
    <cfRule type="containsText" dxfId="1701" priority="1677" operator="containsText" text="apr">
      <formula>NOT(ISERROR(SEARCH(("apr"),(B1084))))</formula>
    </cfRule>
    <cfRule type="containsText" dxfId="1700" priority="1678" operator="containsText" text="apr">
      <formula>NOT(ISERROR(SEARCH(("apr"),(B1084))))</formula>
    </cfRule>
    <cfRule type="containsText" dxfId="1699" priority="1679" operator="containsText" text="apr">
      <formula>NOT(ISERROR(SEARCH(("apr"),(B1084))))</formula>
    </cfRule>
    <cfRule type="containsText" dxfId="1698" priority="1680" operator="containsText" text="apr">
      <formula>NOT(ISERROR(SEARCH(("apr"),(B1084))))</formula>
    </cfRule>
    <cfRule type="containsText" dxfId="1697" priority="1681" operator="containsText" text="apr">
      <formula>NOT(ISERROR(SEARCH(("apr"),(B1084))))</formula>
    </cfRule>
    <cfRule type="containsText" dxfId="1696" priority="1682" operator="containsText" text="apr">
      <formula>NOT(ISERROR(SEARCH(("apr"),(B1084))))</formula>
    </cfRule>
    <cfRule type="containsText" dxfId="1695" priority="1683" operator="containsText" text="apr">
      <formula>NOT(ISERROR(SEARCH(("apr"),(B1084))))</formula>
    </cfRule>
    <cfRule type="containsText" dxfId="1694" priority="1684" operator="containsText" text="apr">
      <formula>NOT(ISERROR(SEARCH(("apr"),(B1084))))</formula>
    </cfRule>
    <cfRule type="containsText" dxfId="1693" priority="1685" operator="containsText" text="apr">
      <formula>NOT(ISERROR(SEARCH(("apr"),(B1084))))</formula>
    </cfRule>
    <cfRule type="containsText" dxfId="1692" priority="1686" operator="containsText" text="apr">
      <formula>NOT(ISERROR(SEARCH(("apr"),(B1084))))</formula>
    </cfRule>
    <cfRule type="containsText" dxfId="1691" priority="1687" operator="containsText" text="apr">
      <formula>NOT(ISERROR(SEARCH(("apr"),(B1084))))</formula>
    </cfRule>
    <cfRule type="containsText" dxfId="1690" priority="1688" operator="containsText" text="apr">
      <formula>NOT(ISERROR(SEARCH(("apr"),(B1084))))</formula>
    </cfRule>
    <cfRule type="containsText" dxfId="1689" priority="1689" operator="containsText" text="apr">
      <formula>NOT(ISERROR(SEARCH(("apr"),(B1084))))</formula>
    </cfRule>
    <cfRule type="containsText" dxfId="1688" priority="1690" operator="containsText" text="apr">
      <formula>NOT(ISERROR(SEARCH(("apr"),(B1084))))</formula>
    </cfRule>
    <cfRule type="containsText" dxfId="1687" priority="1691" operator="containsText" text="apr">
      <formula>NOT(ISERROR(SEARCH(("apr"),(B1084))))</formula>
    </cfRule>
    <cfRule type="containsText" dxfId="1686" priority="1692" operator="containsText" text="apr">
      <formula>NOT(ISERROR(SEARCH(("apr"),(B1084))))</formula>
    </cfRule>
    <cfRule type="containsText" dxfId="1685" priority="1693" operator="containsText" text="apr">
      <formula>NOT(ISERROR(SEARCH(("apr"),(B1084))))</formula>
    </cfRule>
    <cfRule type="containsText" dxfId="1684" priority="1694" operator="containsText" text="apr">
      <formula>NOT(ISERROR(SEARCH(("apr"),(B1084))))</formula>
    </cfRule>
    <cfRule type="containsText" dxfId="1683" priority="1695" operator="containsText" text="apr">
      <formula>NOT(ISERROR(SEARCH(("apr"),(B1084))))</formula>
    </cfRule>
    <cfRule type="containsText" dxfId="1682" priority="1696" operator="containsText" text="apr">
      <formula>NOT(ISERROR(SEARCH(("apr"),(B1084))))</formula>
    </cfRule>
    <cfRule type="containsText" dxfId="1681" priority="1697" operator="containsText" text="apr">
      <formula>NOT(ISERROR(SEARCH(("apr"),(B1084))))</formula>
    </cfRule>
    <cfRule type="containsText" dxfId="1680" priority="1698" operator="containsText" text="apr">
      <formula>NOT(ISERROR(SEARCH(("apr"),(B1084))))</formula>
    </cfRule>
    <cfRule type="containsText" dxfId="1679" priority="1699" operator="containsText" text="apr">
      <formula>NOT(ISERROR(SEARCH(("apr"),(B1084))))</formula>
    </cfRule>
  </conditionalFormatting>
  <conditionalFormatting sqref="B1148">
    <cfRule type="containsText" dxfId="1678" priority="1039" operator="containsText" text="apr">
      <formula>NOT(ISERROR(SEARCH(("apr"),(C1148))))</formula>
    </cfRule>
  </conditionalFormatting>
  <conditionalFormatting sqref="B1148">
    <cfRule type="containsText" dxfId="1677" priority="1040" operator="containsText" text="apr">
      <formula>NOT(ISERROR(SEARCH(("apr"),(B1148))))</formula>
    </cfRule>
    <cfRule type="containsText" dxfId="1676" priority="1041" operator="containsText" text="apr">
      <formula>NOT(ISERROR(SEARCH(("apr"),(B1148))))</formula>
    </cfRule>
    <cfRule type="containsText" dxfId="1675" priority="1042" operator="containsText" text="apr">
      <formula>NOT(ISERROR(SEARCH(("apr"),(B1148))))</formula>
    </cfRule>
    <cfRule type="containsText" dxfId="1674" priority="1043" operator="containsText" text="apr">
      <formula>NOT(ISERROR(SEARCH(("apr"),(B1148))))</formula>
    </cfRule>
    <cfRule type="containsText" dxfId="1673" priority="1044" operator="containsText" text="apr">
      <formula>NOT(ISERROR(SEARCH(("apr"),(B1148))))</formula>
    </cfRule>
    <cfRule type="containsText" dxfId="1672" priority="1045" operator="containsText" text="apr">
      <formula>NOT(ISERROR(SEARCH(("apr"),(B1148))))</formula>
    </cfRule>
    <cfRule type="containsText" dxfId="1671" priority="1046" operator="containsText" text="apr">
      <formula>NOT(ISERROR(SEARCH(("apr"),(B1148))))</formula>
    </cfRule>
    <cfRule type="containsText" dxfId="1670" priority="1047" operator="containsText" text="apr">
      <formula>NOT(ISERROR(SEARCH(("apr"),(B1148))))</formula>
    </cfRule>
    <cfRule type="containsText" dxfId="1669" priority="1048" operator="containsText" text="apr">
      <formula>NOT(ISERROR(SEARCH(("apr"),(B1148))))</formula>
    </cfRule>
    <cfRule type="containsText" dxfId="1668" priority="1049" operator="containsText" text="apr">
      <formula>NOT(ISERROR(SEARCH(("apr"),(B1148))))</formula>
    </cfRule>
    <cfRule type="containsText" dxfId="1667" priority="1050" operator="containsText" text="apr">
      <formula>NOT(ISERROR(SEARCH(("apr"),(B1148))))</formula>
    </cfRule>
    <cfRule type="containsText" dxfId="1666" priority="1051" operator="containsText" text="apr">
      <formula>NOT(ISERROR(SEARCH(("apr"),(B1148))))</formula>
    </cfRule>
    <cfRule type="containsText" dxfId="1665" priority="1052" operator="containsText" text="apr">
      <formula>NOT(ISERROR(SEARCH(("apr"),(B1148))))</formula>
    </cfRule>
    <cfRule type="containsText" dxfId="1664" priority="1053" operator="containsText" text="apr">
      <formula>NOT(ISERROR(SEARCH(("apr"),(B1148))))</formula>
    </cfRule>
    <cfRule type="containsText" dxfId="1663" priority="1054" operator="containsText" text="apr">
      <formula>NOT(ISERROR(SEARCH(("apr"),(B1148))))</formula>
    </cfRule>
    <cfRule type="containsText" dxfId="1662" priority="1055" operator="containsText" text="apr">
      <formula>NOT(ISERROR(SEARCH(("apr"),(B1148))))</formula>
    </cfRule>
    <cfRule type="containsText" dxfId="1661" priority="1056" operator="containsText" text="apr">
      <formula>NOT(ISERROR(SEARCH(("apr"),(B1148))))</formula>
    </cfRule>
    <cfRule type="containsText" dxfId="1660" priority="1057" operator="containsText" text="apr">
      <formula>NOT(ISERROR(SEARCH(("apr"),(B1148))))</formula>
    </cfRule>
    <cfRule type="containsText" dxfId="1659" priority="1058" operator="containsText" text="apr">
      <formula>NOT(ISERROR(SEARCH(("apr"),(B1148))))</formula>
    </cfRule>
    <cfRule type="containsText" dxfId="1658" priority="1059" operator="containsText" text="apr">
      <formula>NOT(ISERROR(SEARCH(("apr"),(B1148))))</formula>
    </cfRule>
    <cfRule type="containsText" dxfId="1657" priority="1060" operator="containsText" text="apr">
      <formula>NOT(ISERROR(SEARCH(("apr"),(B1148))))</formula>
    </cfRule>
    <cfRule type="containsText" dxfId="1656" priority="1061" operator="containsText" text="apr">
      <formula>NOT(ISERROR(SEARCH(("apr"),(B1148))))</formula>
    </cfRule>
    <cfRule type="containsText" dxfId="1655" priority="1062" operator="containsText" text="apr">
      <formula>NOT(ISERROR(SEARCH(("apr"),(B1148))))</formula>
    </cfRule>
    <cfRule type="containsText" dxfId="1654" priority="1063" operator="containsText" text="apr">
      <formula>NOT(ISERROR(SEARCH(("apr"),(B1148))))</formula>
    </cfRule>
    <cfRule type="containsText" dxfId="1653" priority="1064" operator="containsText" text="apr">
      <formula>NOT(ISERROR(SEARCH(("apr"),(B1148))))</formula>
    </cfRule>
    <cfRule type="containsText" dxfId="1652" priority="1065" operator="containsText" text="apr">
      <formula>NOT(ISERROR(SEARCH(("apr"),(B1148))))</formula>
    </cfRule>
    <cfRule type="containsText" dxfId="1651" priority="1066" operator="containsText" text="apr">
      <formula>NOT(ISERROR(SEARCH(("apr"),(B1148))))</formula>
    </cfRule>
    <cfRule type="containsText" dxfId="1650" priority="1067" operator="containsText" text="apr">
      <formula>NOT(ISERROR(SEARCH(("apr"),(B1148))))</formula>
    </cfRule>
    <cfRule type="containsText" dxfId="1649" priority="1068" operator="containsText" text="apr">
      <formula>NOT(ISERROR(SEARCH(("apr"),(B1148))))</formula>
    </cfRule>
    <cfRule type="containsText" dxfId="1648" priority="1069" operator="containsText" text="apr">
      <formula>NOT(ISERROR(SEARCH(("apr"),(B1148))))</formula>
    </cfRule>
    <cfRule type="containsText" dxfId="1647" priority="1070" operator="containsText" text="apr">
      <formula>NOT(ISERROR(SEARCH(("apr"),(B1148))))</formula>
    </cfRule>
    <cfRule type="containsText" dxfId="1646" priority="1071" operator="containsText" text="apr">
      <formula>NOT(ISERROR(SEARCH(("apr"),(B1148))))</formula>
    </cfRule>
    <cfRule type="containsText" dxfId="1645" priority="1072" operator="containsText" text="apr">
      <formula>NOT(ISERROR(SEARCH(("apr"),(B1148))))</formula>
    </cfRule>
    <cfRule type="containsText" dxfId="1644" priority="1073" operator="containsText" text="apr">
      <formula>NOT(ISERROR(SEARCH(("apr"),(B1148))))</formula>
    </cfRule>
    <cfRule type="containsText" dxfId="1643" priority="1074" operator="containsText" text="apr">
      <formula>NOT(ISERROR(SEARCH(("apr"),(B1148))))</formula>
    </cfRule>
    <cfRule type="containsText" dxfId="1642" priority="1075" operator="containsText" text="apr">
      <formula>NOT(ISERROR(SEARCH(("apr"),(B1148))))</formula>
    </cfRule>
    <cfRule type="containsText" dxfId="1641" priority="1076" operator="containsText" text="apr">
      <formula>NOT(ISERROR(SEARCH(("apr"),(B1148))))</formula>
    </cfRule>
    <cfRule type="containsText" dxfId="1640" priority="1077" operator="containsText" text="apr">
      <formula>NOT(ISERROR(SEARCH(("apr"),(B1148))))</formula>
    </cfRule>
    <cfRule type="containsText" dxfId="1639" priority="1078" operator="containsText" text="apr">
      <formula>NOT(ISERROR(SEARCH(("apr"),(B1148))))</formula>
    </cfRule>
    <cfRule type="containsText" dxfId="1638" priority="1079" operator="containsText" text="apr">
      <formula>NOT(ISERROR(SEARCH(("apr"),(B1148))))</formula>
    </cfRule>
    <cfRule type="containsText" dxfId="1637" priority="1080" operator="containsText" text="apr">
      <formula>NOT(ISERROR(SEARCH(("apr"),(B1148))))</formula>
    </cfRule>
    <cfRule type="containsText" dxfId="1636" priority="1081" operator="containsText" text="apr">
      <formula>NOT(ISERROR(SEARCH(("apr"),(B1148))))</formula>
    </cfRule>
    <cfRule type="containsText" dxfId="1635" priority="1082" operator="containsText" text="apr">
      <formula>NOT(ISERROR(SEARCH(("apr"),(B1148))))</formula>
    </cfRule>
    <cfRule type="containsText" dxfId="1634" priority="1083" operator="containsText" text="apr">
      <formula>NOT(ISERROR(SEARCH(("apr"),(B1148))))</formula>
    </cfRule>
    <cfRule type="containsText" dxfId="1633" priority="1084" operator="containsText" text="apr">
      <formula>NOT(ISERROR(SEARCH(("apr"),(B1148))))</formula>
    </cfRule>
    <cfRule type="containsText" dxfId="1632" priority="1085" operator="containsText" text="apr">
      <formula>NOT(ISERROR(SEARCH(("apr"),(B1148))))</formula>
    </cfRule>
    <cfRule type="containsText" dxfId="1631" priority="1086" operator="containsText" text="apr">
      <formula>NOT(ISERROR(SEARCH(("apr"),(B1148))))</formula>
    </cfRule>
    <cfRule type="containsText" dxfId="1630" priority="1087" operator="containsText" text="apr">
      <formula>NOT(ISERROR(SEARCH(("apr"),(B1148))))</formula>
    </cfRule>
    <cfRule type="containsText" dxfId="1629" priority="1088" operator="containsText" text="apr">
      <formula>NOT(ISERROR(SEARCH(("apr"),(B1148))))</formula>
    </cfRule>
    <cfRule type="containsText" dxfId="1628" priority="1089" operator="containsText" text="apr">
      <formula>NOT(ISERROR(SEARCH(("apr"),(B1148))))</formula>
    </cfRule>
    <cfRule type="containsText" dxfId="1627" priority="1090" operator="containsText" text="apr">
      <formula>NOT(ISERROR(SEARCH(("apr"),(B1148))))</formula>
    </cfRule>
    <cfRule type="containsText" dxfId="1626" priority="1091" operator="containsText" text="apr">
      <formula>NOT(ISERROR(SEARCH(("apr"),(B1148))))</formula>
    </cfRule>
    <cfRule type="containsText" dxfId="1625" priority="1092" operator="containsText" text="apr">
      <formula>NOT(ISERROR(SEARCH(("apr"),(B1148))))</formula>
    </cfRule>
    <cfRule type="containsText" dxfId="1624" priority="1093" operator="containsText" text="apr">
      <formula>NOT(ISERROR(SEARCH(("apr"),(B1148))))</formula>
    </cfRule>
    <cfRule type="containsText" dxfId="1623" priority="1094" operator="containsText" text="apr">
      <formula>NOT(ISERROR(SEARCH(("apr"),(B1148))))</formula>
    </cfRule>
    <cfRule type="containsText" dxfId="1622" priority="1095" operator="containsText" text="apr">
      <formula>NOT(ISERROR(SEARCH(("apr"),(B1148))))</formula>
    </cfRule>
    <cfRule type="containsText" dxfId="1621" priority="1096" operator="containsText" text="apr">
      <formula>NOT(ISERROR(SEARCH(("apr"),(B1148))))</formula>
    </cfRule>
    <cfRule type="containsText" dxfId="1620" priority="1097" operator="containsText" text="apr">
      <formula>NOT(ISERROR(SEARCH(("apr"),(B1148))))</formula>
    </cfRule>
    <cfRule type="containsText" dxfId="1619" priority="1098" operator="containsText" text="apr">
      <formula>NOT(ISERROR(SEARCH(("apr"),(B1148))))</formula>
    </cfRule>
    <cfRule type="containsText" dxfId="1618" priority="1099" operator="containsText" text="apr">
      <formula>NOT(ISERROR(SEARCH(("apr"),(B1148))))</formula>
    </cfRule>
    <cfRule type="containsText" dxfId="1617" priority="1100" operator="containsText" text="apr">
      <formula>NOT(ISERROR(SEARCH(("apr"),(B1148))))</formula>
    </cfRule>
    <cfRule type="containsText" dxfId="1616" priority="1101" operator="containsText" text="apr">
      <formula>NOT(ISERROR(SEARCH(("apr"),(B1148))))</formula>
    </cfRule>
    <cfRule type="containsText" dxfId="1615" priority="1102" operator="containsText" text="apr">
      <formula>NOT(ISERROR(SEARCH(("apr"),(B1148))))</formula>
    </cfRule>
    <cfRule type="containsText" dxfId="1614" priority="1103" operator="containsText" text="apr">
      <formula>NOT(ISERROR(SEARCH(("apr"),(B1148))))</formula>
    </cfRule>
    <cfRule type="containsText" dxfId="1613" priority="1104" operator="containsText" text="apr">
      <formula>NOT(ISERROR(SEARCH(("apr"),(B1148))))</formula>
    </cfRule>
    <cfRule type="containsText" dxfId="1612" priority="1105" operator="containsText" text="apr">
      <formula>NOT(ISERROR(SEARCH(("apr"),(B1148))))</formula>
    </cfRule>
    <cfRule type="containsText" dxfId="1611" priority="1106" operator="containsText" text="apr">
      <formula>NOT(ISERROR(SEARCH(("apr"),(B1148))))</formula>
    </cfRule>
    <cfRule type="containsText" dxfId="1610" priority="1107" operator="containsText" text="apr">
      <formula>NOT(ISERROR(SEARCH(("apr"),(B1148))))</formula>
    </cfRule>
    <cfRule type="containsText" dxfId="1609" priority="1108" operator="containsText" text="apr">
      <formula>NOT(ISERROR(SEARCH(("apr"),(B1148))))</formula>
    </cfRule>
    <cfRule type="containsText" dxfId="1608" priority="1109" operator="containsText" text="apr">
      <formula>NOT(ISERROR(SEARCH(("apr"),(B1148))))</formula>
    </cfRule>
    <cfRule type="containsText" dxfId="1607" priority="1110" operator="containsText" text="apr">
      <formula>NOT(ISERROR(SEARCH(("apr"),(B1148))))</formula>
    </cfRule>
  </conditionalFormatting>
  <conditionalFormatting sqref="B1192:B1193">
    <cfRule type="containsText" dxfId="1606" priority="968" operator="containsText" text="apr">
      <formula>NOT(ISERROR(SEARCH(("apr"),(B1192))))</formula>
    </cfRule>
    <cfRule type="containsText" dxfId="1605" priority="969" operator="containsText" text="apr">
      <formula>NOT(ISERROR(SEARCH(("apr"),(B1192))))</formula>
    </cfRule>
    <cfRule type="containsText" dxfId="1604" priority="970" operator="containsText" text="apr">
      <formula>NOT(ISERROR(SEARCH(("apr"),(B1192))))</formula>
    </cfRule>
    <cfRule type="containsText" dxfId="1603" priority="971" operator="containsText" text="apr">
      <formula>NOT(ISERROR(SEARCH(("apr"),(B1192))))</formula>
    </cfRule>
    <cfRule type="containsText" dxfId="1602" priority="972" operator="containsText" text="apr">
      <formula>NOT(ISERROR(SEARCH(("apr"),(B1192))))</formula>
    </cfRule>
    <cfRule type="containsText" dxfId="1601" priority="973" operator="containsText" text="apr">
      <formula>NOT(ISERROR(SEARCH(("apr"),(B1192))))</formula>
    </cfRule>
  </conditionalFormatting>
  <conditionalFormatting sqref="B1197">
    <cfRule type="containsText" dxfId="1600" priority="216" operator="containsText" text="apr">
      <formula>NOT(ISERROR(SEARCH(("apr"),(B1197))))</formula>
    </cfRule>
    <cfRule type="containsText" dxfId="1599" priority="217" operator="containsText" text="apr">
      <formula>NOT(ISERROR(SEARCH(("apr"),(B1197))))</formula>
    </cfRule>
    <cfRule type="containsText" dxfId="1598" priority="218" operator="containsText" text="apr">
      <formula>NOT(ISERROR(SEARCH(("apr"),(B1197))))</formula>
    </cfRule>
    <cfRule type="containsText" dxfId="1597" priority="219" operator="containsText" text="apr">
      <formula>NOT(ISERROR(SEARCH(("apr"),(B1197))))</formula>
    </cfRule>
    <cfRule type="containsText" dxfId="1596" priority="220" operator="containsText" text="apr">
      <formula>NOT(ISERROR(SEARCH(("apr"),(B1197))))</formula>
    </cfRule>
    <cfRule type="containsText" dxfId="1595" priority="221" operator="containsText" text="apr">
      <formula>NOT(ISERROR(SEARCH(("apr"),(B1197))))</formula>
    </cfRule>
    <cfRule type="containsText" dxfId="1594" priority="222" operator="containsText" text="apr">
      <formula>NOT(ISERROR(SEARCH(("apr"),(B1197))))</formula>
    </cfRule>
    <cfRule type="containsText" dxfId="1593" priority="223" operator="containsText" text="apr">
      <formula>NOT(ISERROR(SEARCH(("apr"),(B1197))))</formula>
    </cfRule>
    <cfRule type="containsText" dxfId="1592" priority="224" operator="containsText" text="apr">
      <formula>NOT(ISERROR(SEARCH(("apr"),(B1197))))</formula>
    </cfRule>
    <cfRule type="containsText" dxfId="1591" priority="225" operator="containsText" text="apr">
      <formula>NOT(ISERROR(SEARCH(("apr"),(B1197))))</formula>
    </cfRule>
    <cfRule type="containsText" dxfId="1590" priority="226" operator="containsText" text="apr">
      <formula>NOT(ISERROR(SEARCH(("apr"),(B1197))))</formula>
    </cfRule>
    <cfRule type="containsText" dxfId="1589" priority="227" operator="containsText" text="apr">
      <formula>NOT(ISERROR(SEARCH(("apr"),(B1197))))</formula>
    </cfRule>
    <cfRule type="containsText" dxfId="1588" priority="228" operator="containsText" text="apr">
      <formula>NOT(ISERROR(SEARCH(("apr"),(B1197))))</formula>
    </cfRule>
    <cfRule type="containsText" dxfId="1587" priority="229" operator="containsText" text="apr">
      <formula>NOT(ISERROR(SEARCH(("apr"),(B1197))))</formula>
    </cfRule>
    <cfRule type="containsText" dxfId="1586" priority="230" operator="containsText" text="apr">
      <formula>NOT(ISERROR(SEARCH(("apr"),(B1197))))</formula>
    </cfRule>
    <cfRule type="containsText" dxfId="1585" priority="231" operator="containsText" text="apr">
      <formula>NOT(ISERROR(SEARCH(("apr"),(B1197))))</formula>
    </cfRule>
    <cfRule type="containsText" dxfId="1584" priority="232" operator="containsText" text="apr">
      <formula>NOT(ISERROR(SEARCH(("apr"),(B1197))))</formula>
    </cfRule>
    <cfRule type="containsText" dxfId="1583" priority="233" operator="containsText" text="apr">
      <formula>NOT(ISERROR(SEARCH(("apr"),(B1197))))</formula>
    </cfRule>
    <cfRule type="containsText" dxfId="1582" priority="234" operator="containsText" text="apr">
      <formula>NOT(ISERROR(SEARCH(("apr"),(B1197))))</formula>
    </cfRule>
    <cfRule type="containsText" dxfId="1581" priority="235" operator="containsText" text="apr">
      <formula>NOT(ISERROR(SEARCH(("apr"),(B1197))))</formula>
    </cfRule>
    <cfRule type="containsText" dxfId="1580" priority="236" operator="containsText" text="apr">
      <formula>NOT(ISERROR(SEARCH(("apr"),(B1197))))</formula>
    </cfRule>
    <cfRule type="containsText" dxfId="1579" priority="237" operator="containsText" text="apr">
      <formula>NOT(ISERROR(SEARCH(("apr"),(B1197))))</formula>
    </cfRule>
    <cfRule type="containsText" dxfId="1578" priority="238" operator="containsText" text="apr">
      <formula>NOT(ISERROR(SEARCH(("apr"),(B1197))))</formula>
    </cfRule>
    <cfRule type="containsText" dxfId="1577" priority="239" operator="containsText" text="apr">
      <formula>NOT(ISERROR(SEARCH(("apr"),(B1197))))</formula>
    </cfRule>
    <cfRule type="containsText" dxfId="1576" priority="240" operator="containsText" text="apr">
      <formula>NOT(ISERROR(SEARCH(("apr"),(B1197))))</formula>
    </cfRule>
    <cfRule type="containsText" dxfId="1575" priority="241" operator="containsText" text="apr">
      <formula>NOT(ISERROR(SEARCH(("apr"),(B1197))))</formula>
    </cfRule>
    <cfRule type="containsText" dxfId="1574" priority="242" operator="containsText" text="apr">
      <formula>NOT(ISERROR(SEARCH(("apr"),(B1197))))</formula>
    </cfRule>
    <cfRule type="containsText" dxfId="1573" priority="243" operator="containsText" text="apr">
      <formula>NOT(ISERROR(SEARCH(("apr"),(B1197))))</formula>
    </cfRule>
    <cfRule type="containsText" dxfId="1572" priority="244" operator="containsText" text="apr">
      <formula>NOT(ISERROR(SEARCH(("apr"),(B1197))))</formula>
    </cfRule>
    <cfRule type="containsText" dxfId="1571" priority="245" operator="containsText" text="apr">
      <formula>NOT(ISERROR(SEARCH(("apr"),(B1197))))</formula>
    </cfRule>
    <cfRule type="containsText" dxfId="1570" priority="246" operator="containsText" text="apr">
      <formula>NOT(ISERROR(SEARCH(("apr"),(B1197))))</formula>
    </cfRule>
    <cfRule type="containsText" dxfId="1569" priority="247" operator="containsText" text="apr">
      <formula>NOT(ISERROR(SEARCH(("apr"),(B1197))))</formula>
    </cfRule>
    <cfRule type="containsText" dxfId="1568" priority="248" operator="containsText" text="apr">
      <formula>NOT(ISERROR(SEARCH(("apr"),(B1197))))</formula>
    </cfRule>
    <cfRule type="containsText" dxfId="1567" priority="249" operator="containsText" text="apr">
      <formula>NOT(ISERROR(SEARCH(("apr"),(B1197))))</formula>
    </cfRule>
    <cfRule type="containsText" dxfId="1566" priority="250" operator="containsText" text="apr">
      <formula>NOT(ISERROR(SEARCH(("apr"),(B1197))))</formula>
    </cfRule>
    <cfRule type="containsText" dxfId="1565" priority="251" operator="containsText" text="apr">
      <formula>NOT(ISERROR(SEARCH(("apr"),(B1197))))</formula>
    </cfRule>
    <cfRule type="containsText" dxfId="1564" priority="252" operator="containsText" text="apr">
      <formula>NOT(ISERROR(SEARCH(("apr"),(B1197))))</formula>
    </cfRule>
    <cfRule type="containsText" dxfId="1563" priority="253" operator="containsText" text="apr">
      <formula>NOT(ISERROR(SEARCH(("apr"),(B1197))))</formula>
    </cfRule>
    <cfRule type="containsText" dxfId="1562" priority="254" operator="containsText" text="apr">
      <formula>NOT(ISERROR(SEARCH(("apr"),(B1197))))</formula>
    </cfRule>
    <cfRule type="containsText" dxfId="1561" priority="255" operator="containsText" text="apr">
      <formula>NOT(ISERROR(SEARCH(("apr"),(B1197))))</formula>
    </cfRule>
    <cfRule type="containsText" dxfId="1560" priority="256" operator="containsText" text="apr">
      <formula>NOT(ISERROR(SEARCH(("apr"),(B1197))))</formula>
    </cfRule>
    <cfRule type="containsText" dxfId="1559" priority="257" operator="containsText" text="apr">
      <formula>NOT(ISERROR(SEARCH(("apr"),(B1197))))</formula>
    </cfRule>
    <cfRule type="containsText" dxfId="1558" priority="258" operator="containsText" text="apr">
      <formula>NOT(ISERROR(SEARCH(("apr"),(B1197))))</formula>
    </cfRule>
    <cfRule type="containsText" dxfId="1557" priority="259" operator="containsText" text="apr">
      <formula>NOT(ISERROR(SEARCH(("apr"),(B1197))))</formula>
    </cfRule>
    <cfRule type="containsText" dxfId="1556" priority="260" operator="containsText" text="apr">
      <formula>NOT(ISERROR(SEARCH(("apr"),(B1197))))</formula>
    </cfRule>
    <cfRule type="containsText" dxfId="1555" priority="261" operator="containsText" text="apr">
      <formula>NOT(ISERROR(SEARCH(("apr"),(B1197))))</formula>
    </cfRule>
    <cfRule type="containsText" dxfId="1554" priority="262" operator="containsText" text="apr">
      <formula>NOT(ISERROR(SEARCH(("apr"),(B1197))))</formula>
    </cfRule>
    <cfRule type="containsText" dxfId="1553" priority="263" operator="containsText" text="apr">
      <formula>NOT(ISERROR(SEARCH(("apr"),(B1197))))</formula>
    </cfRule>
    <cfRule type="containsText" dxfId="1552" priority="264" operator="containsText" text="apr">
      <formula>NOT(ISERROR(SEARCH(("apr"),(B1197))))</formula>
    </cfRule>
    <cfRule type="containsText" dxfId="1551" priority="265" operator="containsText" text="apr">
      <formula>NOT(ISERROR(SEARCH(("apr"),(B1197))))</formula>
    </cfRule>
    <cfRule type="containsText" dxfId="1550" priority="266" operator="containsText" text="apr">
      <formula>NOT(ISERROR(SEARCH(("apr"),(B1197))))</formula>
    </cfRule>
    <cfRule type="containsText" dxfId="1549" priority="267" operator="containsText" text="apr">
      <formula>NOT(ISERROR(SEARCH(("apr"),(B1197))))</formula>
    </cfRule>
    <cfRule type="containsText" dxfId="1548" priority="268" operator="containsText" text="apr">
      <formula>NOT(ISERROR(SEARCH(("apr"),(B1197))))</formula>
    </cfRule>
    <cfRule type="containsText" dxfId="1547" priority="269" operator="containsText" text="apr">
      <formula>NOT(ISERROR(SEARCH(("apr"),(B1197))))</formula>
    </cfRule>
  </conditionalFormatting>
  <conditionalFormatting sqref="C225">
    <cfRule type="cellIs" dxfId="1546" priority="4887" operator="equal">
      <formula>"C1:C774"</formula>
    </cfRule>
  </conditionalFormatting>
  <conditionalFormatting sqref="C481">
    <cfRule type="cellIs" dxfId="1545" priority="4154" operator="equal">
      <formula>"C1:C774"</formula>
    </cfRule>
  </conditionalFormatting>
  <conditionalFormatting sqref="C577:C605">
    <cfRule type="cellIs" dxfId="1544" priority="5652" operator="equal">
      <formula>"C1:C774"</formula>
    </cfRule>
  </conditionalFormatting>
  <conditionalFormatting sqref="C610:C630">
    <cfRule type="cellIs" dxfId="1543" priority="5626" operator="equal">
      <formula>"C1:C774"</formula>
    </cfRule>
  </conditionalFormatting>
  <conditionalFormatting sqref="C634:C645">
    <cfRule type="cellIs" dxfId="1542" priority="5288" operator="equal">
      <formula>"C1:C774"</formula>
    </cfRule>
  </conditionalFormatting>
  <conditionalFormatting sqref="C647:C648">
    <cfRule type="cellIs" dxfId="1541" priority="5588" operator="equal">
      <formula>"C1:C774"</formula>
    </cfRule>
  </conditionalFormatting>
  <conditionalFormatting sqref="C663:C664">
    <cfRule type="cellIs" dxfId="1540" priority="5562" operator="equal">
      <formula>"C1:C774"</formula>
    </cfRule>
  </conditionalFormatting>
  <conditionalFormatting sqref="C666 C813">
    <cfRule type="cellIs" dxfId="1539" priority="5559" operator="equal">
      <formula>"C1:C774"</formula>
    </cfRule>
  </conditionalFormatting>
  <conditionalFormatting sqref="C668">
    <cfRule type="cellIs" dxfId="1538" priority="5617" operator="equal">
      <formula>"C1:C774"</formula>
    </cfRule>
  </conditionalFormatting>
  <conditionalFormatting sqref="C676">
    <cfRule type="cellIs" dxfId="1537" priority="4888" operator="equal">
      <formula>"C1:C774"</formula>
    </cfRule>
  </conditionalFormatting>
  <conditionalFormatting sqref="C687:C688">
    <cfRule type="cellIs" dxfId="1536" priority="5505" operator="equal">
      <formula>"C1:C774"</formula>
    </cfRule>
  </conditionalFormatting>
  <conditionalFormatting sqref="C716:C728">
    <cfRule type="cellIs" dxfId="1535" priority="5324" operator="equal">
      <formula>"C1:C774"</formula>
    </cfRule>
  </conditionalFormatting>
  <conditionalFormatting sqref="C734:C735">
    <cfRule type="cellIs" dxfId="1534" priority="5296" operator="equal">
      <formula>"C1:C774"</formula>
    </cfRule>
  </conditionalFormatting>
  <conditionalFormatting sqref="C744:C767">
    <cfRule type="cellIs" dxfId="1533" priority="5075" operator="equal">
      <formula>"C1:C774"</formula>
    </cfRule>
  </conditionalFormatting>
  <conditionalFormatting sqref="C769:C778">
    <cfRule type="cellIs" dxfId="1532" priority="5003" operator="equal">
      <formula>"C1:C774"</formula>
    </cfRule>
  </conditionalFormatting>
  <conditionalFormatting sqref="C785:C786">
    <cfRule type="cellIs" dxfId="1531" priority="4933" operator="equal">
      <formula>"C1:C774"</formula>
    </cfRule>
  </conditionalFormatting>
  <conditionalFormatting sqref="C789:C791">
    <cfRule type="cellIs" dxfId="1530" priority="4921" operator="equal">
      <formula>"C1:C774"</formula>
    </cfRule>
  </conditionalFormatting>
  <conditionalFormatting sqref="C793:C798">
    <cfRule type="cellIs" dxfId="1529" priority="4856" operator="equal">
      <formula>"C1:C774"</formula>
    </cfRule>
  </conditionalFormatting>
  <conditionalFormatting sqref="C818">
    <cfRule type="cellIs" dxfId="1528" priority="5168" operator="equal">
      <formula>"C1:C774"</formula>
    </cfRule>
  </conditionalFormatting>
  <conditionalFormatting sqref="C824:C827 C829:C830">
    <cfRule type="cellIs" dxfId="1527" priority="4596" operator="equal">
      <formula>"C1:C774"</formula>
    </cfRule>
  </conditionalFormatting>
  <conditionalFormatting sqref="C843:C845">
    <cfRule type="cellIs" dxfId="1526" priority="4647" operator="equal">
      <formula>"C1:C774"</formula>
    </cfRule>
  </conditionalFormatting>
  <conditionalFormatting sqref="C872">
    <cfRule type="cellIs" dxfId="1525" priority="5656" operator="equal">
      <formula>"C1:C774"</formula>
    </cfRule>
  </conditionalFormatting>
  <conditionalFormatting sqref="C880:C885">
    <cfRule type="cellIs" dxfId="1524" priority="4101" operator="equal">
      <formula>"C1:C774"</formula>
    </cfRule>
  </conditionalFormatting>
  <conditionalFormatting sqref="C887">
    <cfRule type="cellIs" dxfId="1523" priority="4343" operator="equal">
      <formula>"C1:C774"</formula>
    </cfRule>
  </conditionalFormatting>
  <conditionalFormatting sqref="C892">
    <cfRule type="cellIs" dxfId="1522" priority="4267" operator="equal">
      <formula>"C1:C774"</formula>
    </cfRule>
  </conditionalFormatting>
  <conditionalFormatting sqref="C894:C895">
    <cfRule type="cellIs" dxfId="1521" priority="4109" operator="equal">
      <formula>"C1:C774"</formula>
    </cfRule>
  </conditionalFormatting>
  <conditionalFormatting sqref="C905">
    <cfRule type="cellIs" dxfId="1520" priority="4007" operator="equal">
      <formula>"C1:C774"</formula>
    </cfRule>
  </conditionalFormatting>
  <conditionalFormatting sqref="C909:C912 C965">
    <cfRule type="cellIs" dxfId="1519" priority="3956" operator="equal">
      <formula>"C1:C774"</formula>
    </cfRule>
  </conditionalFormatting>
  <conditionalFormatting sqref="C912">
    <cfRule type="containsText" dxfId="1518" priority="3830" operator="containsText" text="apr">
      <formula>NOT(ISERROR(SEARCH(("apr"),(C912))))</formula>
    </cfRule>
    <cfRule type="containsText" dxfId="1517" priority="3831" operator="containsText" text="apr">
      <formula>NOT(ISERROR(SEARCH(("apr"),(C912))))</formula>
    </cfRule>
    <cfRule type="containsText" dxfId="1516" priority="3832" operator="containsText" text="apr">
      <formula>NOT(ISERROR(SEARCH(("apr"),(C912))))</formula>
    </cfRule>
    <cfRule type="containsText" dxfId="1515" priority="3833" operator="containsText" text="apr">
      <formula>NOT(ISERROR(SEARCH(("apr"),(C912))))</formula>
    </cfRule>
    <cfRule type="containsText" dxfId="1514" priority="3834" operator="containsText" text="apr">
      <formula>NOT(ISERROR(SEARCH(("apr"),(C912))))</formula>
    </cfRule>
    <cfRule type="containsText" dxfId="1513" priority="3835" operator="containsText" text="apr">
      <formula>NOT(ISERROR(SEARCH(("apr"),(C912))))</formula>
    </cfRule>
  </conditionalFormatting>
  <conditionalFormatting sqref="C915:C916 C920">
    <cfRule type="cellIs" dxfId="1512" priority="3808" operator="equal">
      <formula>"C1:C774"</formula>
    </cfRule>
  </conditionalFormatting>
  <conditionalFormatting sqref="C925">
    <cfRule type="cellIs" dxfId="1511" priority="3684" operator="equal">
      <formula>"C1:C774"</formula>
    </cfRule>
  </conditionalFormatting>
  <conditionalFormatting sqref="C929:C931 C933">
    <cfRule type="cellIs" dxfId="1510" priority="3629" operator="equal">
      <formula>"C1:C774"</formula>
    </cfRule>
  </conditionalFormatting>
  <conditionalFormatting sqref="C937:C938">
    <cfRule type="cellIs" dxfId="1509" priority="3473" operator="equal">
      <formula>"C1:C774"</formula>
    </cfRule>
  </conditionalFormatting>
  <conditionalFormatting sqref="C940:C944 C946:C947 C949:C953">
    <cfRule type="cellIs" dxfId="1508" priority="3196" operator="equal">
      <formula>"C1:C774"</formula>
    </cfRule>
  </conditionalFormatting>
  <conditionalFormatting sqref="C963">
    <cfRule type="cellIs" dxfId="1507" priority="2787" operator="equal">
      <formula>"C1:C774"</formula>
    </cfRule>
  </conditionalFormatting>
  <conditionalFormatting sqref="C969">
    <cfRule type="cellIs" dxfId="1506" priority="2878" operator="equal">
      <formula>"C1:C774"</formula>
    </cfRule>
  </conditionalFormatting>
  <conditionalFormatting sqref="C971:C976">
    <cfRule type="cellIs" dxfId="1505" priority="2778" operator="equal">
      <formula>"C1:C774"</formula>
    </cfRule>
  </conditionalFormatting>
  <conditionalFormatting sqref="C978 C1007:C1009">
    <cfRule type="cellIs" dxfId="1504" priority="2736" operator="equal">
      <formula>"C1:C774"</formula>
    </cfRule>
  </conditionalFormatting>
  <conditionalFormatting sqref="C980">
    <cfRule type="cellIs" dxfId="1503" priority="2737" operator="equal">
      <formula>"C1:C774"</formula>
    </cfRule>
  </conditionalFormatting>
  <conditionalFormatting sqref="C982:C988">
    <cfRule type="cellIs" dxfId="1502" priority="2738" operator="equal">
      <formula>"C1:C774"</formula>
    </cfRule>
  </conditionalFormatting>
  <conditionalFormatting sqref="C993:C1005">
    <cfRule type="cellIs" dxfId="1501" priority="1867" operator="equal">
      <formula>"C1:C774"</formula>
    </cfRule>
  </conditionalFormatting>
  <conditionalFormatting sqref="C1011">
    <cfRule type="cellIs" dxfId="1500" priority="2742" operator="equal">
      <formula>"C1:C774"</formula>
    </cfRule>
  </conditionalFormatting>
  <conditionalFormatting sqref="C1013:C1028">
    <cfRule type="cellIs" dxfId="1499" priority="2721" operator="equal">
      <formula>"C1:C774"</formula>
    </cfRule>
  </conditionalFormatting>
  <conditionalFormatting sqref="C1032">
    <cfRule type="cellIs" dxfId="1498" priority="2678" operator="equal">
      <formula>"C1:C774"</formula>
    </cfRule>
  </conditionalFormatting>
  <conditionalFormatting sqref="C1036">
    <cfRule type="cellIs" dxfId="1497" priority="2665" operator="equal">
      <formula>"C1:C774"</formula>
    </cfRule>
  </conditionalFormatting>
  <conditionalFormatting sqref="C1041:C1043">
    <cfRule type="cellIs" dxfId="1496" priority="2560" operator="equal">
      <formula>"C1:C774"</formula>
    </cfRule>
  </conditionalFormatting>
  <conditionalFormatting sqref="C1052">
    <cfRule type="cellIs" dxfId="1495" priority="2384" operator="equal">
      <formula>"C1:C774"</formula>
    </cfRule>
  </conditionalFormatting>
  <conditionalFormatting sqref="C1055:C1057">
    <cfRule type="cellIs" dxfId="1494" priority="1807" operator="equal">
      <formula>"C1:C774"</formula>
    </cfRule>
  </conditionalFormatting>
  <conditionalFormatting sqref="C1059:C1060">
    <cfRule type="cellIs" dxfId="1493" priority="2251" operator="equal">
      <formula>"C1:C774"</formula>
    </cfRule>
  </conditionalFormatting>
  <conditionalFormatting sqref="C1062:C1064">
    <cfRule type="cellIs" dxfId="1492" priority="2233" operator="equal">
      <formula>"C1:C774"</formula>
    </cfRule>
  </conditionalFormatting>
  <conditionalFormatting sqref="C1068">
    <cfRule type="cellIs" dxfId="1491" priority="1292" operator="equal">
      <formula>"C1:C774"</formula>
    </cfRule>
  </conditionalFormatting>
  <conditionalFormatting sqref="C1077">
    <cfRule type="cellIs" dxfId="1490" priority="2205" operator="equal">
      <formula>"C1:C774"</formula>
    </cfRule>
  </conditionalFormatting>
  <conditionalFormatting sqref="C1082">
    <cfRule type="cellIs" dxfId="1489" priority="2042" operator="equal">
      <formula>"C1:C774"</formula>
    </cfRule>
  </conditionalFormatting>
  <conditionalFormatting sqref="C1084:C1085">
    <cfRule type="cellIs" dxfId="1488" priority="1523" operator="equal">
      <formula>"C1:C774"</formula>
    </cfRule>
  </conditionalFormatting>
  <conditionalFormatting sqref="C1089:C1091">
    <cfRule type="cellIs" dxfId="1487" priority="1300" operator="equal">
      <formula>"C1:C774"</formula>
    </cfRule>
  </conditionalFormatting>
  <conditionalFormatting sqref="C1105">
    <cfRule type="cellIs" dxfId="1486" priority="1135" operator="equal">
      <formula>"C1:C774"</formula>
    </cfRule>
  </conditionalFormatting>
  <conditionalFormatting sqref="C1115">
    <cfRule type="cellIs" dxfId="1485" priority="1136" operator="equal">
      <formula>"C1:C774"</formula>
    </cfRule>
  </conditionalFormatting>
  <conditionalFormatting sqref="C1128:C1131">
    <cfRule type="cellIs" dxfId="1484" priority="1137" operator="equal">
      <formula>"C1:C774"</formula>
    </cfRule>
  </conditionalFormatting>
  <conditionalFormatting sqref="C1134:C1139 G1137:G1139">
    <cfRule type="cellIs" dxfId="1483" priority="1133" operator="equal">
      <formula>"C1:C774"</formula>
    </cfRule>
  </conditionalFormatting>
  <conditionalFormatting sqref="C1142:C1146 C1150:C1152">
    <cfRule type="cellIs" dxfId="1482" priority="1111" operator="equal">
      <formula>"C1:C774"</formula>
    </cfRule>
  </conditionalFormatting>
  <conditionalFormatting sqref="C1180">
    <cfRule type="containsText" dxfId="1481" priority="998" operator="containsText" text="apr">
      <formula>NOT(ISERROR(SEARCH(("apr"),(C1180))))</formula>
    </cfRule>
    <cfRule type="containsText" dxfId="1480" priority="999" operator="containsText" text="apr">
      <formula>NOT(ISERROR(SEARCH(("apr"),(C1180))))</formula>
    </cfRule>
    <cfRule type="containsText" dxfId="1479" priority="1000" operator="containsText" text="apr">
      <formula>NOT(ISERROR(SEARCH(("apr"),(C1180))))</formula>
    </cfRule>
    <cfRule type="containsText" dxfId="1478" priority="1001" operator="containsText" text="apr">
      <formula>NOT(ISERROR(SEARCH(("apr"),(C1180))))</formula>
    </cfRule>
    <cfRule type="containsText" dxfId="1477" priority="1002" operator="containsText" text="apr">
      <formula>NOT(ISERROR(SEARCH(("apr"),(C1180))))</formula>
    </cfRule>
    <cfRule type="containsText" dxfId="1476" priority="1003" operator="containsText" text="apr">
      <formula>NOT(ISERROR(SEARCH(("apr"),(C1180))))</formula>
    </cfRule>
  </conditionalFormatting>
  <conditionalFormatting sqref="C1180:C1182">
    <cfRule type="cellIs" dxfId="1475" priority="325" operator="equal">
      <formula>"C1:C774"</formula>
    </cfRule>
  </conditionalFormatting>
  <conditionalFormatting sqref="C1184:C1185">
    <cfRule type="cellIs" dxfId="1474" priority="992" operator="equal">
      <formula>"C1:C774"</formula>
    </cfRule>
  </conditionalFormatting>
  <conditionalFormatting sqref="C1191:C1193">
    <cfRule type="cellIs" dxfId="1473" priority="740" operator="equal">
      <formula>"C1:C774"</formula>
    </cfRule>
  </conditionalFormatting>
  <conditionalFormatting sqref="C1204">
    <cfRule type="cellIs" dxfId="1472" priority="1010" operator="equal">
      <formula>"C1:C774"</formula>
    </cfRule>
  </conditionalFormatting>
  <conditionalFormatting sqref="D856">
    <cfRule type="containsText" dxfId="1471" priority="4552" operator="containsText" text="0">
      <formula>NOT(ISERROR(SEARCH(("0"),(D856))))</formula>
    </cfRule>
  </conditionalFormatting>
  <conditionalFormatting sqref="D937">
    <cfRule type="containsText" dxfId="1470" priority="3474" operator="containsText" text="0">
      <formula>NOT(ISERROR(SEARCH(("0"),(D937))))</formula>
    </cfRule>
    <cfRule type="containsText" dxfId="1469" priority="3475" operator="containsText" text="0">
      <formula>NOT(ISERROR(SEARCH(("0"),(D937))))</formula>
    </cfRule>
    <cfRule type="containsText" dxfId="1468" priority="3476" operator="containsText" text="rus">
      <formula>NOT(ISERROR(SEARCH(("rus"),(D937))))</formula>
    </cfRule>
  </conditionalFormatting>
  <conditionalFormatting sqref="D990">
    <cfRule type="containsText" dxfId="1467" priority="2744" operator="containsText" text="rus">
      <formula>NOT(ISERROR(SEARCH(("rus"),(D990))))</formula>
    </cfRule>
    <cfRule type="containsText" dxfId="1466" priority="2745" operator="containsText" text="0">
      <formula>NOT(ISERROR(SEARCH(("0"),(D990))))</formula>
    </cfRule>
  </conditionalFormatting>
  <conditionalFormatting sqref="D856:E856">
    <cfRule type="containsText" dxfId="1465" priority="4550" operator="containsText" text="rus">
      <formula>NOT(ISERROR(SEARCH(("rus"),(D856))))</formula>
    </cfRule>
  </conditionalFormatting>
  <conditionalFormatting sqref="E115:E243">
    <cfRule type="containsText" dxfId="1464" priority="4750" operator="containsText" text="rus">
      <formula>NOT(ISERROR(SEARCH(("rus"),(E115))))</formula>
    </cfRule>
  </conditionalFormatting>
  <conditionalFormatting sqref="E282:E454 E2:E39 E41:E66 E68:E113 E245:E280 E456:E457 E647:E669 E689 E777 E788 E861">
    <cfRule type="containsText" dxfId="1463" priority="5556" operator="containsText" text="rus">
      <formula>NOT(ISERROR(SEARCH(("rus"),(E2))))</formula>
    </cfRule>
  </conditionalFormatting>
  <conditionalFormatting sqref="E435">
    <cfRule type="containsText" dxfId="1462" priority="5527" operator="containsText" text="0">
      <formula>NOT(ISERROR(SEARCH(("0"),(E435))))</formula>
    </cfRule>
  </conditionalFormatting>
  <conditionalFormatting sqref="E497:E645">
    <cfRule type="containsText" dxfId="1461" priority="5289" operator="containsText" text="rus">
      <formula>NOT(ISERROR(SEARCH(("rus"),(E497))))</formula>
    </cfRule>
  </conditionalFormatting>
  <conditionalFormatting sqref="E609">
    <cfRule type="containsText" dxfId="1460" priority="5641" operator="containsText" text="0">
      <formula>NOT(ISERROR(SEARCH(("0"),(E609))))</formula>
    </cfRule>
  </conditionalFormatting>
  <conditionalFormatting sqref="E632:E633 E635:E645 E647:E652 E658 E773 E949">
    <cfRule type="containsText" dxfId="1459" priority="5614" operator="containsText" text="0">
      <formula>NOT(ISERROR(SEARCH(("0"),(E632))))</formula>
    </cfRule>
    <cfRule type="containsText" dxfId="1458" priority="5615" operator="containsText" text="rus">
      <formula>NOT(ISERROR(SEARCH(("rus"),(E632))))</formula>
    </cfRule>
  </conditionalFormatting>
  <conditionalFormatting sqref="E634">
    <cfRule type="containsText" dxfId="1457" priority="5290" operator="containsText" text="0">
      <formula>NOT(ISERROR(SEARCH(("0"),(E634))))</formula>
    </cfRule>
  </conditionalFormatting>
  <conditionalFormatting sqref="E638">
    <cfRule type="containsText" dxfId="1456" priority="5605" operator="containsText" text="0">
      <formula>NOT(ISERROR(SEARCH(("0"),(E638))))</formula>
    </cfRule>
    <cfRule type="containsText" dxfId="1455" priority="5606" operator="containsText" text="rus">
      <formula>NOT(ISERROR(SEARCH(("rus"),(E638))))</formula>
    </cfRule>
  </conditionalFormatting>
  <conditionalFormatting sqref="E671">
    <cfRule type="containsText" dxfId="1454" priority="5546" operator="containsText" text="rus">
      <formula>NOT(ISERROR(SEARCH(("rus"),(E671))))</formula>
    </cfRule>
  </conditionalFormatting>
  <conditionalFormatting sqref="E680:E682">
    <cfRule type="containsText" dxfId="1453" priority="5538" operator="containsText" text="rus">
      <formula>NOT(ISERROR(SEARCH(("rus"),(E680))))</formula>
    </cfRule>
  </conditionalFormatting>
  <conditionalFormatting sqref="E692">
    <cfRule type="containsText" dxfId="1452" priority="5568" operator="containsText" text="rus">
      <formula>NOT(ISERROR(SEARCH(("rus"),(E692))))</formula>
    </cfRule>
  </conditionalFormatting>
  <conditionalFormatting sqref="E694:E696">
    <cfRule type="containsText" dxfId="1451" priority="5470" operator="containsText" text="rus">
      <formula>NOT(ISERROR(SEARCH(("rus"),(E694))))</formula>
    </cfRule>
  </conditionalFormatting>
  <conditionalFormatting sqref="E698">
    <cfRule type="containsText" dxfId="1450" priority="5504" operator="containsText" text="rus">
      <formula>NOT(ISERROR(SEARCH(("rus"),(E698))))</formula>
    </cfRule>
  </conditionalFormatting>
  <conditionalFormatting sqref="E700:E702">
    <cfRule type="containsText" dxfId="1449" priority="5415" operator="containsText" text="rus">
      <formula>NOT(ISERROR(SEARCH(("rus"),(E700))))</formula>
    </cfRule>
  </conditionalFormatting>
  <conditionalFormatting sqref="E705:E708">
    <cfRule type="containsText" dxfId="1448" priority="5306" operator="containsText" text="rus">
      <formula>NOT(ISERROR(SEARCH(("rus"),(E705))))</formula>
    </cfRule>
  </conditionalFormatting>
  <conditionalFormatting sqref="E710">
    <cfRule type="containsText" dxfId="1447" priority="5425" operator="containsText" text="rus">
      <formula>NOT(ISERROR(SEARCH(("rus"),(E710))))</formula>
    </cfRule>
    <cfRule type="containsText" dxfId="1446" priority="5427" operator="containsText" text="0">
      <formula>NOT(ISERROR(SEARCH(("0"),(E710))))</formula>
    </cfRule>
  </conditionalFormatting>
  <conditionalFormatting sqref="E716">
    <cfRule type="containsText" dxfId="1445" priority="5404" operator="containsText" text="rus">
      <formula>NOT(ISERROR(SEARCH(("rus"),(E716))))</formula>
    </cfRule>
  </conditionalFormatting>
  <conditionalFormatting sqref="E719:E720">
    <cfRule type="containsText" dxfId="1444" priority="5363" operator="containsText" text="rus">
      <formula>NOT(ISERROR(SEARCH(("rus"),(E719))))</formula>
    </cfRule>
  </conditionalFormatting>
  <conditionalFormatting sqref="E724">
    <cfRule type="containsText" dxfId="1443" priority="5387" operator="containsText" text="0">
      <formula>NOT(ISERROR(SEARCH(("0"),(E724))))</formula>
    </cfRule>
    <cfRule type="containsText" dxfId="1442" priority="5388" operator="containsText" text="rus">
      <formula>NOT(ISERROR(SEARCH(("rus"),(E724))))</formula>
    </cfRule>
  </conditionalFormatting>
  <conditionalFormatting sqref="E725:E728">
    <cfRule type="containsText" dxfId="1441" priority="5320" operator="containsText" text="rus">
      <formula>NOT(ISERROR(SEARCH(("rus"),(E725))))</formula>
    </cfRule>
  </conditionalFormatting>
  <conditionalFormatting sqref="E730:E735">
    <cfRule type="containsText" dxfId="1440" priority="5295" operator="containsText" text="rus">
      <formula>NOT(ISERROR(SEARCH(("rus"),(E730))))</formula>
    </cfRule>
  </conditionalFormatting>
  <conditionalFormatting sqref="E738:E746">
    <cfRule type="containsText" dxfId="1439" priority="5179" operator="containsText" text="rus">
      <formula>NOT(ISERROR(SEARCH(("rus"),(E738))))</formula>
    </cfRule>
  </conditionalFormatting>
  <conditionalFormatting sqref="E741">
    <cfRule type="containsText" dxfId="1438" priority="5242" operator="containsText" text="0">
      <formula>NOT(ISERROR(SEARCH(("0"),(E741))))</formula>
    </cfRule>
    <cfRule type="containsText" dxfId="1437" priority="5243" operator="containsText" text="rus">
      <formula>NOT(ISERROR(SEARCH(("rus"),(E741))))</formula>
    </cfRule>
  </conditionalFormatting>
  <conditionalFormatting sqref="E748:E750">
    <cfRule type="containsText" dxfId="1436" priority="5159" operator="containsText" text="rus">
      <formula>NOT(ISERROR(SEARCH(("rus"),(E748))))</formula>
    </cfRule>
  </conditionalFormatting>
  <conditionalFormatting sqref="E764">
    <cfRule type="containsText" dxfId="1435" priority="5066" operator="containsText" text="rus">
      <formula>NOT(ISERROR(SEARCH(("rus"),(E764))))</formula>
    </cfRule>
  </conditionalFormatting>
  <conditionalFormatting sqref="E766">
    <cfRule type="containsText" dxfId="1434" priority="5014" operator="containsText" text="rus">
      <formula>NOT(ISERROR(SEARCH(("rus"),(E766))))</formula>
    </cfRule>
  </conditionalFormatting>
  <conditionalFormatting sqref="E768:E770 E848:E850">
    <cfRule type="containsText" dxfId="1433" priority="4557" operator="containsText" text="rus">
      <formula>NOT(ISERROR(SEARCH(("rus"),(E768))))</formula>
    </cfRule>
  </conditionalFormatting>
  <conditionalFormatting sqref="E772:E775">
    <cfRule type="containsText" dxfId="1432" priority="4982" operator="containsText" text="rus">
      <formula>NOT(ISERROR(SEARCH(("rus"),(E772))))</formula>
    </cfRule>
  </conditionalFormatting>
  <conditionalFormatting sqref="E781:E785">
    <cfRule type="containsText" dxfId="1431" priority="4907" operator="containsText" text="rus">
      <formula>NOT(ISERROR(SEARCH(("rus"),(E781))))</formula>
    </cfRule>
  </conditionalFormatting>
  <conditionalFormatting sqref="E792">
    <cfRule type="containsText" dxfId="1430" priority="5086" operator="containsText" text="rus">
      <formula>NOT(ISERROR(SEARCH(("rus"),(E792))))</formula>
    </cfRule>
  </conditionalFormatting>
  <conditionalFormatting sqref="E794:E798">
    <cfRule type="containsText" dxfId="1429" priority="4854" operator="containsText" text="rus">
      <formula>NOT(ISERROR(SEARCH(("rus"),(E794))))</formula>
    </cfRule>
  </conditionalFormatting>
  <conditionalFormatting sqref="E798">
    <cfRule type="containsText" dxfId="1428" priority="4855" operator="containsText" text="0">
      <formula>NOT(ISERROR(SEARCH(("0"),(E798))))</formula>
    </cfRule>
  </conditionalFormatting>
  <conditionalFormatting sqref="E800 E803 E822">
    <cfRule type="containsText" dxfId="1427" priority="4817" operator="containsText" text="0">
      <formula>NOT(ISERROR(SEARCH(("0"),(E800))))</formula>
    </cfRule>
  </conditionalFormatting>
  <conditionalFormatting sqref="E800">
    <cfRule type="containsText" dxfId="1426" priority="4816" operator="containsText" text="rus">
      <formula>NOT(ISERROR(SEARCH(("rus"),(E800))))</formula>
    </cfRule>
  </conditionalFormatting>
  <conditionalFormatting sqref="E800:E803">
    <cfRule type="containsText" dxfId="1425" priority="4818" operator="containsText" text="rus">
      <formula>NOT(ISERROR(SEARCH(("rus"),(E800))))</formula>
    </cfRule>
  </conditionalFormatting>
  <conditionalFormatting sqref="E803">
    <cfRule type="containsText" dxfId="1424" priority="4803" operator="containsText" text="rus">
      <formula>NOT(ISERROR(SEARCH(("rus"),(E803))))</formula>
    </cfRule>
  </conditionalFormatting>
  <conditionalFormatting sqref="E807:E824">
    <cfRule type="containsText" dxfId="1423" priority="4589" operator="containsText" text="rus">
      <formula>NOT(ISERROR(SEARCH(("rus"),(E807))))</formula>
    </cfRule>
  </conditionalFormatting>
  <conditionalFormatting sqref="E826:E830">
    <cfRule type="containsText" dxfId="1422" priority="4574" operator="containsText" text="rus">
      <formula>NOT(ISERROR(SEARCH(("rus"),(E826))))</formula>
    </cfRule>
  </conditionalFormatting>
  <conditionalFormatting sqref="E832:E841">
    <cfRule type="containsText" dxfId="1421" priority="4434" operator="containsText" text="rus">
      <formula>NOT(ISERROR(SEARCH(("rus"),(E832))))</formula>
    </cfRule>
  </conditionalFormatting>
  <conditionalFormatting sqref="E844:E846">
    <cfRule type="containsText" dxfId="1420" priority="4565" operator="containsText" text="rus">
      <formula>NOT(ISERROR(SEARCH(("rus"),(E844))))</formula>
    </cfRule>
  </conditionalFormatting>
  <conditionalFormatting sqref="E852">
    <cfRule type="containsText" dxfId="1419" priority="4474" operator="containsText" text="rus">
      <formula>NOT(ISERROR(SEARCH(("rus"),(E852))))</formula>
    </cfRule>
  </conditionalFormatting>
  <conditionalFormatting sqref="E854:E855">
    <cfRule type="containsText" dxfId="1418" priority="4465" operator="containsText" text="rus">
      <formula>NOT(ISERROR(SEARCH(("rus"),(E854))))</formula>
    </cfRule>
  </conditionalFormatting>
  <conditionalFormatting sqref="E856">
    <cfRule type="containsText" dxfId="1417" priority="4554" operator="containsText" text="0">
      <formula>NOT(ISERROR(SEARCH(("0"),(E856))))</formula>
    </cfRule>
    <cfRule type="containsText" dxfId="1416" priority="4555" operator="containsText" text="rus">
      <formula>NOT(ISERROR(SEARCH(("rus"),(E856))))</formula>
    </cfRule>
  </conditionalFormatting>
  <conditionalFormatting sqref="E858:E859">
    <cfRule type="containsText" dxfId="1415" priority="4479" operator="containsText" text="rus">
      <formula>NOT(ISERROR(SEARCH(("rus"),(E858))))</formula>
    </cfRule>
  </conditionalFormatting>
  <conditionalFormatting sqref="E859">
    <cfRule type="containsText" dxfId="1414" priority="4490" operator="containsText" text="0">
      <formula>NOT(ISERROR(SEARCH(("0"),(E859))))</formula>
    </cfRule>
  </conditionalFormatting>
  <conditionalFormatting sqref="E863:E868">
    <cfRule type="containsText" dxfId="1413" priority="4402" operator="containsText" text="rus">
      <formula>NOT(ISERROR(SEARCH(("rus"),(E863))))</formula>
    </cfRule>
  </conditionalFormatting>
  <conditionalFormatting sqref="E870:E876">
    <cfRule type="containsText" dxfId="1412" priority="4369" operator="containsText" text="rus">
      <formula>NOT(ISERROR(SEARCH(("rus"),(E870))))</formula>
    </cfRule>
  </conditionalFormatting>
  <conditionalFormatting sqref="E878">
    <cfRule type="containsText" dxfId="1411" priority="4413" operator="containsText" text="rus">
      <formula>NOT(ISERROR(SEARCH(("rus"),(E878))))</formula>
    </cfRule>
  </conditionalFormatting>
  <conditionalFormatting sqref="E880">
    <cfRule type="containsText" dxfId="1410" priority="4103" operator="containsText" text="0">
      <formula>NOT(ISERROR(SEARCH(("0"),(E880))))</formula>
    </cfRule>
    <cfRule type="containsText" dxfId="1409" priority="4106" operator="containsText" text="rus">
      <formula>NOT(ISERROR(SEARCH(("rus"),(E880))))</formula>
    </cfRule>
    <cfRule type="containsText" dxfId="1408" priority="4107" operator="containsText" text="0">
      <formula>NOT(ISERROR(SEARCH(("0"),(E880))))</formula>
    </cfRule>
  </conditionalFormatting>
  <conditionalFormatting sqref="E880:E887">
    <cfRule type="containsText" dxfId="1407" priority="4099" operator="containsText" text="rus">
      <formula>NOT(ISERROR(SEARCH(("rus"),(E880))))</formula>
    </cfRule>
  </conditionalFormatting>
  <conditionalFormatting sqref="E881">
    <cfRule type="containsText" dxfId="1406" priority="4100" operator="containsText" text="0">
      <formula>NOT(ISERROR(SEARCH(("0"),(E881))))</formula>
    </cfRule>
  </conditionalFormatting>
  <conditionalFormatting sqref="E889:E891">
    <cfRule type="containsText" dxfId="1405" priority="4124" operator="containsText" text="rus">
      <formula>NOT(ISERROR(SEARCH(("rus"),(E889))))</formula>
    </cfRule>
  </conditionalFormatting>
  <conditionalFormatting sqref="E893:E902">
    <cfRule type="containsText" dxfId="1404" priority="4058" operator="containsText" text="rus">
      <formula>NOT(ISERROR(SEARCH(("rus"),(E893))))</formula>
    </cfRule>
  </conditionalFormatting>
  <conditionalFormatting sqref="E904:E905">
    <cfRule type="containsText" dxfId="1403" priority="3976" operator="containsText" text="rus">
      <formula>NOT(ISERROR(SEARCH(("rus"),(E904))))</formula>
    </cfRule>
  </conditionalFormatting>
  <conditionalFormatting sqref="E905">
    <cfRule type="containsText" dxfId="1402" priority="3999" operator="containsText" text="0">
      <formula>NOT(ISERROR(SEARCH(("0"),(E905))))</formula>
    </cfRule>
  </conditionalFormatting>
  <conditionalFormatting sqref="E907:E909">
    <cfRule type="containsText" dxfId="1401" priority="3973" operator="containsText" text="rus">
      <formula>NOT(ISERROR(SEARCH(("rus"),(E907))))</formula>
    </cfRule>
  </conditionalFormatting>
  <conditionalFormatting sqref="E911 E913 E918">
    <cfRule type="containsText" dxfId="1400" priority="3838" operator="containsText" text="0">
      <formula>NOT(ISERROR(SEARCH(("0"),(E911))))</formula>
    </cfRule>
  </conditionalFormatting>
  <conditionalFormatting sqref="E911 E913">
    <cfRule type="containsText" dxfId="1399" priority="3837" operator="containsText" text="rus">
      <formula>NOT(ISERROR(SEARCH(("rus"),(E911))))</formula>
    </cfRule>
  </conditionalFormatting>
  <conditionalFormatting sqref="E913:E914">
    <cfRule type="containsText" dxfId="1398" priority="3955" operator="containsText" text="rus">
      <formula>NOT(ISERROR(SEARCH(("rus"),(E913))))</formula>
    </cfRule>
  </conditionalFormatting>
  <conditionalFormatting sqref="E915:E916">
    <cfRule type="containsText" dxfId="1397" priority="3818" operator="containsText" text="rus">
      <formula>NOT(ISERROR(SEARCH(("rus"),(E915))))</formula>
    </cfRule>
  </conditionalFormatting>
  <conditionalFormatting sqref="E917:E918">
    <cfRule type="containsText" dxfId="1396" priority="3839" operator="containsText" text="rus">
      <formula>NOT(ISERROR(SEARCH(("rus"),(E917))))</formula>
    </cfRule>
  </conditionalFormatting>
  <conditionalFormatting sqref="E918:E919">
    <cfRule type="containsText" dxfId="1395" priority="3764" operator="containsText" text="rus">
      <formula>NOT(ISERROR(SEARCH(("rus"),(E918))))</formula>
    </cfRule>
  </conditionalFormatting>
  <conditionalFormatting sqref="E919">
    <cfRule type="containsText" dxfId="1394" priority="3763" operator="containsText" text="0">
      <formula>NOT(ISERROR(SEARCH(("0"),(E919))))</formula>
    </cfRule>
  </conditionalFormatting>
  <conditionalFormatting sqref="E919:E940">
    <cfRule type="containsText" dxfId="1393" priority="3341" operator="containsText" text="rus">
      <formula>NOT(ISERROR(SEARCH(("rus"),(E919))))</formula>
    </cfRule>
  </conditionalFormatting>
  <conditionalFormatting sqref="E937">
    <cfRule type="containsText" dxfId="1392" priority="3479" operator="containsText" text="0">
      <formula>NOT(ISERROR(SEARCH(("0"),(E937))))</formula>
    </cfRule>
  </conditionalFormatting>
  <conditionalFormatting sqref="E940">
    <cfRule type="containsText" dxfId="1391" priority="3339" operator="containsText" text="rus">
      <formula>NOT(ISERROR(SEARCH(("rus"),(E940))))</formula>
    </cfRule>
    <cfRule type="containsText" dxfId="1390" priority="3340" operator="containsText" text="0">
      <formula>NOT(ISERROR(SEARCH(("0"),(E940))))</formula>
    </cfRule>
  </conditionalFormatting>
  <conditionalFormatting sqref="E942:E962">
    <cfRule type="containsText" dxfId="1389" priority="2950" operator="containsText" text="rus">
      <formula>NOT(ISERROR(SEARCH(("rus"),(E942))))</formula>
    </cfRule>
  </conditionalFormatting>
  <conditionalFormatting sqref="E959">
    <cfRule type="containsText" dxfId="1388" priority="2949" operator="containsText" text="0">
      <formula>NOT(ISERROR(SEARCH(("0"),(E959))))</formula>
    </cfRule>
  </conditionalFormatting>
  <conditionalFormatting sqref="E963">
    <cfRule type="containsText" dxfId="1387" priority="2780" operator="containsText" text="rus">
      <formula>NOT(ISERROR(SEARCH(("rus"),(E963))))</formula>
    </cfRule>
    <cfRule type="containsText" dxfId="1386" priority="2784" operator="containsText" text="0">
      <formula>NOT(ISERROR(SEARCH(("0"),(E963))))</formula>
    </cfRule>
  </conditionalFormatting>
  <conditionalFormatting sqref="E963:E971">
    <cfRule type="containsText" dxfId="1385" priority="2785" operator="containsText" text="rus">
      <formula>NOT(ISERROR(SEARCH(("rus"),(E963))))</formula>
    </cfRule>
  </conditionalFormatting>
  <conditionalFormatting sqref="E973:E975">
    <cfRule type="containsText" dxfId="1384" priority="3997" operator="containsText" text="rus">
      <formula>NOT(ISERROR(SEARCH(("rus"),(E973))))</formula>
    </cfRule>
  </conditionalFormatting>
  <conditionalFormatting sqref="E975">
    <cfRule type="containsText" dxfId="1383" priority="3994" operator="containsText" text="rus">
      <formula>NOT(ISERROR(SEARCH(("rus"),(E975))))</formula>
    </cfRule>
    <cfRule type="containsText" dxfId="1382" priority="3995" operator="containsText" text="0">
      <formula>NOT(ISERROR(SEARCH(("0"),(E975))))</formula>
    </cfRule>
    <cfRule type="containsText" dxfId="1381" priority="3996" operator="containsText" text="0">
      <formula>NOT(ISERROR(SEARCH(("0"),(E975))))</formula>
    </cfRule>
  </conditionalFormatting>
  <conditionalFormatting sqref="E977:E978">
    <cfRule type="containsText" dxfId="1380" priority="2747" operator="containsText" text="rus">
      <formula>NOT(ISERROR(SEARCH(("rus"),(E977))))</formula>
    </cfRule>
  </conditionalFormatting>
  <conditionalFormatting sqref="E978 E980:E987">
    <cfRule type="containsText" dxfId="1379" priority="2759" operator="containsText" text="0">
      <formula>NOT(ISERROR(SEARCH(("0"),(E978))))</formula>
    </cfRule>
  </conditionalFormatting>
  <conditionalFormatting sqref="E980:E1001">
    <cfRule type="containsText" dxfId="1378" priority="1873" operator="containsText" text="rus">
      <formula>NOT(ISERROR(SEARCH(("rus"),(E980))))</formula>
    </cfRule>
  </conditionalFormatting>
  <conditionalFormatting sqref="E986 E988:E998 E1000:E1001 E1004:E1008">
    <cfRule type="containsText" dxfId="1377" priority="2749" operator="containsText" text="0">
      <formula>NOT(ISERROR(SEARCH(("0"),(E986))))</formula>
    </cfRule>
  </conditionalFormatting>
  <conditionalFormatting sqref="E986">
    <cfRule type="containsText" dxfId="1376" priority="2750" operator="containsText" text="rus">
      <formula>NOT(ISERROR(SEARCH(("rus"),(E986))))</formula>
    </cfRule>
  </conditionalFormatting>
  <conditionalFormatting sqref="E995">
    <cfRule type="containsText" dxfId="1375" priority="2751" operator="containsText" text="0">
      <formula>NOT(ISERROR(SEARCH(("0"),(E995))))</formula>
    </cfRule>
    <cfRule type="containsText" dxfId="1374" priority="2752" operator="containsText" text="rus">
      <formula>NOT(ISERROR(SEARCH(("rus"),(E995))))</formula>
    </cfRule>
  </conditionalFormatting>
  <conditionalFormatting sqref="E998">
    <cfRule type="containsText" dxfId="1373" priority="2753" operator="containsText" text="0">
      <formula>NOT(ISERROR(SEARCH(("0"),(E998))))</formula>
    </cfRule>
    <cfRule type="containsText" dxfId="1372" priority="2754" operator="containsText" text="rus">
      <formula>NOT(ISERROR(SEARCH(("rus"),(E998))))</formula>
    </cfRule>
  </conditionalFormatting>
  <conditionalFormatting sqref="E999">
    <cfRule type="containsText" dxfId="1371" priority="1872" operator="containsText" text="0">
      <formula>NOT(ISERROR(SEARCH(("0"),(E999))))</formula>
    </cfRule>
  </conditionalFormatting>
  <conditionalFormatting sqref="E1003">
    <cfRule type="containsText" dxfId="1370" priority="2371" operator="containsText" text="rus">
      <formula>NOT(ISERROR(SEARCH(("rus"),(E1003))))</formula>
    </cfRule>
    <cfRule type="containsText" dxfId="1369" priority="2373" operator="containsText" text="0">
      <formula>NOT(ISERROR(SEARCH(("0"),(E1003))))</formula>
    </cfRule>
    <cfRule type="containsText" dxfId="1368" priority="2374" operator="containsText" text="0">
      <formula>NOT(ISERROR(SEARCH(("0"),(E1003))))</formula>
    </cfRule>
  </conditionalFormatting>
  <conditionalFormatting sqref="E1003:E1011">
    <cfRule type="containsText" dxfId="1367" priority="2375" operator="containsText" text="rus">
      <formula>NOT(ISERROR(SEARCH(("rus"),(E1003))))</formula>
    </cfRule>
  </conditionalFormatting>
  <conditionalFormatting sqref="E1009">
    <cfRule type="containsText" dxfId="1366" priority="2756" operator="containsText" text="0">
      <formula>NOT(ISERROR(SEARCH(("0"),(E1009))))</formula>
    </cfRule>
    <cfRule type="containsText" dxfId="1365" priority="2757" operator="containsText" text="rus">
      <formula>NOT(ISERROR(SEARCH(("rus"),(E1009))))</formula>
    </cfRule>
    <cfRule type="containsText" dxfId="1364" priority="2758" operator="containsText" text="0">
      <formula>NOT(ISERROR(SEARCH(("0"),(E1009))))</formula>
    </cfRule>
  </conditionalFormatting>
  <conditionalFormatting sqref="E1011 E1013:E1015">
    <cfRule type="containsText" dxfId="1363" priority="2761" operator="containsText" text="0">
      <formula>NOT(ISERROR(SEARCH(("0"),(E1011))))</formula>
    </cfRule>
  </conditionalFormatting>
  <conditionalFormatting sqref="E1011">
    <cfRule type="containsText" dxfId="1362" priority="2760" operator="containsText" text="0">
      <formula>NOT(ISERROR(SEARCH(("0"),(E1011))))</formula>
    </cfRule>
  </conditionalFormatting>
  <conditionalFormatting sqref="E1012">
    <cfRule type="containsText" dxfId="1361" priority="2192" operator="containsText" text="rus">
      <formula>NOT(ISERROR(SEARCH(("rus"),(E1012))))</formula>
    </cfRule>
  </conditionalFormatting>
  <conditionalFormatting sqref="E1013:E1016 E1027">
    <cfRule type="containsText" dxfId="1360" priority="2726" operator="containsText" text="rus">
      <formula>NOT(ISERROR(SEARCH(("rus"),(E1013))))</formula>
    </cfRule>
  </conditionalFormatting>
  <conditionalFormatting sqref="E1016">
    <cfRule type="containsText" dxfId="1359" priority="2725" operator="containsText" text="0">
      <formula>NOT(ISERROR(SEARCH(("0"),(E1016))))</formula>
    </cfRule>
  </conditionalFormatting>
  <conditionalFormatting sqref="E1027">
    <cfRule type="containsText" dxfId="1358" priority="2729" operator="containsText" text="0">
      <formula>NOT(ISERROR(SEARCH(("0"),(E1027))))</formula>
    </cfRule>
  </conditionalFormatting>
  <conditionalFormatting sqref="E1029:E1035">
    <cfRule type="containsText" dxfId="1357" priority="1819" operator="containsText" text="rus">
      <formula>NOT(ISERROR(SEARCH(("rus"),(E1029))))</formula>
    </cfRule>
  </conditionalFormatting>
  <conditionalFormatting sqref="E1030">
    <cfRule type="containsText" dxfId="1356" priority="1820" operator="containsText" text="0">
      <formula>NOT(ISERROR(SEARCH(("0"),(E1030))))</formula>
    </cfRule>
  </conditionalFormatting>
  <conditionalFormatting sqref="E1037:E1038">
    <cfRule type="containsText" dxfId="1355" priority="2583" operator="containsText" text="rus">
      <formula>NOT(ISERROR(SEARCH(("rus"),(E1037))))</formula>
    </cfRule>
  </conditionalFormatting>
  <conditionalFormatting sqref="E1038 E1041 E1077">
    <cfRule type="containsText" dxfId="1354" priority="2674" operator="containsText" text="0">
      <formula>NOT(ISERROR(SEARCH(("0"),(E1038))))</formula>
    </cfRule>
  </conditionalFormatting>
  <conditionalFormatting sqref="E1040:E1042">
    <cfRule type="containsText" dxfId="1353" priority="2559" operator="containsText" text="rus">
      <formula>NOT(ISERROR(SEARCH(("rus"),(E1040))))</formula>
    </cfRule>
  </conditionalFormatting>
  <conditionalFormatting sqref="E1042">
    <cfRule type="containsText" dxfId="1352" priority="2558" operator="containsText" text="0">
      <formula>NOT(ISERROR(SEARCH(("0"),(E1042))))</formula>
    </cfRule>
  </conditionalFormatting>
  <conditionalFormatting sqref="E1042:E1045">
    <cfRule type="containsText" dxfId="1351" priority="2531" operator="containsText" text="rus">
      <formula>NOT(ISERROR(SEARCH(("rus"),(E1042))))</formula>
    </cfRule>
  </conditionalFormatting>
  <conditionalFormatting sqref="E1047">
    <cfRule type="containsText" dxfId="1350" priority="2527" operator="containsText" text="rus">
      <formula>NOT(ISERROR(SEARCH(("rus"),(E1047))))</formula>
    </cfRule>
  </conditionalFormatting>
  <conditionalFormatting sqref="E1050:E1051 E1065:E1077">
    <cfRule type="containsText" dxfId="1349" priority="1290" operator="containsText" text="rus">
      <formula>NOT(ISERROR(SEARCH(("rus"),(E1050))))</formula>
    </cfRule>
  </conditionalFormatting>
  <conditionalFormatting sqref="E1051 E1068">
    <cfRule type="containsText" dxfId="1348" priority="1291" operator="containsText" text="0">
      <formula>NOT(ISERROR(SEARCH(("0"),(E1051))))</formula>
    </cfRule>
  </conditionalFormatting>
  <conditionalFormatting sqref="E1052">
    <cfRule type="containsText" dxfId="1347" priority="2383" operator="containsText" text="0">
      <formula>NOT(ISERROR(SEARCH(("0"),(E1052))))</formula>
    </cfRule>
  </conditionalFormatting>
  <conditionalFormatting sqref="E1052:E1055">
    <cfRule type="containsText" dxfId="1346" priority="2342" operator="containsText" text="rus">
      <formula>NOT(ISERROR(SEARCH(("rus"),(E1052))))</formula>
    </cfRule>
  </conditionalFormatting>
  <conditionalFormatting sqref="E1053">
    <cfRule type="containsText" dxfId="1345" priority="2380" operator="containsText" text="0">
      <formula>NOT(ISERROR(SEARCH(("0"),(E1053))))</formula>
    </cfRule>
  </conditionalFormatting>
  <conditionalFormatting sqref="E1055">
    <cfRule type="containsText" dxfId="1344" priority="2341" operator="containsText" text="0">
      <formula>NOT(ISERROR(SEARCH(("0"),(E1055))))</formula>
    </cfRule>
  </conditionalFormatting>
  <conditionalFormatting sqref="E1056">
    <cfRule type="containsText" dxfId="1343" priority="2321" operator="containsText" text="rus">
      <formula>NOT(ISERROR(SEARCH(("rus"),(E1056))))</formula>
    </cfRule>
  </conditionalFormatting>
  <conditionalFormatting sqref="E1058:E1059">
    <cfRule type="containsText" dxfId="1342" priority="2253" operator="containsText" text="rus">
      <formula>NOT(ISERROR(SEARCH(("rus"),(E1058))))</formula>
    </cfRule>
  </conditionalFormatting>
  <conditionalFormatting sqref="E1059">
    <cfRule type="containsText" dxfId="1341" priority="2252" operator="containsText" text="0">
      <formula>NOT(ISERROR(SEARCH(("0"),(E1059))))</formula>
    </cfRule>
  </conditionalFormatting>
  <conditionalFormatting sqref="E1060">
    <cfRule type="containsText" dxfId="1340" priority="2250" operator="containsText" text="0">
      <formula>NOT(ISERROR(SEARCH(("0"),(E1060))))</formula>
    </cfRule>
  </conditionalFormatting>
  <conditionalFormatting sqref="E1060:E1063">
    <cfRule type="containsText" dxfId="1339" priority="2230" operator="containsText" text="rus">
      <formula>NOT(ISERROR(SEARCH(("rus"),(E1060))))</formula>
    </cfRule>
  </conditionalFormatting>
  <conditionalFormatting sqref="E1062:E1063 E1067">
    <cfRule type="containsText" dxfId="1338" priority="2232" operator="containsText" text="0">
      <formula>NOT(ISERROR(SEARCH(("0"),(E1062))))</formula>
    </cfRule>
  </conditionalFormatting>
  <conditionalFormatting sqref="E1069 E1077">
    <cfRule type="containsText" dxfId="1337" priority="2196" operator="containsText" text="0">
      <formula>NOT(ISERROR(SEARCH(("0"),(E1069))))</formula>
    </cfRule>
  </conditionalFormatting>
  <conditionalFormatting sqref="E1079:E1082">
    <cfRule type="containsText" dxfId="1336" priority="2003" operator="containsText" text="rus">
      <formula>NOT(ISERROR(SEARCH(("rus"),(E1079))))</formula>
    </cfRule>
  </conditionalFormatting>
  <conditionalFormatting sqref="E1084:E1089">
    <cfRule type="containsText" dxfId="1335" priority="1303" operator="containsText" text="rus">
      <formula>NOT(ISERROR(SEARCH(("rus"),(E1084))))</formula>
    </cfRule>
  </conditionalFormatting>
  <conditionalFormatting sqref="E1089">
    <cfRule type="containsText" dxfId="1334" priority="1302" operator="containsText" text="0">
      <formula>NOT(ISERROR(SEARCH(("0"),(E1089))))</formula>
    </cfRule>
  </conditionalFormatting>
  <conditionalFormatting sqref="E1092:E1093">
    <cfRule type="containsText" dxfId="1333" priority="1140" operator="containsText" text="rus">
      <formula>NOT(ISERROR(SEARCH(("rus"),(E1092))))</formula>
    </cfRule>
  </conditionalFormatting>
  <conditionalFormatting sqref="E1093">
    <cfRule type="containsText" dxfId="1332" priority="1139" operator="containsText" text="0">
      <formula>NOT(ISERROR(SEARCH(("0"),(E1093))))</formula>
    </cfRule>
  </conditionalFormatting>
  <conditionalFormatting sqref="E1093:E1095 E1150:E1151">
    <cfRule type="containsText" dxfId="1331" priority="1131" operator="containsText" text="rus">
      <formula>NOT(ISERROR(SEARCH(("rus"),(E1093))))</formula>
    </cfRule>
  </conditionalFormatting>
  <conditionalFormatting sqref="E1118:E1120">
    <cfRule type="containsText" dxfId="1330" priority="1141" operator="containsText" text="rus">
      <formula>NOT(ISERROR(SEARCH(("rus"),(E1118))))</formula>
    </cfRule>
  </conditionalFormatting>
  <conditionalFormatting sqref="E1153:E1179">
    <cfRule type="containsText" dxfId="1329" priority="424" operator="containsText" text="rus">
      <formula>NOT(ISERROR(SEARCH(("rus"),(E1153))))</formula>
    </cfRule>
  </conditionalFormatting>
  <conditionalFormatting sqref="E1179">
    <cfRule type="containsText" dxfId="1328" priority="1015" operator="containsText" text="0">
      <formula>NOT(ISERROR(SEARCH(("0"),(E1179))))</formula>
    </cfRule>
    <cfRule type="containsText" dxfId="1327" priority="1016" operator="containsText" text="rus">
      <formula>NOT(ISERROR(SEARCH(("rus"),(E1179))))</formula>
    </cfRule>
  </conditionalFormatting>
  <conditionalFormatting sqref="E1181:E1201">
    <cfRule type="containsText" dxfId="1326" priority="24" operator="containsText" text="rus">
      <formula>NOT(ISERROR(SEARCH(("rus"),(E1181))))</formula>
    </cfRule>
  </conditionalFormatting>
  <conditionalFormatting sqref="E1207">
    <cfRule type="containsText" dxfId="1325" priority="769" operator="containsText" text="rus">
      <formula>NOT(ISERROR(SEARCH(("rus"),(E1207))))</formula>
    </cfRule>
    <cfRule type="containsText" dxfId="1324" priority="770" operator="containsText" text="0">
      <formula>NOT(ISERROR(SEARCH(("0"),(E1207))))</formula>
    </cfRule>
    <cfRule type="containsText" dxfId="1323" priority="771" operator="containsText" text="rus">
      <formula>NOT(ISERROR(SEARCH(("rus"),(E1207))))</formula>
    </cfRule>
  </conditionalFormatting>
  <conditionalFormatting sqref="E1221:E1222">
    <cfRule type="containsText" dxfId="1322" priority="654" operator="containsText" text="rus">
      <formula>NOT(ISERROR(SEARCH(("rus"),(E1221))))</formula>
    </cfRule>
  </conditionalFormatting>
  <conditionalFormatting sqref="E1222">
    <cfRule type="containsText" dxfId="1321" priority="653" operator="containsText" text="0">
      <formula>NOT(ISERROR(SEARCH(("0"),(E1222))))</formula>
    </cfRule>
    <cfRule type="containsText" dxfId="1320" priority="655" operator="containsText" text="0">
      <formula>NOT(ISERROR(SEARCH(("0"),(E1222))))</formula>
    </cfRule>
  </conditionalFormatting>
  <conditionalFormatting sqref="E1222:E1223">
    <cfRule type="containsText" dxfId="1319" priority="647" operator="containsText" text="rus">
      <formula>NOT(ISERROR(SEARCH(("rus"),(E1222))))</formula>
    </cfRule>
  </conditionalFormatting>
  <conditionalFormatting sqref="F1103:F1104 Q1103:Q1104 F1106 Q1106 Q1117 Q1127 F1127:F1134">
    <cfRule type="containsText" dxfId="1318" priority="1142" operator="containsText" text="наклеен">
      <formula>NOT(ISERROR(SEARCH(("наклеен"),(F1103))))</formula>
    </cfRule>
  </conditionalFormatting>
  <conditionalFormatting sqref="F1144 F1147">
    <cfRule type="containsText" dxfId="1317" priority="1114" operator="containsText" text="наклеен">
      <formula>NOT(ISERROR(SEARCH(("наклеен"),(F1144))))</formula>
    </cfRule>
  </conditionalFormatting>
  <conditionalFormatting sqref="G225">
    <cfRule type="containsText" dxfId="1316" priority="4865" operator="containsText" text="да">
      <formula>NOT(ISERROR(SEARCH(("да"),(G225))))</formula>
    </cfRule>
    <cfRule type="containsText" dxfId="1315" priority="4866" operator="containsText" text="да">
      <formula>NOT(ISERROR(SEARCH(("да"),(G225))))</formula>
    </cfRule>
    <cfRule type="containsText" dxfId="1314" priority="4867" operator="containsText" text="да">
      <formula>NOT(ISERROR(SEARCH(("да"),(G225))))</formula>
    </cfRule>
    <cfRule type="containsText" dxfId="1313" priority="4868" operator="containsText" text="да">
      <formula>NOT(ISERROR(SEARCH(("да"),(G225))))</formula>
    </cfRule>
  </conditionalFormatting>
  <conditionalFormatting sqref="G636">
    <cfRule type="containsText" dxfId="1312" priority="5610" operator="containsText" text="да">
      <formula>NOT(ISERROR(SEARCH(("да"),(G636))))</formula>
    </cfRule>
  </conditionalFormatting>
  <conditionalFormatting sqref="G654 G675 G677 G684:G696 G736 G740">
    <cfRule type="containsText" dxfId="1311" priority="5577" operator="containsText" text="да">
      <formula>NOT(ISERROR(SEARCH(("да"),(G654))))</formula>
    </cfRule>
  </conditionalFormatting>
  <conditionalFormatting sqref="G654 G677 G684:G696 G736 G740">
    <cfRule type="containsText" dxfId="1310" priority="5567" operator="containsText" text="да">
      <formula>NOT(ISERROR(SEARCH(("да"),(G654))))</formula>
    </cfRule>
  </conditionalFormatting>
  <conditionalFormatting sqref="G654 G677 G684:G696">
    <cfRule type="containsText" dxfId="1309" priority="5569" operator="containsText" text="да">
      <formula>NOT(ISERROR(SEARCH(("да"),(G654))))</formula>
    </cfRule>
  </conditionalFormatting>
  <conditionalFormatting sqref="G655 G657 G665 G675 G678:G680 G682:G683 G707">
    <cfRule type="containsText" dxfId="1308" priority="5642" operator="containsText" text="да">
      <formula>NOT(ISERROR(SEARCH(("да"),(G655))))</formula>
    </cfRule>
    <cfRule type="containsText" dxfId="1307" priority="5649" operator="containsText" text="да">
      <formula>NOT(ISERROR(SEARCH(("да"),(G655))))</formula>
    </cfRule>
  </conditionalFormatting>
  <conditionalFormatting sqref="G655 G657 G665 G675 G678:G680 G682:G696 G707">
    <cfRule type="containsText" dxfId="1306" priority="5650" operator="containsText" text="да">
      <formula>NOT(ISERROR(SEARCH(("да"),(G655))))</formula>
    </cfRule>
    <cfRule type="containsText" dxfId="1305" priority="5654" operator="containsText" text="да">
      <formula>NOT(ISERROR(SEARCH(("да"),(G655))))</formula>
    </cfRule>
  </conditionalFormatting>
  <conditionalFormatting sqref="G676">
    <cfRule type="containsText" dxfId="1304" priority="4889" operator="containsText" text="да">
      <formula>NOT(ISERROR(SEARCH(("да"),(G676))))</formula>
    </cfRule>
  </conditionalFormatting>
  <conditionalFormatting sqref="G680">
    <cfRule type="containsText" dxfId="1303" priority="5534" operator="containsText" text="да">
      <formula>NOT(ISERROR(SEARCH(("да"),(G680))))</formula>
    </cfRule>
    <cfRule type="containsText" dxfId="1302" priority="5535" operator="containsText" text="да">
      <formula>NOT(ISERROR(SEARCH(("да"),(G680))))</formula>
    </cfRule>
    <cfRule type="containsText" dxfId="1301" priority="5536" operator="containsText" text="да">
      <formula>NOT(ISERROR(SEARCH(("да"),(G680))))</formula>
    </cfRule>
    <cfRule type="containsText" dxfId="1300" priority="5537" operator="containsText" text="да">
      <formula>NOT(ISERROR(SEARCH(("да"),(G680))))</formula>
    </cfRule>
  </conditionalFormatting>
  <conditionalFormatting sqref="G688">
    <cfRule type="containsText" dxfId="1299" priority="5506" operator="containsText" text="да">
      <formula>NOT(ISERROR(SEARCH(("да"),(G688))))</formula>
    </cfRule>
  </conditionalFormatting>
  <conditionalFormatting sqref="G721 E723 G723">
    <cfRule type="containsText" dxfId="1298" priority="5342" operator="containsText" text="rus">
      <formula>NOT(ISERROR(SEARCH(("rus"),(G721))))</formula>
    </cfRule>
  </conditionalFormatting>
  <conditionalFormatting sqref="G721 G723">
    <cfRule type="containsText" dxfId="1297" priority="5343" operator="containsText" text="да">
      <formula>NOT(ISERROR(SEARCH(("да"),(G721))))</formula>
    </cfRule>
    <cfRule type="containsText" dxfId="1296" priority="5344" operator="containsText" text="да">
      <formula>NOT(ISERROR(SEARCH(("да"),(G721))))</formula>
    </cfRule>
    <cfRule type="containsText" dxfId="1295" priority="5345" operator="containsText" text="да">
      <formula>NOT(ISERROR(SEARCH(("да"),(G721))))</formula>
    </cfRule>
    <cfRule type="containsText" dxfId="1294" priority="5346" operator="containsText" text="да">
      <formula>NOT(ISERROR(SEARCH(("да"),(G721))))</formula>
    </cfRule>
  </conditionalFormatting>
  <conditionalFormatting sqref="G735">
    <cfRule type="containsText" dxfId="1293" priority="5291" operator="containsText" text="да">
      <formula>NOT(ISERROR(SEARCH(("да"),(G735))))</formula>
    </cfRule>
    <cfRule type="containsText" dxfId="1292" priority="5292" operator="containsText" text="да">
      <formula>NOT(ISERROR(SEARCH(("да"),(G735))))</formula>
    </cfRule>
    <cfRule type="containsText" dxfId="1291" priority="5293" operator="containsText" text="да">
      <formula>NOT(ISERROR(SEARCH(("да"),(G735))))</formula>
    </cfRule>
    <cfRule type="containsText" dxfId="1290" priority="5294" operator="containsText" text="да">
      <formula>NOT(ISERROR(SEARCH(("да"),(G735))))</formula>
    </cfRule>
  </conditionalFormatting>
  <conditionalFormatting sqref="G744">
    <cfRule type="containsText" dxfId="1289" priority="5214" operator="containsText" text="да">
      <formula>NOT(ISERROR(SEARCH(("да"),(G744))))</formula>
    </cfRule>
    <cfRule type="containsText" dxfId="1288" priority="5215" operator="containsText" text="да">
      <formula>NOT(ISERROR(SEARCH(("да"),(G744))))</formula>
    </cfRule>
    <cfRule type="containsText" dxfId="1287" priority="5216" operator="containsText" text="да">
      <formula>NOT(ISERROR(SEARCH(("да"),(G744))))</formula>
    </cfRule>
    <cfRule type="containsText" dxfId="1286" priority="5217" operator="containsText" text="да">
      <formula>NOT(ISERROR(SEARCH(("да"),(G744))))</formula>
    </cfRule>
  </conditionalFormatting>
  <conditionalFormatting sqref="G753">
    <cfRule type="containsText" dxfId="1285" priority="5109" operator="containsText" text="да">
      <formula>NOT(ISERROR(SEARCH(("да"),(G753))))</formula>
    </cfRule>
    <cfRule type="containsText" dxfId="1284" priority="5110" operator="containsText" text="да">
      <formula>NOT(ISERROR(SEARCH(("да"),(G753))))</formula>
    </cfRule>
  </conditionalFormatting>
  <conditionalFormatting sqref="G759">
    <cfRule type="containsText" dxfId="1283" priority="5191" operator="containsText" text="да">
      <formula>NOT(ISERROR(SEARCH(("да"),(G759))))</formula>
    </cfRule>
    <cfRule type="containsText" dxfId="1282" priority="5192" operator="containsText" text="да">
      <formula>NOT(ISERROR(SEARCH(("да"),(G759))))</formula>
    </cfRule>
    <cfRule type="containsText" dxfId="1281" priority="5193" operator="containsText" text="да">
      <formula>NOT(ISERROR(SEARCH(("да"),(G759))))</formula>
    </cfRule>
    <cfRule type="containsText" dxfId="1280" priority="5194" operator="containsText" text="да">
      <formula>NOT(ISERROR(SEARCH(("да"),(G759))))</formula>
    </cfRule>
  </conditionalFormatting>
  <conditionalFormatting sqref="G770">
    <cfRule type="containsText" dxfId="1279" priority="5004" operator="containsText" text="да">
      <formula>NOT(ISERROR(SEARCH(("да"),(G770))))</formula>
    </cfRule>
  </conditionalFormatting>
  <conditionalFormatting sqref="G831 G857">
    <cfRule type="containsText" dxfId="1278" priority="4582" operator="containsText" text="да">
      <formula>NOT(ISERROR(SEARCH(("да"),(G831))))</formula>
    </cfRule>
  </conditionalFormatting>
  <conditionalFormatting sqref="G831">
    <cfRule type="containsText" dxfId="1277" priority="4583" operator="containsText" text="да">
      <formula>NOT(ISERROR(SEARCH(("да"),(G831))))</formula>
    </cfRule>
  </conditionalFormatting>
  <conditionalFormatting sqref="G876">
    <cfRule type="containsText" dxfId="1276" priority="4381" operator="containsText" text="да">
      <formula>NOT(ISERROR(SEARCH(("да"),(G876))))</formula>
    </cfRule>
    <cfRule type="containsText" dxfId="1275" priority="4382" operator="containsText" text="да">
      <formula>NOT(ISERROR(SEARCH(("да"),(G876))))</formula>
    </cfRule>
  </conditionalFormatting>
  <conditionalFormatting sqref="G910:G911">
    <cfRule type="containsText" dxfId="1274" priority="5196" operator="containsText" text="да">
      <formula>NOT(ISERROR(SEARCH(("да"),(G910))))</formula>
    </cfRule>
  </conditionalFormatting>
  <conditionalFormatting sqref="G931 G938 G942">
    <cfRule type="containsText" dxfId="1273" priority="3654" operator="containsText" text="да">
      <formula>NOT(ISERROR(SEARCH(("да"),(G931))))</formula>
    </cfRule>
  </conditionalFormatting>
  <conditionalFormatting sqref="G939">
    <cfRule type="containsText" dxfId="1272" priority="3384" operator="containsText" text="да">
      <formula>NOT(ISERROR(SEARCH(("да"),(G939))))</formula>
    </cfRule>
    <cfRule type="containsText" dxfId="1271" priority="3385" operator="containsText" text="да">
      <formula>NOT(ISERROR(SEARCH(("да"),(G939))))</formula>
    </cfRule>
    <cfRule type="containsText" dxfId="1270" priority="3386" operator="containsText" text="да">
      <formula>NOT(ISERROR(SEARCH(("да"),(G939))))</formula>
    </cfRule>
    <cfRule type="containsText" dxfId="1269" priority="3387" operator="containsText" text="да">
      <formula>NOT(ISERROR(SEARCH(("да"),(G939))))</formula>
    </cfRule>
  </conditionalFormatting>
  <conditionalFormatting sqref="G948 G950">
    <cfRule type="containsText" dxfId="1268" priority="3204" operator="containsText" text="да">
      <formula>NOT(ISERROR(SEARCH(("да"),(G948))))</formula>
    </cfRule>
    <cfRule type="containsText" dxfId="1267" priority="3205" operator="containsText" text="да">
      <formula>NOT(ISERROR(SEARCH(("да"),(G948))))</formula>
    </cfRule>
  </conditionalFormatting>
  <conditionalFormatting sqref="G951">
    <cfRule type="containsText" dxfId="1266" priority="3468" operator="containsText" text="да">
      <formula>NOT(ISERROR(SEARCH(("да"),(G951))))</formula>
    </cfRule>
  </conditionalFormatting>
  <conditionalFormatting sqref="G952">
    <cfRule type="containsText" dxfId="1265" priority="3322" operator="containsText" text="да">
      <formula>NOT(ISERROR(SEARCH(("да"),(G952))))</formula>
    </cfRule>
    <cfRule type="containsText" dxfId="1264" priority="3323" operator="containsText" text="да">
      <formula>NOT(ISERROR(SEARCH(("да"),(G952))))</formula>
    </cfRule>
    <cfRule type="containsText" dxfId="1263" priority="3324" operator="containsText" text="да">
      <formula>NOT(ISERROR(SEARCH(("да"),(G952))))</formula>
    </cfRule>
  </conditionalFormatting>
  <conditionalFormatting sqref="G953">
    <cfRule type="containsText" dxfId="1262" priority="3175" operator="containsText" text="да">
      <formula>NOT(ISERROR(SEARCH(("да"),(G953))))</formula>
    </cfRule>
    <cfRule type="containsText" dxfId="1261" priority="3176" operator="containsText" text="да">
      <formula>NOT(ISERROR(SEARCH(("да"),(G953))))</formula>
    </cfRule>
  </conditionalFormatting>
  <conditionalFormatting sqref="G976">
    <cfRule type="containsText" dxfId="1260" priority="3471" operator="containsText" text="да">
      <formula>NOT(ISERROR(SEARCH(("да"),(G976))))</formula>
    </cfRule>
  </conditionalFormatting>
  <conditionalFormatting sqref="G999">
    <cfRule type="containsText" dxfId="1259" priority="1877" operator="containsText" text="да">
      <formula>NOT(ISERROR(SEARCH(("да"),(G999))))</formula>
    </cfRule>
  </conditionalFormatting>
  <conditionalFormatting sqref="G1018:G1021">
    <cfRule type="containsText" dxfId="1258" priority="2762" operator="containsText" text="да">
      <formula>NOT(ISERROR(SEARCH(("да"),(G1018))))</formula>
    </cfRule>
  </conditionalFormatting>
  <conditionalFormatting sqref="G1023:G1025">
    <cfRule type="containsText" dxfId="1257" priority="2763" operator="containsText" text="да">
      <formula>NOT(ISERROR(SEARCH(("да"),(G1023))))</formula>
    </cfRule>
  </conditionalFormatting>
  <conditionalFormatting sqref="G1029">
    <cfRule type="containsText" dxfId="1256" priority="2685" operator="containsText" text="да">
      <formula>NOT(ISERROR(SEARCH(("да"),(G1029))))</formula>
    </cfRule>
    <cfRule type="containsText" dxfId="1255" priority="2686" operator="containsText" text="да">
      <formula>NOT(ISERROR(SEARCH(("да"),(G1029))))</formula>
    </cfRule>
    <cfRule type="containsText" dxfId="1254" priority="2687" operator="containsText" text="да">
      <formula>NOT(ISERROR(SEARCH(("да"),(G1029))))</formula>
    </cfRule>
  </conditionalFormatting>
  <conditionalFormatting sqref="G1030 G1090:G1091">
    <cfRule type="containsText" dxfId="1253" priority="1821" operator="containsText" text="да">
      <formula>NOT(ISERROR(SEARCH(("да"),(G1030))))</formula>
    </cfRule>
  </conditionalFormatting>
  <conditionalFormatting sqref="G1030">
    <cfRule type="containsText" dxfId="1252" priority="1822" operator="containsText" text="да">
      <formula>NOT(ISERROR(SEARCH(("да"),(G1030))))</formula>
    </cfRule>
    <cfRule type="containsText" dxfId="1251" priority="1823" operator="containsText" text="да">
      <formula>NOT(ISERROR(SEARCH(("да"),(G1030))))</formula>
    </cfRule>
    <cfRule type="containsText" dxfId="1250" priority="1824" operator="containsText" text="да">
      <formula>NOT(ISERROR(SEARCH(("да"),(G1030))))</formula>
    </cfRule>
    <cfRule type="containsText" dxfId="1249" priority="1825" operator="containsText" text="да">
      <formula>NOT(ISERROR(SEARCH(("да"),(G1030))))</formula>
    </cfRule>
  </conditionalFormatting>
  <conditionalFormatting sqref="G1041:G1048">
    <cfRule type="containsText" dxfId="1248" priority="2530" operator="containsText" text="да">
      <formula>NOT(ISERROR(SEARCH(("да"),(G1041))))</formula>
    </cfRule>
  </conditionalFormatting>
  <conditionalFormatting sqref="G1045">
    <cfRule type="containsText" dxfId="1247" priority="2539" operator="containsText" text="да">
      <formula>NOT(ISERROR(SEARCH(("да"),(G1045))))</formula>
    </cfRule>
    <cfRule type="containsText" dxfId="1246" priority="2540" operator="containsText" text="да">
      <formula>NOT(ISERROR(SEARCH(("да"),(G1045))))</formula>
    </cfRule>
    <cfRule type="containsText" dxfId="1245" priority="2541" operator="containsText" text="да">
      <formula>NOT(ISERROR(SEARCH(("да"),(G1045))))</formula>
    </cfRule>
    <cfRule type="containsText" dxfId="1244" priority="2542" operator="containsText" text="да">
      <formula>NOT(ISERROR(SEARCH(("да"),(G1045))))</formula>
    </cfRule>
  </conditionalFormatting>
  <conditionalFormatting sqref="G1059 G1064">
    <cfRule type="containsText" dxfId="1243" priority="2257" operator="containsText" text="да">
      <formula>NOT(ISERROR(SEARCH(("да"),(G1059))))</formula>
    </cfRule>
  </conditionalFormatting>
  <conditionalFormatting sqref="G1143 G1148 G1150:G1151">
    <cfRule type="containsText" dxfId="1242" priority="1125" operator="containsText" text="да">
      <formula>NOT(ISERROR(SEARCH(("да"),(G1143))))</formula>
    </cfRule>
  </conditionalFormatting>
  <conditionalFormatting sqref="G1143">
    <cfRule type="containsText" dxfId="1241" priority="1126" operator="containsText" text="да">
      <formula>NOT(ISERROR(SEARCH(("да"),(G1143))))</formula>
    </cfRule>
    <cfRule type="containsText" dxfId="1240" priority="1127" operator="containsText" text="да">
      <formula>NOT(ISERROR(SEARCH(("да"),(G1143))))</formula>
    </cfRule>
    <cfRule type="containsText" dxfId="1239" priority="1128" operator="containsText" text="да">
      <formula>NOT(ISERROR(SEARCH(("да"),(G1143))))</formula>
    </cfRule>
  </conditionalFormatting>
  <conditionalFormatting sqref="G1194">
    <cfRule type="containsText" dxfId="1238" priority="603" operator="containsText" text="да">
      <formula>NOT(ISERROR(SEARCH(("да"),(G1194))))</formula>
    </cfRule>
    <cfRule type="containsText" dxfId="1237" priority="604" operator="containsText" text="да">
      <formula>NOT(ISERROR(SEARCH(("да"),(G1194))))</formula>
    </cfRule>
  </conditionalFormatting>
  <conditionalFormatting sqref="G1196">
    <cfRule type="containsText" dxfId="1236" priority="571" operator="containsText" text="да">
      <formula>NOT(ISERROR(SEARCH(("да"),(G1196))))</formula>
    </cfRule>
    <cfRule type="containsText" dxfId="1235" priority="572" operator="containsText" text="да">
      <formula>NOT(ISERROR(SEARCH(("да"),(G1196))))</formula>
    </cfRule>
    <cfRule type="containsText" dxfId="1234" priority="573" operator="containsText" text="да">
      <formula>NOT(ISERROR(SEARCH(("да"),(G1196))))</formula>
    </cfRule>
    <cfRule type="containsText" dxfId="1233" priority="574" operator="containsText" text="да">
      <formula>NOT(ISERROR(SEARCH(("да"),(G1196))))</formula>
    </cfRule>
    <cfRule type="containsText" dxfId="1232" priority="575" operator="containsText" text="да">
      <formula>NOT(ISERROR(SEARCH(("да"),(G1196))))</formula>
    </cfRule>
    <cfRule type="containsText" dxfId="1231" priority="576" operator="containsText" text="да">
      <formula>NOT(ISERROR(SEARCH(("да"),(G1196))))</formula>
    </cfRule>
    <cfRule type="containsText" dxfId="1230" priority="577" operator="containsText" text="да">
      <formula>NOT(ISERROR(SEARCH(("да"),(G1196))))</formula>
    </cfRule>
  </conditionalFormatting>
  <conditionalFormatting sqref="G1204">
    <cfRule type="containsText" dxfId="1229" priority="779" operator="containsText" text="да">
      <formula>NOT(ISERROR(SEARCH(("да"),(G1204))))</formula>
    </cfRule>
    <cfRule type="containsText" dxfId="1228" priority="780" operator="containsText" text="да">
      <formula>NOT(ISERROR(SEARCH(("да"),(G1204))))</formula>
    </cfRule>
    <cfRule type="containsText" dxfId="1227" priority="781" operator="containsText" text="да">
      <formula>NOT(ISERROR(SEARCH(("да"),(G1204))))</formula>
    </cfRule>
    <cfRule type="containsText" dxfId="1226" priority="782" operator="containsText" text="да">
      <formula>NOT(ISERROR(SEARCH(("да"),(G1204))))</formula>
    </cfRule>
    <cfRule type="containsText" dxfId="1225" priority="783" operator="containsText" text="да">
      <formula>NOT(ISERROR(SEARCH(("да"),(G1204))))</formula>
    </cfRule>
  </conditionalFormatting>
  <conditionalFormatting sqref="H707 H729">
    <cfRule type="containsText" dxfId="1224" priority="5557" operator="containsText" text="workstation">
      <formula>NOT(ISERROR(SEARCH(("workstation"),(H707))))</formula>
    </cfRule>
  </conditionalFormatting>
  <conditionalFormatting sqref="I225 I795">
    <cfRule type="containsText" dxfId="1223" priority="4885" operator="containsText" text="workstation">
      <formula>NOT(ISERROR(SEARCH(("workstation"),(I225))))</formula>
    </cfRule>
  </conditionalFormatting>
  <conditionalFormatting sqref="I269">
    <cfRule type="containsText" dxfId="1222" priority="5628" operator="containsText" text="workstation">
      <formula>NOT(ISERROR(SEARCH(("workstation"),(I269))))</formula>
    </cfRule>
  </conditionalFormatting>
  <conditionalFormatting sqref="I352 I627 I639 I644 I649 I671 I741 I757 I760:I761 I764 I778 I791">
    <cfRule type="containsText" dxfId="1221" priority="5625" operator="containsText" text="workstation">
      <formula>NOT(ISERROR(SEARCH(("workstation"),(I352))))</formula>
    </cfRule>
  </conditionalFormatting>
  <conditionalFormatting sqref="I516 I652">
    <cfRule type="containsText" dxfId="1220" priority="5586" operator="containsText" text="workstation">
      <formula>NOT(ISERROR(SEARCH(("workstation"),(I516))))</formula>
    </cfRule>
  </conditionalFormatting>
  <conditionalFormatting sqref="I602 I617">
    <cfRule type="containsText" dxfId="1219" priority="5655" operator="containsText" text="workstation">
      <formula>NOT(ISERROR(SEARCH(("workstation"),(I602))))</formula>
    </cfRule>
  </conditionalFormatting>
  <conditionalFormatting sqref="I610:I617 I619:I620 I628 I679">
    <cfRule type="containsText" dxfId="1218" priority="5636" operator="containsText" text="workstation">
      <formula>NOT(ISERROR(SEARCH(("workstation"),(I610))))</formula>
    </cfRule>
  </conditionalFormatting>
  <conditionalFormatting sqref="I610:I617 I619:I620 I628">
    <cfRule type="containsText" dxfId="1217" priority="5638" operator="containsText" text="workstation">
      <formula>NOT(ISERROR(SEARCH(("workstation"),(I610))))</formula>
    </cfRule>
  </conditionalFormatting>
  <conditionalFormatting sqref="I624:I626 I629">
    <cfRule type="containsText" dxfId="1216" priority="5632" operator="containsText" text="workstation">
      <formula>NOT(ISERROR(SEARCH(("workstation"),(I624))))</formula>
    </cfRule>
  </conditionalFormatting>
  <conditionalFormatting sqref="I635">
    <cfRule type="containsText" dxfId="1215" priority="5621" operator="containsText" text="workstation">
      <formula>NOT(ISERROR(SEARCH(("workstation"),(I635))))</formula>
    </cfRule>
  </conditionalFormatting>
  <conditionalFormatting sqref="I636">
    <cfRule type="containsText" dxfId="1214" priority="5611" operator="containsText" text="workstation">
      <formula>NOT(ISERROR(SEARCH(("workstation"),(I636))))</formula>
    </cfRule>
  </conditionalFormatting>
  <conditionalFormatting sqref="I639">
    <cfRule type="containsText" dxfId="1213" priority="5603" operator="containsText" text="workstation">
      <formula>NOT(ISERROR(SEARCH(("workstation"),(I639))))</formula>
    </cfRule>
  </conditionalFormatting>
  <conditionalFormatting sqref="I641">
    <cfRule type="containsText" dxfId="1212" priority="5607" operator="containsText" text="workstation">
      <formula>NOT(ISERROR(SEARCH(("workstation"),(I641))))</formula>
    </cfRule>
  </conditionalFormatting>
  <conditionalFormatting sqref="I643">
    <cfRule type="containsText" dxfId="1211" priority="5619" operator="containsText" text="workstation">
      <formula>NOT(ISERROR(SEARCH(("workstation"),(I643))))</formula>
    </cfRule>
  </conditionalFormatting>
  <conditionalFormatting sqref="I645">
    <cfRule type="containsText" dxfId="1210" priority="5592" operator="containsText" text="workstation">
      <formula>NOT(ISERROR(SEARCH(("workstation"),(I645))))</formula>
    </cfRule>
  </conditionalFormatting>
  <conditionalFormatting sqref="I648">
    <cfRule type="containsText" dxfId="1209" priority="5594" operator="containsText" text="workstation">
      <formula>NOT(ISERROR(SEARCH(("workstation"),(I648))))</formula>
    </cfRule>
  </conditionalFormatting>
  <conditionalFormatting sqref="I650">
    <cfRule type="containsText" dxfId="1208" priority="5573" operator="containsText" text="workstation">
      <formula>NOT(ISERROR(SEARCH(("workstation"),(I650))))</formula>
    </cfRule>
  </conditionalFormatting>
  <conditionalFormatting sqref="I651">
    <cfRule type="containsText" dxfId="1207" priority="5590" operator="containsText" text="workstation">
      <formula>NOT(ISERROR(SEARCH(("workstation"),(I651))))</formula>
    </cfRule>
  </conditionalFormatting>
  <conditionalFormatting sqref="I653">
    <cfRule type="containsText" dxfId="1206" priority="5570" operator="containsText" text="workstation">
      <formula>NOT(ISERROR(SEARCH(("workstation"),(I653))))</formula>
    </cfRule>
  </conditionalFormatting>
  <conditionalFormatting sqref="I655">
    <cfRule type="containsText" dxfId="1205" priority="5563" operator="containsText" text="workstation">
      <formula>NOT(ISERROR(SEARCH(("workstation"),(I655))))</formula>
    </cfRule>
  </conditionalFormatting>
  <conditionalFormatting sqref="I656">
    <cfRule type="containsText" dxfId="1204" priority="5564" operator="containsText" text="workstation">
      <formula>NOT(ISERROR(SEARCH(("workstation"),(I656))))</formula>
    </cfRule>
  </conditionalFormatting>
  <conditionalFormatting sqref="I664">
    <cfRule type="containsText" dxfId="1203" priority="5561" operator="containsText" text="workstation">
      <formula>NOT(ISERROR(SEARCH(("workstation"),(I664))))</formula>
    </cfRule>
  </conditionalFormatting>
  <conditionalFormatting sqref="I665">
    <cfRule type="containsText" dxfId="1202" priority="5558" operator="containsText" text="workstation">
      <formula>NOT(ISERROR(SEARCH(("workstation"),(I665))))</formula>
    </cfRule>
  </conditionalFormatting>
  <conditionalFormatting sqref="I671">
    <cfRule type="containsText" dxfId="1201" priority="5547" operator="containsText" text="workstation">
      <formula>NOT(ISERROR(SEARCH(("workstation"),(I671))))</formula>
    </cfRule>
    <cfRule type="containsText" dxfId="1200" priority="5548" operator="containsText" text="workstation">
      <formula>NOT(ISERROR(SEARCH(("workstation"),(I671))))</formula>
    </cfRule>
  </conditionalFormatting>
  <conditionalFormatting sqref="I672">
    <cfRule type="containsText" dxfId="1199" priority="5584" operator="containsText" text="workstation">
      <formula>NOT(ISERROR(SEARCH(("workstation"),(I672))))</formula>
    </cfRule>
    <cfRule type="containsText" dxfId="1198" priority="5616" operator="containsText" text="workstation">
      <formula>NOT(ISERROR(SEARCH(("workstation"),(I672))))</formula>
    </cfRule>
  </conditionalFormatting>
  <conditionalFormatting sqref="I675">
    <cfRule type="containsText" dxfId="1197" priority="5554" operator="containsText" text="workstation">
      <formula>NOT(ISERROR(SEARCH(("workstation"),(I675))))</formula>
    </cfRule>
  </conditionalFormatting>
  <conditionalFormatting sqref="I678">
    <cfRule type="containsText" dxfId="1196" priority="5551" operator="containsText" text="workstation">
      <formula>NOT(ISERROR(SEARCH(("workstation"),(I678))))</formula>
    </cfRule>
    <cfRule type="containsText" dxfId="1195" priority="5552" operator="containsText" text="workstation">
      <formula>NOT(ISERROR(SEARCH(("workstation"),(I678))))</formula>
    </cfRule>
    <cfRule type="containsText" dxfId="1194" priority="5553" operator="containsText" text="workstation">
      <formula>NOT(ISERROR(SEARCH(("workstation"),(I678))))</formula>
    </cfRule>
  </conditionalFormatting>
  <conditionalFormatting sqref="I680">
    <cfRule type="containsText" dxfId="1193" priority="5541" operator="containsText" text="workstation">
      <formula>NOT(ISERROR(SEARCH(("workstation"),(I680))))</formula>
    </cfRule>
    <cfRule type="containsText" dxfId="1192" priority="5542" operator="containsText" text="workstation">
      <formula>NOT(ISERROR(SEARCH(("workstation"),(I680))))</formula>
    </cfRule>
    <cfRule type="containsText" dxfId="1191" priority="5543" operator="containsText" text="workstation">
      <formula>NOT(ISERROR(SEARCH(("workstation"),(I680))))</formula>
    </cfRule>
    <cfRule type="containsText" dxfId="1190" priority="5544" operator="containsText" text="workstation">
      <formula>NOT(ISERROR(SEARCH(("workstation"),(I680))))</formula>
    </cfRule>
    <cfRule type="containsText" dxfId="1189" priority="5545" operator="containsText" text="workstation">
      <formula>NOT(ISERROR(SEARCH(("workstation"),(I680))))</formula>
    </cfRule>
  </conditionalFormatting>
  <conditionalFormatting sqref="I680:I681">
    <cfRule type="containsText" dxfId="1188" priority="5549" operator="containsText" text="workstation">
      <formula>NOT(ISERROR(SEARCH(("workstation"),(I680))))</formula>
    </cfRule>
  </conditionalFormatting>
  <conditionalFormatting sqref="I682">
    <cfRule type="containsText" dxfId="1187" priority="5539" operator="containsText" text="workstation">
      <formula>NOT(ISERROR(SEARCH(("workstation"),(I682))))</formula>
    </cfRule>
    <cfRule type="containsText" dxfId="1186" priority="5540" operator="containsText" text="workstation">
      <formula>NOT(ISERROR(SEARCH(("workstation"),(I682))))</formula>
    </cfRule>
  </conditionalFormatting>
  <conditionalFormatting sqref="I683">
    <cfRule type="containsText" dxfId="1185" priority="5528" operator="containsText" text="workstation">
      <formula>NOT(ISERROR(SEARCH(("workstation"),(I683))))</formula>
    </cfRule>
    <cfRule type="containsText" dxfId="1184" priority="5529" operator="containsText" text="workstation">
      <formula>NOT(ISERROR(SEARCH(("workstation"),(I683))))</formula>
    </cfRule>
    <cfRule type="containsText" dxfId="1183" priority="5530" operator="containsText" text="workstation">
      <formula>NOT(ISERROR(SEARCH(("workstation"),(I683))))</formula>
    </cfRule>
    <cfRule type="containsText" dxfId="1182" priority="5531" operator="containsText" text="workstation">
      <formula>NOT(ISERROR(SEARCH(("workstation"),(I683))))</formula>
    </cfRule>
    <cfRule type="containsText" dxfId="1181" priority="5532" operator="containsText" text="workstation">
      <formula>NOT(ISERROR(SEARCH(("workstation"),(I683))))</formula>
    </cfRule>
  </conditionalFormatting>
  <conditionalFormatting sqref="I685 I687">
    <cfRule type="containsText" dxfId="1180" priority="5522" operator="containsText" text="workstation">
      <formula>NOT(ISERROR(SEARCH(("workstation"),(I685))))</formula>
    </cfRule>
    <cfRule type="containsText" dxfId="1179" priority="5523" operator="containsText" text="workstation">
      <formula>NOT(ISERROR(SEARCH(("workstation"),(I685))))</formula>
    </cfRule>
    <cfRule type="containsText" dxfId="1178" priority="5524" operator="containsText" text="workstation">
      <formula>NOT(ISERROR(SEARCH(("workstation"),(I685))))</formula>
    </cfRule>
    <cfRule type="containsText" dxfId="1177" priority="5525" operator="containsText" text="workstation">
      <formula>NOT(ISERROR(SEARCH(("workstation"),(I685))))</formula>
    </cfRule>
    <cfRule type="containsText" dxfId="1176" priority="5526" operator="containsText" text="workstation">
      <formula>NOT(ISERROR(SEARCH(("workstation"),(I685))))</formula>
    </cfRule>
  </conditionalFormatting>
  <conditionalFormatting sqref="I686">
    <cfRule type="containsText" dxfId="1175" priority="5507" operator="containsText" text="workstation">
      <formula>NOT(ISERROR(SEARCH(("workstation"),(I686))))</formula>
    </cfRule>
    <cfRule type="containsText" dxfId="1174" priority="5508" operator="containsText" text="workstation">
      <formula>NOT(ISERROR(SEARCH(("workstation"),(I686))))</formula>
    </cfRule>
    <cfRule type="containsText" dxfId="1173" priority="5509" operator="containsText" text="workstation">
      <formula>NOT(ISERROR(SEARCH(("workstation"),(I686))))</formula>
    </cfRule>
    <cfRule type="containsText" dxfId="1172" priority="5510" operator="containsText" text="workstation">
      <formula>NOT(ISERROR(SEARCH(("workstation"),(I686))))</formula>
    </cfRule>
    <cfRule type="containsText" dxfId="1171" priority="5511" operator="containsText" text="workstation">
      <formula>NOT(ISERROR(SEARCH(("workstation"),(I686))))</formula>
    </cfRule>
  </conditionalFormatting>
  <conditionalFormatting sqref="I687">
    <cfRule type="containsText" dxfId="1170" priority="5517" operator="containsText" text="workstation">
      <formula>NOT(ISERROR(SEARCH(("workstation"),(I687))))</formula>
    </cfRule>
    <cfRule type="containsText" dxfId="1169" priority="5518" operator="containsText" text="workstation">
      <formula>NOT(ISERROR(SEARCH(("workstation"),(I687))))</formula>
    </cfRule>
    <cfRule type="containsText" dxfId="1168" priority="5519" operator="containsText" text="workstation">
      <formula>NOT(ISERROR(SEARCH(("workstation"),(I687))))</formula>
    </cfRule>
    <cfRule type="containsText" dxfId="1167" priority="5520" operator="containsText" text="workstation">
      <formula>NOT(ISERROR(SEARCH(("workstation"),(I687))))</formula>
    </cfRule>
    <cfRule type="containsText" dxfId="1166" priority="5521" operator="containsText" text="workstation">
      <formula>NOT(ISERROR(SEARCH(("workstation"),(I687))))</formula>
    </cfRule>
  </conditionalFormatting>
  <conditionalFormatting sqref="I690">
    <cfRule type="containsText" dxfId="1165" priority="5499" operator="containsText" text="workstation">
      <formula>NOT(ISERROR(SEARCH(("workstation"),(I690))))</formula>
    </cfRule>
    <cfRule type="containsText" dxfId="1164" priority="5500" operator="containsText" text="workstation">
      <formula>NOT(ISERROR(SEARCH(("workstation"),(I690))))</formula>
    </cfRule>
    <cfRule type="containsText" dxfId="1163" priority="5501" operator="containsText" text="workstation">
      <formula>NOT(ISERROR(SEARCH(("workstation"),(I690))))</formula>
    </cfRule>
    <cfRule type="containsText" dxfId="1162" priority="5502" operator="containsText" text="workstation">
      <formula>NOT(ISERROR(SEARCH(("workstation"),(I690))))</formula>
    </cfRule>
    <cfRule type="containsText" dxfId="1161" priority="5503" operator="containsText" text="workstation">
      <formula>NOT(ISERROR(SEARCH(("workstation"),(I690))))</formula>
    </cfRule>
  </conditionalFormatting>
  <conditionalFormatting sqref="I691">
    <cfRule type="containsText" dxfId="1160" priority="5582" operator="containsText" text="workstation">
      <formula>NOT(ISERROR(SEARCH(("workstation"),(I691))))</formula>
    </cfRule>
  </conditionalFormatting>
  <conditionalFormatting sqref="I692">
    <cfRule type="containsText" dxfId="1159" priority="5581" operator="containsText" text="workstation">
      <formula>NOT(ISERROR(SEARCH(("workstation"),(I692))))</formula>
    </cfRule>
  </conditionalFormatting>
  <conditionalFormatting sqref="I697">
    <cfRule type="containsText" dxfId="1158" priority="5471" operator="containsText" text="workstation">
      <formula>NOT(ISERROR(SEARCH(("workstation"),(I697))))</formula>
    </cfRule>
    <cfRule type="containsText" dxfId="1157" priority="5472" operator="containsText" text="workstation">
      <formula>NOT(ISERROR(SEARCH(("workstation"),(I697))))</formula>
    </cfRule>
    <cfRule type="containsText" dxfId="1156" priority="5473" operator="containsText" text="workstation">
      <formula>NOT(ISERROR(SEARCH(("workstation"),(I697))))</formula>
    </cfRule>
    <cfRule type="containsText" dxfId="1155" priority="5474" operator="containsText" text="workstation">
      <formula>NOT(ISERROR(SEARCH(("workstation"),(I697))))</formula>
    </cfRule>
    <cfRule type="containsText" dxfId="1154" priority="5475" operator="containsText" text="workstation">
      <formula>NOT(ISERROR(SEARCH(("workstation"),(I697))))</formula>
    </cfRule>
  </conditionalFormatting>
  <conditionalFormatting sqref="I701">
    <cfRule type="containsText" dxfId="1153" priority="5468" operator="containsText" text="workstation">
      <formula>NOT(ISERROR(SEARCH(("workstation"),(I701))))</formula>
    </cfRule>
    <cfRule type="containsText" dxfId="1152" priority="5469" operator="containsText" text="workstation">
      <formula>NOT(ISERROR(SEARCH(("workstation"),(I701))))</formula>
    </cfRule>
  </conditionalFormatting>
  <conditionalFormatting sqref="I706">
    <cfRule type="containsText" dxfId="1151" priority="5411" operator="containsText" text="workstation">
      <formula>NOT(ISERROR(SEARCH(("workstation"),(I706))))</formula>
    </cfRule>
    <cfRule type="containsText" dxfId="1150" priority="5412" operator="containsText" text="workstation">
      <formula>NOT(ISERROR(SEARCH(("workstation"),(I706))))</formula>
    </cfRule>
    <cfRule type="containsText" dxfId="1149" priority="5413" operator="containsText" text="workstation">
      <formula>NOT(ISERROR(SEARCH(("workstation"),(I706))))</formula>
    </cfRule>
    <cfRule type="containsText" dxfId="1148" priority="5414" operator="containsText" text="workstation">
      <formula>NOT(ISERROR(SEARCH(("workstation"),(I706))))</formula>
    </cfRule>
  </conditionalFormatting>
  <conditionalFormatting sqref="I707">
    <cfRule type="containsText" dxfId="1147" priority="5560" operator="containsText" text="workstation">
      <formula>NOT(ISERROR(SEARCH(("workstation"),(I707))))</formula>
    </cfRule>
  </conditionalFormatting>
  <conditionalFormatting sqref="I708">
    <cfRule type="containsText" dxfId="1146" priority="5416" operator="containsText" text="workstation">
      <formula>NOT(ISERROR(SEARCH(("workstation"),(I708))))</formula>
    </cfRule>
    <cfRule type="containsText" dxfId="1145" priority="5417" operator="containsText" text="workstation">
      <formula>NOT(ISERROR(SEARCH(("workstation"),(I708))))</formula>
    </cfRule>
  </conditionalFormatting>
  <conditionalFormatting sqref="I709">
    <cfRule type="containsText" dxfId="1144" priority="5420" operator="containsText" text="workstation">
      <formula>NOT(ISERROR(SEARCH(("workstation"),(I709))))</formula>
    </cfRule>
    <cfRule type="containsText" dxfId="1143" priority="5421" operator="containsText" text="workstation">
      <formula>NOT(ISERROR(SEARCH(("workstation"),(I709))))</formula>
    </cfRule>
    <cfRule type="containsText" dxfId="1142" priority="5422" operator="containsText" text="workstation">
      <formula>NOT(ISERROR(SEARCH(("workstation"),(I709))))</formula>
    </cfRule>
    <cfRule type="containsText" dxfId="1141" priority="5423" operator="containsText" text="workstation">
      <formula>NOT(ISERROR(SEARCH(("workstation"),(I709))))</formula>
    </cfRule>
    <cfRule type="containsText" dxfId="1140" priority="5424" operator="containsText" text="workstation">
      <formula>NOT(ISERROR(SEARCH(("workstation"),(I709))))</formula>
    </cfRule>
  </conditionalFormatting>
  <conditionalFormatting sqref="I715">
    <cfRule type="containsText" dxfId="1139" priority="5405" operator="containsText" text="workstation">
      <formula>NOT(ISERROR(SEARCH(("workstation"),(I715))))</formula>
    </cfRule>
    <cfRule type="containsText" dxfId="1138" priority="5406" operator="containsText" text="workstation">
      <formula>NOT(ISERROR(SEARCH(("workstation"),(I715))))</formula>
    </cfRule>
    <cfRule type="containsText" dxfId="1137" priority="5407" operator="containsText" text="workstation">
      <formula>NOT(ISERROR(SEARCH(("workstation"),(I715))))</formula>
    </cfRule>
    <cfRule type="containsText" dxfId="1136" priority="5408" operator="containsText" text="workstation">
      <formula>NOT(ISERROR(SEARCH(("workstation"),(I715))))</formula>
    </cfRule>
    <cfRule type="containsText" dxfId="1135" priority="5409" operator="containsText" text="workstation">
      <formula>NOT(ISERROR(SEARCH(("workstation"),(I715))))</formula>
    </cfRule>
  </conditionalFormatting>
  <conditionalFormatting sqref="I716">
    <cfRule type="containsText" dxfId="1134" priority="5402" operator="containsText" text="workstation">
      <formula>NOT(ISERROR(SEARCH(("workstation"),(I716))))</formula>
    </cfRule>
    <cfRule type="containsText" dxfId="1133" priority="5403" operator="containsText" text="workstation">
      <formula>NOT(ISERROR(SEARCH(("workstation"),(I716))))</formula>
    </cfRule>
  </conditionalFormatting>
  <conditionalFormatting sqref="I727">
    <cfRule type="containsText" dxfId="1132" priority="5321" operator="containsText" text="workstation">
      <formula>NOT(ISERROR(SEARCH(("workstation"),(I727))))</formula>
    </cfRule>
    <cfRule type="containsText" dxfId="1131" priority="5322" operator="containsText" text="workstation">
      <formula>NOT(ISERROR(SEARCH(("workstation"),(I727))))</formula>
    </cfRule>
  </conditionalFormatting>
  <conditionalFormatting sqref="I728">
    <cfRule type="containsText" dxfId="1130" priority="5332" operator="containsText" text="workstation">
      <formula>NOT(ISERROR(SEARCH(("workstation"),(I728))))</formula>
    </cfRule>
    <cfRule type="containsText" dxfId="1129" priority="5333" operator="containsText" text="workstation">
      <formula>NOT(ISERROR(SEARCH(("workstation"),(I728))))</formula>
    </cfRule>
  </conditionalFormatting>
  <conditionalFormatting sqref="I731">
    <cfRule type="containsText" dxfId="1128" priority="5432" operator="containsText" text="workstation">
      <formula>NOT(ISERROR(SEARCH(("workstation"),(I731))))</formula>
    </cfRule>
    <cfRule type="containsText" dxfId="1127" priority="5433" operator="containsText" text="workstation">
      <formula>NOT(ISERROR(SEARCH(("workstation"),(I731))))</formula>
    </cfRule>
  </conditionalFormatting>
  <conditionalFormatting sqref="I732:I734">
    <cfRule type="containsText" dxfId="1126" priority="5399" operator="containsText" text="workstation">
      <formula>NOT(ISERROR(SEARCH(("workstation"),(I732))))</formula>
    </cfRule>
    <cfRule type="containsText" dxfId="1125" priority="5400" operator="containsText" text="workstation">
      <formula>NOT(ISERROR(SEARCH(("workstation"),(I732))))</formula>
    </cfRule>
  </conditionalFormatting>
  <conditionalFormatting sqref="I733">
    <cfRule type="containsText" dxfId="1124" priority="5335" operator="containsText" text="workstation">
      <formula>NOT(ISERROR(SEARCH(("workstation"),(I733))))</formula>
    </cfRule>
    <cfRule type="containsText" dxfId="1123" priority="5336" operator="containsText" text="workstation">
      <formula>NOT(ISERROR(SEARCH(("workstation"),(I733))))</formula>
    </cfRule>
  </conditionalFormatting>
  <conditionalFormatting sqref="I741">
    <cfRule type="containsText" dxfId="1122" priority="5244" operator="containsText" text="workstation">
      <formula>NOT(ISERROR(SEARCH(("workstation"),(I741))))</formula>
    </cfRule>
    <cfRule type="containsText" dxfId="1121" priority="5245" operator="containsText" text="workstation">
      <formula>NOT(ISERROR(SEARCH(("workstation"),(I741))))</formula>
    </cfRule>
    <cfRule type="containsText" dxfId="1120" priority="5246" operator="containsText" text="workstation">
      <formula>NOT(ISERROR(SEARCH(("workstation"),(I741))))</formula>
    </cfRule>
  </conditionalFormatting>
  <conditionalFormatting sqref="I742">
    <cfRule type="containsText" dxfId="1119" priority="5219" operator="containsText" text="workstation">
      <formula>NOT(ISERROR(SEARCH(("workstation"),(I742))))</formula>
    </cfRule>
    <cfRule type="containsText" dxfId="1118" priority="5220" operator="containsText" text="workstation">
      <formula>NOT(ISERROR(SEARCH(("workstation"),(I742))))</formula>
    </cfRule>
  </conditionalFormatting>
  <conditionalFormatting sqref="I744">
    <cfRule type="containsText" dxfId="1117" priority="5206" operator="containsText" text="workstation">
      <formula>NOT(ISERROR(SEARCH(("workstation"),(I744))))</formula>
    </cfRule>
  </conditionalFormatting>
  <conditionalFormatting sqref="I746 I750:I756 I758:I765 I906 I908">
    <cfRule type="containsText" dxfId="1116" priority="5180" operator="containsText" text="workstation">
      <formula>NOT(ISERROR(SEARCH(("workstation"),(I746))))</formula>
    </cfRule>
  </conditionalFormatting>
  <conditionalFormatting sqref="I746">
    <cfRule type="containsText" dxfId="1115" priority="5181" operator="containsText" text="workstation">
      <formula>NOT(ISERROR(SEARCH(("workstation"),(I746))))</formula>
    </cfRule>
  </conditionalFormatting>
  <conditionalFormatting sqref="I751">
    <cfRule type="containsText" dxfId="1114" priority="5154" operator="containsText" text="workstation">
      <formula>NOT(ISERROR(SEARCH(("workstation"),(I751))))</formula>
    </cfRule>
    <cfRule type="containsText" dxfId="1113" priority="5155" operator="containsText" text="workstation">
      <formula>NOT(ISERROR(SEARCH(("workstation"),(I751))))</formula>
    </cfRule>
    <cfRule type="containsText" dxfId="1112" priority="5156" operator="containsText" text="workstation">
      <formula>NOT(ISERROR(SEARCH(("workstation"),(I751))))</formula>
    </cfRule>
    <cfRule type="containsText" dxfId="1111" priority="5157" operator="containsText" text="workstation">
      <formula>NOT(ISERROR(SEARCH(("workstation"),(I751))))</formula>
    </cfRule>
    <cfRule type="containsText" dxfId="1110" priority="5158" operator="containsText" text="workstation">
      <formula>NOT(ISERROR(SEARCH(("workstation"),(I751))))</formula>
    </cfRule>
  </conditionalFormatting>
  <conditionalFormatting sqref="I754 I756 I759 I762">
    <cfRule type="containsText" dxfId="1109" priority="5139" operator="containsText" text="workstation">
      <formula>NOT(ISERROR(SEARCH(("workstation"),(I754))))</formula>
    </cfRule>
  </conditionalFormatting>
  <conditionalFormatting sqref="I754">
    <cfRule type="containsText" dxfId="1108" priority="5140" operator="containsText" text="workstation">
      <formula>NOT(ISERROR(SEARCH(("workstation"),(I754))))</formula>
    </cfRule>
    <cfRule type="containsText" dxfId="1107" priority="5141" operator="containsText" text="workstation">
      <formula>NOT(ISERROR(SEARCH(("workstation"),(I754))))</formula>
    </cfRule>
    <cfRule type="containsText" dxfId="1106" priority="5142" operator="containsText" text="workstation">
      <formula>NOT(ISERROR(SEARCH(("workstation"),(I754))))</formula>
    </cfRule>
    <cfRule type="containsText" dxfId="1105" priority="5143" operator="containsText" text="workstation">
      <formula>NOT(ISERROR(SEARCH(("workstation"),(I754))))</formula>
    </cfRule>
  </conditionalFormatting>
  <conditionalFormatting sqref="I758:I759">
    <cfRule type="containsText" dxfId="1104" priority="5090" operator="containsText" text="workstation">
      <formula>NOT(ISERROR(SEARCH(("workstation"),(I758))))</formula>
    </cfRule>
    <cfRule type="containsText" dxfId="1103" priority="5091" operator="containsText" text="workstation">
      <formula>NOT(ISERROR(SEARCH(("workstation"),(I758))))</formula>
    </cfRule>
  </conditionalFormatting>
  <conditionalFormatting sqref="I759:I765 I906">
    <cfRule type="containsText" dxfId="1102" priority="5080" operator="containsText" text="workstation">
      <formula>NOT(ISERROR(SEARCH(("workstation"),(I759))))</formula>
    </cfRule>
    <cfRule type="containsText" dxfId="1101" priority="5081" operator="containsText" text="workstation">
      <formula>NOT(ISERROR(SEARCH(("workstation"),(I759))))</formula>
    </cfRule>
  </conditionalFormatting>
  <conditionalFormatting sqref="I760">
    <cfRule type="containsText" dxfId="1100" priority="5087" operator="containsText" text="workstation">
      <formula>NOT(ISERROR(SEARCH(("workstation"),(I760))))</formula>
    </cfRule>
    <cfRule type="containsText" dxfId="1099" priority="5088" operator="containsText" text="workstation">
      <formula>NOT(ISERROR(SEARCH(("workstation"),(I760))))</formula>
    </cfRule>
  </conditionalFormatting>
  <conditionalFormatting sqref="I761">
    <cfRule type="containsText" dxfId="1098" priority="5082" operator="containsText" text="workstation">
      <formula>NOT(ISERROR(SEARCH(("workstation"),(I761))))</formula>
    </cfRule>
    <cfRule type="containsText" dxfId="1097" priority="5083" operator="containsText" text="workstation">
      <formula>NOT(ISERROR(SEARCH(("workstation"),(I761))))</formula>
    </cfRule>
  </conditionalFormatting>
  <conditionalFormatting sqref="I771">
    <cfRule type="containsText" dxfId="1096" priority="5047" operator="containsText" text="workstation">
      <formula>NOT(ISERROR(SEARCH(("workstation"),(I771))))</formula>
    </cfRule>
    <cfRule type="containsText" dxfId="1095" priority="5048" operator="containsText" text="workstation">
      <formula>NOT(ISERROR(SEARCH(("workstation"),(I771))))</formula>
    </cfRule>
    <cfRule type="containsText" dxfId="1094" priority="5049" operator="containsText" text="workstation">
      <formula>NOT(ISERROR(SEARCH(("workstation"),(I771))))</formula>
    </cfRule>
    <cfRule type="containsText" dxfId="1093" priority="5050" operator="containsText" text="workstation">
      <formula>NOT(ISERROR(SEARCH(("workstation"),(I771))))</formula>
    </cfRule>
    <cfRule type="containsText" dxfId="1092" priority="5051" operator="containsText" text="workstation">
      <formula>NOT(ISERROR(SEARCH(("workstation"),(I771))))</formula>
    </cfRule>
  </conditionalFormatting>
  <conditionalFormatting sqref="I772 I780">
    <cfRule type="containsText" dxfId="1091" priority="5020" operator="containsText" text="workstation">
      <formula>NOT(ISERROR(SEARCH(("workstation"),(I772))))</formula>
    </cfRule>
  </conditionalFormatting>
  <conditionalFormatting sqref="I773">
    <cfRule type="containsText" dxfId="1090" priority="4984" operator="containsText" text="workstation">
      <formula>NOT(ISERROR(SEARCH(("workstation"),(I773))))</formula>
    </cfRule>
    <cfRule type="containsText" dxfId="1089" priority="4985" operator="containsText" text="workstation">
      <formula>NOT(ISERROR(SEARCH(("workstation"),(I773))))</formula>
    </cfRule>
  </conditionalFormatting>
  <conditionalFormatting sqref="I774">
    <cfRule type="containsText" dxfId="1088" priority="4980" operator="containsText" text="workstation">
      <formula>NOT(ISERROR(SEARCH(("workstation"),(I774))))</formula>
    </cfRule>
    <cfRule type="containsText" dxfId="1087" priority="4981" operator="containsText" text="workstation">
      <formula>NOT(ISERROR(SEARCH(("workstation"),(I774))))</formula>
    </cfRule>
  </conditionalFormatting>
  <conditionalFormatting sqref="I778">
    <cfRule type="containsText" dxfId="1086" priority="4965" operator="containsText" text="workstation">
      <formula>NOT(ISERROR(SEARCH(("workstation"),(I778))))</formula>
    </cfRule>
    <cfRule type="containsText" dxfId="1085" priority="4966" operator="containsText" text="workstation">
      <formula>NOT(ISERROR(SEARCH(("workstation"),(I778))))</formula>
    </cfRule>
    <cfRule type="containsText" dxfId="1084" priority="4967" operator="containsText" text="workstation">
      <formula>NOT(ISERROR(SEARCH(("workstation"),(I778))))</formula>
    </cfRule>
    <cfRule type="containsText" dxfId="1083" priority="4968" operator="containsText" text="workstation">
      <formula>NOT(ISERROR(SEARCH(("workstation"),(I778))))</formula>
    </cfRule>
  </conditionalFormatting>
  <conditionalFormatting sqref="I779">
    <cfRule type="containsText" dxfId="1082" priority="5033" operator="containsText" text="workstation">
      <formula>NOT(ISERROR(SEARCH(("workstation"),(I779))))</formula>
    </cfRule>
    <cfRule type="containsText" dxfId="1081" priority="5034" operator="containsText" text="workstation">
      <formula>NOT(ISERROR(SEARCH(("workstation"),(I779))))</formula>
    </cfRule>
    <cfRule type="containsText" dxfId="1080" priority="5035" operator="containsText" text="workstation">
      <formula>NOT(ISERROR(SEARCH(("workstation"),(I779))))</formula>
    </cfRule>
    <cfRule type="containsText" dxfId="1079" priority="5036" operator="containsText" text="workstation">
      <formula>NOT(ISERROR(SEARCH(("workstation"),(I779))))</formula>
    </cfRule>
    <cfRule type="containsText" dxfId="1078" priority="5037" operator="containsText" text="workstation">
      <formula>NOT(ISERROR(SEARCH(("workstation"),(I779))))</formula>
    </cfRule>
  </conditionalFormatting>
  <conditionalFormatting sqref="I780">
    <cfRule type="containsText" dxfId="1077" priority="5021" operator="containsText" text="workstation">
      <formula>NOT(ISERROR(SEARCH(("workstation"),(I780))))</formula>
    </cfRule>
    <cfRule type="containsText" dxfId="1076" priority="5022" operator="containsText" text="workstation">
      <formula>NOT(ISERROR(SEARCH(("workstation"),(I780))))</formula>
    </cfRule>
    <cfRule type="containsText" dxfId="1075" priority="5023" operator="containsText" text="workstation">
      <formula>NOT(ISERROR(SEARCH(("workstation"),(I780))))</formula>
    </cfRule>
    <cfRule type="containsText" dxfId="1074" priority="5024" operator="containsText" text="workstation">
      <formula>NOT(ISERROR(SEARCH(("workstation"),(I780))))</formula>
    </cfRule>
  </conditionalFormatting>
  <conditionalFormatting sqref="I785">
    <cfRule type="containsText" dxfId="1073" priority="4995" operator="containsText" text="workstation">
      <formula>NOT(ISERROR(SEARCH(("workstation"),(I785))))</formula>
    </cfRule>
    <cfRule type="containsText" dxfId="1072" priority="4996" operator="containsText" text="workstation">
      <formula>NOT(ISERROR(SEARCH(("workstation"),(I785))))</formula>
    </cfRule>
    <cfRule type="containsText" dxfId="1071" priority="4997" operator="containsText" text="workstation">
      <formula>NOT(ISERROR(SEARCH(("workstation"),(I785))))</formula>
    </cfRule>
    <cfRule type="containsText" dxfId="1070" priority="4998" operator="containsText" text="workstation">
      <formula>NOT(ISERROR(SEARCH(("workstation"),(I785))))</formula>
    </cfRule>
    <cfRule type="containsText" dxfId="1069" priority="4999" operator="containsText" text="workstation">
      <formula>NOT(ISERROR(SEARCH(("workstation"),(I785))))</formula>
    </cfRule>
  </conditionalFormatting>
  <conditionalFormatting sqref="I789:I791">
    <cfRule type="containsText" dxfId="1068" priority="4916" operator="containsText" text="workstation">
      <formula>NOT(ISERROR(SEARCH(("workstation"),(I789))))</formula>
    </cfRule>
    <cfRule type="containsText" dxfId="1067" priority="4917" operator="containsText" text="workstation">
      <formula>NOT(ISERROR(SEARCH(("workstation"),(I789))))</formula>
    </cfRule>
    <cfRule type="containsText" dxfId="1066" priority="4918" operator="containsText" text="workstation">
      <formula>NOT(ISERROR(SEARCH(("workstation"),(I789))))</formula>
    </cfRule>
    <cfRule type="containsText" dxfId="1065" priority="4919" operator="containsText" text="workstation">
      <formula>NOT(ISERROR(SEARCH(("workstation"),(I789))))</formula>
    </cfRule>
    <cfRule type="containsText" dxfId="1064" priority="4920" operator="containsText" text="workstation">
      <formula>NOT(ISERROR(SEARCH(("workstation"),(I789))))</formula>
    </cfRule>
  </conditionalFormatting>
  <conditionalFormatting sqref="I792">
    <cfRule type="containsText" dxfId="1063" priority="5084" operator="containsText" text="workstation">
      <formula>NOT(ISERROR(SEARCH(("workstation"),(I792))))</formula>
    </cfRule>
    <cfRule type="containsText" dxfId="1062" priority="5085" operator="containsText" text="workstation">
      <formula>NOT(ISERROR(SEARCH(("workstation"),(I792))))</formula>
    </cfRule>
  </conditionalFormatting>
  <conditionalFormatting sqref="I794:I795 I941">
    <cfRule type="containsText" dxfId="1061" priority="4915" operator="containsText" text="workstation">
      <formula>NOT(ISERROR(SEARCH(("workstation"),(I794))))</formula>
    </cfRule>
  </conditionalFormatting>
  <conditionalFormatting sqref="I796">
    <cfRule type="containsText" dxfId="1060" priority="5000" operator="containsText" text="workstation">
      <formula>NOT(ISERROR(SEARCH(("workstation"),(I796))))</formula>
    </cfRule>
    <cfRule type="containsText" dxfId="1059" priority="5001" operator="containsText" text="workstation">
      <formula>NOT(ISERROR(SEARCH(("workstation"),(I796))))</formula>
    </cfRule>
  </conditionalFormatting>
  <conditionalFormatting sqref="I797">
    <cfRule type="containsText" dxfId="1058" priority="4862" operator="containsText" text="workstation">
      <formula>NOT(ISERROR(SEARCH(("workstation"),(I797))))</formula>
    </cfRule>
    <cfRule type="containsText" dxfId="1057" priority="4863" operator="containsText" text="workstation">
      <formula>NOT(ISERROR(SEARCH(("workstation"),(I797))))</formula>
    </cfRule>
  </conditionalFormatting>
  <conditionalFormatting sqref="I799">
    <cfRule type="containsText" dxfId="1056" priority="4811" operator="containsText" text="workstation">
      <formula>NOT(ISERROR(SEARCH(("workstation"),(I799))))</formula>
    </cfRule>
    <cfRule type="containsText" dxfId="1055" priority="4812" operator="containsText" text="workstation">
      <formula>NOT(ISERROR(SEARCH(("workstation"),(I799))))</formula>
    </cfRule>
    <cfRule type="containsText" dxfId="1054" priority="4813" operator="containsText" text="workstation">
      <formula>NOT(ISERROR(SEARCH(("workstation"),(I799))))</formula>
    </cfRule>
    <cfRule type="containsText" dxfId="1053" priority="4814" operator="containsText" text="workstation">
      <formula>NOT(ISERROR(SEARCH(("workstation"),(I799))))</formula>
    </cfRule>
    <cfRule type="containsText" dxfId="1052" priority="4815" operator="containsText" text="workstation">
      <formula>NOT(ISERROR(SEARCH(("workstation"),(I799))))</formula>
    </cfRule>
  </conditionalFormatting>
  <conditionalFormatting sqref="I802">
    <cfRule type="containsText" dxfId="1051" priority="4847" operator="containsText" text="workstation">
      <formula>NOT(ISERROR(SEARCH(("workstation"),(I802))))</formula>
    </cfRule>
    <cfRule type="containsText" dxfId="1050" priority="4848" operator="containsText" text="workstation">
      <formula>NOT(ISERROR(SEARCH(("workstation"),(I802))))</formula>
    </cfRule>
  </conditionalFormatting>
  <conditionalFormatting sqref="I803">
    <cfRule type="containsText" dxfId="1049" priority="4804" operator="containsText" text="workstation">
      <formula>NOT(ISERROR(SEARCH(("workstation"),(I803))))</formula>
    </cfRule>
    <cfRule type="containsText" dxfId="1048" priority="4805" operator="containsText" text="workstation">
      <formula>NOT(ISERROR(SEARCH(("workstation"),(I803))))</formula>
    </cfRule>
  </conditionalFormatting>
  <conditionalFormatting sqref="I804">
    <cfRule type="containsText" dxfId="1047" priority="4849" operator="containsText" text="workstation">
      <formula>NOT(ISERROR(SEARCH(("workstation"),(I804))))</formula>
    </cfRule>
    <cfRule type="containsText" dxfId="1046" priority="4850" operator="containsText" text="workstation">
      <formula>NOT(ISERROR(SEARCH(("workstation"),(I804))))</formula>
    </cfRule>
    <cfRule type="containsText" dxfId="1045" priority="4851" operator="containsText" text="workstation">
      <formula>NOT(ISERROR(SEARCH(("workstation"),(I804))))</formula>
    </cfRule>
    <cfRule type="containsText" dxfId="1044" priority="4852" operator="containsText" text="workstation">
      <formula>NOT(ISERROR(SEARCH(("workstation"),(I804))))</formula>
    </cfRule>
    <cfRule type="containsText" dxfId="1043" priority="4853" operator="containsText" text="workstation">
      <formula>NOT(ISERROR(SEARCH(("workstation"),(I804))))</formula>
    </cfRule>
  </conditionalFormatting>
  <conditionalFormatting sqref="I805">
    <cfRule type="containsText" dxfId="1042" priority="4806" operator="containsText" text="workstation">
      <formula>NOT(ISERROR(SEARCH(("workstation"),(I805))))</formula>
    </cfRule>
    <cfRule type="containsText" dxfId="1041" priority="4807" operator="containsText" text="workstation">
      <formula>NOT(ISERROR(SEARCH(("workstation"),(I805))))</formula>
    </cfRule>
    <cfRule type="containsText" dxfId="1040" priority="4808" operator="containsText" text="workstation">
      <formula>NOT(ISERROR(SEARCH(("workstation"),(I805))))</formula>
    </cfRule>
    <cfRule type="containsText" dxfId="1039" priority="4809" operator="containsText" text="workstation">
      <formula>NOT(ISERROR(SEARCH(("workstation"),(I805))))</formula>
    </cfRule>
    <cfRule type="containsText" dxfId="1038" priority="4810" operator="containsText" text="workstation">
      <formula>NOT(ISERROR(SEARCH(("workstation"),(I805))))</formula>
    </cfRule>
  </conditionalFormatting>
  <conditionalFormatting sqref="I806">
    <cfRule type="containsText" dxfId="1037" priority="4798" operator="containsText" text="workstation">
      <formula>NOT(ISERROR(SEARCH(("workstation"),(I806))))</formula>
    </cfRule>
    <cfRule type="containsText" dxfId="1036" priority="4799" operator="containsText" text="workstation">
      <formula>NOT(ISERROR(SEARCH(("workstation"),(I806))))</formula>
    </cfRule>
    <cfRule type="containsText" dxfId="1035" priority="4800" operator="containsText" text="workstation">
      <formula>NOT(ISERROR(SEARCH(("workstation"),(I806))))</formula>
    </cfRule>
    <cfRule type="containsText" dxfId="1034" priority="4801" operator="containsText" text="workstation">
      <formula>NOT(ISERROR(SEARCH(("workstation"),(I806))))</formula>
    </cfRule>
    <cfRule type="containsText" dxfId="1033" priority="4802" operator="containsText" text="workstation">
      <formula>NOT(ISERROR(SEARCH(("workstation"),(I806))))</formula>
    </cfRule>
  </conditionalFormatting>
  <conditionalFormatting sqref="I809 I817:I818 I823 I833">
    <cfRule type="containsText" dxfId="1032" priority="4793" operator="containsText" text="workstation">
      <formula>NOT(ISERROR(SEARCH(("workstation"),(I809))))</formula>
    </cfRule>
  </conditionalFormatting>
  <conditionalFormatting sqref="I809">
    <cfRule type="containsText" dxfId="1031" priority="4794" operator="containsText" text="workstation">
      <formula>NOT(ISERROR(SEARCH(("workstation"),(I809))))</formula>
    </cfRule>
    <cfRule type="containsText" dxfId="1030" priority="4795" operator="containsText" text="workstation">
      <formula>NOT(ISERROR(SEARCH(("workstation"),(I809))))</formula>
    </cfRule>
    <cfRule type="containsText" dxfId="1029" priority="4796" operator="containsText" text="workstation">
      <formula>NOT(ISERROR(SEARCH(("workstation"),(I809))))</formula>
    </cfRule>
    <cfRule type="containsText" dxfId="1028" priority="4797" operator="containsText" text="workstation">
      <formula>NOT(ISERROR(SEARCH(("workstation"),(I809))))</formula>
    </cfRule>
  </conditionalFormatting>
  <conditionalFormatting sqref="I810">
    <cfRule type="containsText" dxfId="1027" priority="4975" operator="containsText" text="workstation">
      <formula>NOT(ISERROR(SEARCH(("workstation"),(I810))))</formula>
    </cfRule>
    <cfRule type="containsText" dxfId="1026" priority="4976" operator="containsText" text="workstation">
      <formula>NOT(ISERROR(SEARCH(("workstation"),(I810))))</formula>
    </cfRule>
    <cfRule type="containsText" dxfId="1025" priority="4977" operator="containsText" text="workstation">
      <formula>NOT(ISERROR(SEARCH(("workstation"),(I810))))</formula>
    </cfRule>
    <cfRule type="containsText" dxfId="1024" priority="4978" operator="containsText" text="workstation">
      <formula>NOT(ISERROR(SEARCH(("workstation"),(I810))))</formula>
    </cfRule>
    <cfRule type="containsText" dxfId="1023" priority="4979" operator="containsText" text="workstation">
      <formula>NOT(ISERROR(SEARCH(("workstation"),(I810))))</formula>
    </cfRule>
  </conditionalFormatting>
  <conditionalFormatting sqref="I812">
    <cfRule type="containsText" dxfId="1022" priority="4587" operator="containsText" text="workstation">
      <formula>NOT(ISERROR(SEARCH(("workstation"),(I812))))</formula>
    </cfRule>
    <cfRule type="containsText" dxfId="1021" priority="4588" operator="containsText" text="workstation">
      <formula>NOT(ISERROR(SEARCH(("workstation"),(I812))))</formula>
    </cfRule>
  </conditionalFormatting>
  <conditionalFormatting sqref="I813">
    <cfRule type="containsText" dxfId="1020" priority="5430" operator="containsText" text="workstation">
      <formula>NOT(ISERROR(SEARCH(("workstation"),(I813))))</formula>
    </cfRule>
    <cfRule type="containsText" dxfId="1019" priority="5431" operator="containsText" text="workstation">
      <formula>NOT(ISERROR(SEARCH(("workstation"),(I813))))</formula>
    </cfRule>
  </conditionalFormatting>
  <conditionalFormatting sqref="I814 I816 I821 I924">
    <cfRule type="containsText" dxfId="1018" priority="4682" operator="containsText" text="workstation">
      <formula>NOT(ISERROR(SEARCH(("workstation"),(I814))))</formula>
    </cfRule>
  </conditionalFormatting>
  <conditionalFormatting sqref="I814">
    <cfRule type="containsText" dxfId="1017" priority="4683" operator="containsText" text="workstation">
      <formula>NOT(ISERROR(SEARCH(("workstation"),(I814))))</formula>
    </cfRule>
  </conditionalFormatting>
  <conditionalFormatting sqref="I817 I823 I833">
    <cfRule type="containsText" dxfId="1016" priority="4752" operator="containsText" text="workstation">
      <formula>NOT(ISERROR(SEARCH(("workstation"),(I817))))</formula>
    </cfRule>
    <cfRule type="containsText" dxfId="1015" priority="4753" operator="containsText" text="workstation">
      <formula>NOT(ISERROR(SEARCH(("workstation"),(I817))))</formula>
    </cfRule>
  </conditionalFormatting>
  <conditionalFormatting sqref="I819">
    <cfRule type="containsText" dxfId="1014" priority="4686" operator="containsText" text="workstation">
      <formula>NOT(ISERROR(SEARCH(("workstation"),(I819))))</formula>
    </cfRule>
    <cfRule type="containsText" dxfId="1013" priority="4687" operator="containsText" text="workstation">
      <formula>NOT(ISERROR(SEARCH(("workstation"),(I819))))</formula>
    </cfRule>
  </conditionalFormatting>
  <conditionalFormatting sqref="I823 I833 I843">
    <cfRule type="containsText" dxfId="1012" priority="4640" operator="containsText" text="workstation">
      <formula>NOT(ISERROR(SEARCH(("workstation"),(I823))))</formula>
    </cfRule>
  </conditionalFormatting>
  <conditionalFormatting sqref="I824">
    <cfRule type="containsText" dxfId="1011" priority="4597" operator="containsText" text="workstation">
      <formula>NOT(ISERROR(SEARCH(("workstation"),(I824))))</formula>
    </cfRule>
    <cfRule type="containsText" dxfId="1010" priority="4598" operator="containsText" text="workstation">
      <formula>NOT(ISERROR(SEARCH(("workstation"),(I824))))</formula>
    </cfRule>
  </conditionalFormatting>
  <conditionalFormatting sqref="I826">
    <cfRule type="containsText" dxfId="1009" priority="4585" operator="containsText" text="workstation">
      <formula>NOT(ISERROR(SEARCH(("workstation"),(I826))))</formula>
    </cfRule>
    <cfRule type="containsText" dxfId="1008" priority="4586" operator="containsText" text="workstation">
      <formula>NOT(ISERROR(SEARCH(("workstation"),(I826))))</formula>
    </cfRule>
  </conditionalFormatting>
  <conditionalFormatting sqref="I827">
    <cfRule type="containsText" dxfId="1007" priority="4593" operator="containsText" text="workstation">
      <formula>NOT(ISERROR(SEARCH(("workstation"),(I827))))</formula>
    </cfRule>
    <cfRule type="containsText" dxfId="1006" priority="4594" operator="containsText" text="workstation">
      <formula>NOT(ISERROR(SEARCH(("workstation"),(I827))))</formula>
    </cfRule>
  </conditionalFormatting>
  <conditionalFormatting sqref="I828:I829 I831 I833 I841">
    <cfRule type="containsText" dxfId="1005" priority="4581" operator="containsText" text="workstation">
      <formula>NOT(ISERROR(SEARCH(("workstation"),(I828))))</formula>
    </cfRule>
  </conditionalFormatting>
  <conditionalFormatting sqref="I832">
    <cfRule type="containsText" dxfId="1004" priority="4432" operator="containsText" text="workstation">
      <formula>NOT(ISERROR(SEARCH(("workstation"),(I832))))</formula>
    </cfRule>
    <cfRule type="containsText" dxfId="1003" priority="4433" operator="containsText" text="workstation">
      <formula>NOT(ISERROR(SEARCH(("workstation"),(I832))))</formula>
    </cfRule>
  </conditionalFormatting>
  <conditionalFormatting sqref="I834 I844 I846">
    <cfRule type="containsText" dxfId="1002" priority="4563" operator="containsText" text="workstation">
      <formula>NOT(ISERROR(SEARCH(("workstation"),(I834))))</formula>
    </cfRule>
    <cfRule type="containsText" dxfId="1001" priority="4564" operator="containsText" text="workstation">
      <formula>NOT(ISERROR(SEARCH(("workstation"),(I834))))</formula>
    </cfRule>
  </conditionalFormatting>
  <conditionalFormatting sqref="I835 I837:I839 I842 I845">
    <cfRule type="containsText" dxfId="1000" priority="4568" operator="containsText" text="workstation">
      <formula>NOT(ISERROR(SEARCH(("workstation"),(I835))))</formula>
    </cfRule>
  </conditionalFormatting>
  <conditionalFormatting sqref="I835 I837:I839 I842">
    <cfRule type="containsText" dxfId="999" priority="4569" operator="containsText" text="workstation">
      <formula>NOT(ISERROR(SEARCH(("workstation"),(I835))))</formula>
    </cfRule>
    <cfRule type="containsText" dxfId="998" priority="4570" operator="containsText" text="workstation">
      <formula>NOT(ISERROR(SEARCH(("workstation"),(I835))))</formula>
    </cfRule>
    <cfRule type="containsText" dxfId="997" priority="4571" operator="containsText" text="workstation">
      <formula>NOT(ISERROR(SEARCH(("workstation"),(I835))))</formula>
    </cfRule>
    <cfRule type="containsText" dxfId="996" priority="4572" operator="containsText" text="workstation">
      <formula>NOT(ISERROR(SEARCH(("workstation"),(I835))))</formula>
    </cfRule>
  </conditionalFormatting>
  <conditionalFormatting sqref="I840">
    <cfRule type="containsText" dxfId="995" priority="4591" operator="containsText" text="workstation">
      <formula>NOT(ISERROR(SEARCH(("workstation"),(I840))))</formula>
    </cfRule>
    <cfRule type="containsText" dxfId="994" priority="4592" operator="containsText" text="workstation">
      <formula>NOT(ISERROR(SEARCH(("workstation"),(I840))))</formula>
    </cfRule>
  </conditionalFormatting>
  <conditionalFormatting sqref="I843">
    <cfRule type="containsText" dxfId="993" priority="4641" operator="containsText" text="workstation">
      <formula>NOT(ISERROR(SEARCH(("workstation"),(I843))))</formula>
    </cfRule>
    <cfRule type="containsText" dxfId="992" priority="4642" operator="containsText" text="workstation">
      <formula>NOT(ISERROR(SEARCH(("workstation"),(I843))))</formula>
    </cfRule>
    <cfRule type="containsText" dxfId="991" priority="4643" operator="containsText" text="workstation">
      <formula>NOT(ISERROR(SEARCH(("workstation"),(I843))))</formula>
    </cfRule>
    <cfRule type="containsText" dxfId="990" priority="4644" operator="containsText" text="workstation">
      <formula>NOT(ISERROR(SEARCH(("workstation"),(I843))))</formula>
    </cfRule>
    <cfRule type="containsText" dxfId="989" priority="4645" operator="containsText" text="workstation">
      <formula>NOT(ISERROR(SEARCH(("workstation"),(I843))))</formula>
    </cfRule>
  </conditionalFormatting>
  <conditionalFormatting sqref="I854">
    <cfRule type="containsText" dxfId="988" priority="4532" operator="containsText" text="workstation">
      <formula>NOT(ISERROR(SEARCH(("workstation"),(I854))))</formula>
    </cfRule>
    <cfRule type="containsText" dxfId="987" priority="4533" operator="containsText" text="workstation">
      <formula>NOT(ISERROR(SEARCH(("workstation"),(I854))))</formula>
    </cfRule>
  </conditionalFormatting>
  <conditionalFormatting sqref="I855">
    <cfRule type="containsText" dxfId="986" priority="4466" operator="containsText" text="workstation">
      <formula>NOT(ISERROR(SEARCH(("workstation"),(I855))))</formula>
    </cfRule>
    <cfRule type="containsText" dxfId="985" priority="4467" operator="containsText" text="workstation">
      <formula>NOT(ISERROR(SEARCH(("workstation"),(I855))))</formula>
    </cfRule>
  </conditionalFormatting>
  <conditionalFormatting sqref="I857">
    <cfRule type="containsText" dxfId="984" priority="4456" operator="containsText" text="workstation">
      <formula>NOT(ISERROR(SEARCH(("workstation"),(I857))))</formula>
    </cfRule>
    <cfRule type="containsText" dxfId="983" priority="4457" operator="containsText" text="workstation">
      <formula>NOT(ISERROR(SEARCH(("workstation"),(I857))))</formula>
    </cfRule>
    <cfRule type="containsText" dxfId="982" priority="4458" operator="containsText" text="workstation">
      <formula>NOT(ISERROR(SEARCH(("workstation"),(I857))))</formula>
    </cfRule>
    <cfRule type="containsText" dxfId="981" priority="4459" operator="containsText" text="workstation">
      <formula>NOT(ISERROR(SEARCH(("workstation"),(I857))))</formula>
    </cfRule>
    <cfRule type="containsText" dxfId="980" priority="4460" operator="containsText" text="workstation">
      <formula>NOT(ISERROR(SEARCH(("workstation"),(I857))))</formula>
    </cfRule>
  </conditionalFormatting>
  <conditionalFormatting sqref="I860">
    <cfRule type="containsText" dxfId="979" priority="4405" operator="containsText" text="workstation">
      <formula>NOT(ISERROR(SEARCH(("workstation"),(I860))))</formula>
    </cfRule>
    <cfRule type="containsText" dxfId="978" priority="4406" operator="containsText" text="workstation">
      <formula>NOT(ISERROR(SEARCH(("workstation"),(I860))))</formula>
    </cfRule>
    <cfRule type="containsText" dxfId="977" priority="4407" operator="containsText" text="workstation">
      <formula>NOT(ISERROR(SEARCH(("workstation"),(I860))))</formula>
    </cfRule>
    <cfRule type="containsText" dxfId="976" priority="4408" operator="containsText" text="workstation">
      <formula>NOT(ISERROR(SEARCH(("workstation"),(I860))))</formula>
    </cfRule>
    <cfRule type="containsText" dxfId="975" priority="4409" operator="containsText" text="workstation">
      <formula>NOT(ISERROR(SEARCH(("workstation"),(I860))))</formula>
    </cfRule>
  </conditionalFormatting>
  <conditionalFormatting sqref="I862">
    <cfRule type="containsText" dxfId="974" priority="4418" operator="containsText" text="workstation">
      <formula>NOT(ISERROR(SEARCH(("workstation"),(I862))))</formula>
    </cfRule>
    <cfRule type="containsText" dxfId="973" priority="4419" operator="containsText" text="workstation">
      <formula>NOT(ISERROR(SEARCH(("workstation"),(I862))))</formula>
    </cfRule>
    <cfRule type="containsText" dxfId="972" priority="4420" operator="containsText" text="workstation">
      <formula>NOT(ISERROR(SEARCH(("workstation"),(I862))))</formula>
    </cfRule>
    <cfRule type="containsText" dxfId="971" priority="4421" operator="containsText" text="workstation">
      <formula>NOT(ISERROR(SEARCH(("workstation"),(I862))))</formula>
    </cfRule>
    <cfRule type="containsText" dxfId="970" priority="4422" operator="containsText" text="workstation">
      <formula>NOT(ISERROR(SEARCH(("workstation"),(I862))))</formula>
    </cfRule>
  </conditionalFormatting>
  <conditionalFormatting sqref="I863">
    <cfRule type="containsText" dxfId="969" priority="4442" operator="containsText" text="workstation">
      <formula>NOT(ISERROR(SEARCH(("workstation"),(I863))))</formula>
    </cfRule>
    <cfRule type="containsText" dxfId="968" priority="4443" operator="containsText" text="workstation">
      <formula>NOT(ISERROR(SEARCH(("workstation"),(I863))))</formula>
    </cfRule>
  </conditionalFormatting>
  <conditionalFormatting sqref="I866">
    <cfRule type="containsText" dxfId="967" priority="4404" operator="containsText" text="workstation">
      <formula>NOT(ISERROR(SEARCH(("workstation"),(I866))))</formula>
    </cfRule>
  </conditionalFormatting>
  <conditionalFormatting sqref="I867:I868 I872">
    <cfRule type="containsText" dxfId="966" priority="4400" operator="containsText" text="workstation">
      <formula>NOT(ISERROR(SEARCH(("workstation"),(I867))))</formula>
    </cfRule>
  </conditionalFormatting>
  <conditionalFormatting sqref="I867:I868">
    <cfRule type="containsText" dxfId="965" priority="4401" operator="containsText" text="workstation">
      <formula>NOT(ISERROR(SEARCH(("workstation"),(I867))))</formula>
    </cfRule>
  </conditionalFormatting>
  <conditionalFormatting sqref="I870">
    <cfRule type="containsText" dxfId="964" priority="4394" operator="containsText" text="workstation">
      <formula>NOT(ISERROR(SEARCH(("workstation"),(I870))))</formula>
    </cfRule>
    <cfRule type="containsText" dxfId="963" priority="4395" operator="containsText" text="workstation">
      <formula>NOT(ISERROR(SEARCH(("workstation"),(I870))))</formula>
    </cfRule>
  </conditionalFormatting>
  <conditionalFormatting sqref="I871">
    <cfRule type="containsText" dxfId="962" priority="4435" operator="containsText" text="workstation">
      <formula>NOT(ISERROR(SEARCH(("workstation"),(I871))))</formula>
    </cfRule>
    <cfRule type="containsText" dxfId="961" priority="4436" operator="containsText" text="workstation">
      <formula>NOT(ISERROR(SEARCH(("workstation"),(I871))))</formula>
    </cfRule>
  </conditionalFormatting>
  <conditionalFormatting sqref="I873">
    <cfRule type="containsText" dxfId="960" priority="4397" operator="containsText" text="workstation">
      <formula>NOT(ISERROR(SEARCH(("workstation"),(I873))))</formula>
    </cfRule>
    <cfRule type="containsText" dxfId="959" priority="4398" operator="containsText" text="workstation">
      <formula>NOT(ISERROR(SEARCH(("workstation"),(I873))))</formula>
    </cfRule>
  </conditionalFormatting>
  <conditionalFormatting sqref="I874">
    <cfRule type="containsText" dxfId="958" priority="4370" operator="containsText" text="workstation">
      <formula>NOT(ISERROR(SEARCH(("workstation"),(I874))))</formula>
    </cfRule>
    <cfRule type="containsText" dxfId="957" priority="4371" operator="containsText" text="workstation">
      <formula>NOT(ISERROR(SEARCH(("workstation"),(I874))))</formula>
    </cfRule>
  </conditionalFormatting>
  <conditionalFormatting sqref="I876 I890 I900">
    <cfRule type="containsText" dxfId="956" priority="4507" operator="containsText" text="workstation">
      <formula>NOT(ISERROR(SEARCH(("workstation"),(I876))))</formula>
    </cfRule>
    <cfRule type="containsText" dxfId="955" priority="4508" operator="containsText" text="workstation">
      <formula>NOT(ISERROR(SEARCH(("workstation"),(I876))))</formula>
    </cfRule>
  </conditionalFormatting>
  <conditionalFormatting sqref="I876">
    <cfRule type="containsText" dxfId="954" priority="4386" operator="containsText" text="workstation">
      <formula>NOT(ISERROR(SEARCH(("workstation"),(I876))))</formula>
    </cfRule>
  </conditionalFormatting>
  <conditionalFormatting sqref="I877">
    <cfRule type="containsText" dxfId="953" priority="4376" operator="containsText" text="workstation">
      <formula>NOT(ISERROR(SEARCH(("workstation"),(I877))))</formula>
    </cfRule>
    <cfRule type="containsText" dxfId="952" priority="4377" operator="containsText" text="workstation">
      <formula>NOT(ISERROR(SEARCH(("workstation"),(I877))))</formula>
    </cfRule>
    <cfRule type="containsText" dxfId="951" priority="4378" operator="containsText" text="workstation">
      <formula>NOT(ISERROR(SEARCH(("workstation"),(I877))))</formula>
    </cfRule>
    <cfRule type="containsText" dxfId="950" priority="4379" operator="containsText" text="workstation">
      <formula>NOT(ISERROR(SEARCH(("workstation"),(I877))))</formula>
    </cfRule>
    <cfRule type="containsText" dxfId="949" priority="4380" operator="containsText" text="workstation">
      <formula>NOT(ISERROR(SEARCH(("workstation"),(I877))))</formula>
    </cfRule>
  </conditionalFormatting>
  <conditionalFormatting sqref="I878">
    <cfRule type="containsText" dxfId="948" priority="4411" operator="containsText" text="workstation">
      <formula>NOT(ISERROR(SEARCH(("workstation"),(I878))))</formula>
    </cfRule>
    <cfRule type="containsText" dxfId="947" priority="4412" operator="containsText" text="workstation">
      <formula>NOT(ISERROR(SEARCH(("workstation"),(I878))))</formula>
    </cfRule>
  </conditionalFormatting>
  <conditionalFormatting sqref="I879">
    <cfRule type="containsText" dxfId="946" priority="4268" operator="containsText" text="workstation">
      <formula>NOT(ISERROR(SEARCH(("workstation"),(I879))))</formula>
    </cfRule>
    <cfRule type="containsText" dxfId="945" priority="4269" operator="containsText" text="workstation">
      <formula>NOT(ISERROR(SEARCH(("workstation"),(I879))))</formula>
    </cfRule>
    <cfRule type="containsText" dxfId="944" priority="4270" operator="containsText" text="workstation">
      <formula>NOT(ISERROR(SEARCH(("workstation"),(I879))))</formula>
    </cfRule>
    <cfRule type="containsText" dxfId="943" priority="4271" operator="containsText" text="workstation">
      <formula>NOT(ISERROR(SEARCH(("workstation"),(I879))))</formula>
    </cfRule>
    <cfRule type="containsText" dxfId="942" priority="4272" operator="containsText" text="workstation">
      <formula>NOT(ISERROR(SEARCH(("workstation"),(I879))))</formula>
    </cfRule>
  </conditionalFormatting>
  <conditionalFormatting sqref="I882">
    <cfRule type="containsText" dxfId="941" priority="4367" operator="containsText" text="workstation">
      <formula>NOT(ISERROR(SEARCH(("workstation"),(I882))))</formula>
    </cfRule>
    <cfRule type="containsText" dxfId="940" priority="4368" operator="containsText" text="workstation">
      <formula>NOT(ISERROR(SEARCH(("workstation"),(I882))))</formula>
    </cfRule>
  </conditionalFormatting>
  <conditionalFormatting sqref="I883">
    <cfRule type="containsText" dxfId="939" priority="4168" operator="containsText" text="workstation">
      <formula>NOT(ISERROR(SEARCH(("workstation"),(I883))))</formula>
    </cfRule>
    <cfRule type="containsText" dxfId="938" priority="4169" operator="containsText" text="workstation">
      <formula>NOT(ISERROR(SEARCH(("workstation"),(I883))))</formula>
    </cfRule>
  </conditionalFormatting>
  <conditionalFormatting sqref="I884">
    <cfRule type="containsText" dxfId="937" priority="4174" operator="containsText" text="workstation">
      <formula>NOT(ISERROR(SEARCH(("workstation"),(I884))))</formula>
    </cfRule>
    <cfRule type="containsText" dxfId="936" priority="4175" operator="containsText" text="workstation">
      <formula>NOT(ISERROR(SEARCH(("workstation"),(I884))))</formula>
    </cfRule>
  </conditionalFormatting>
  <conditionalFormatting sqref="I888">
    <cfRule type="containsText" dxfId="935" priority="4138" operator="containsText" text="workstation">
      <formula>NOT(ISERROR(SEARCH(("workstation"),(I888))))</formula>
    </cfRule>
    <cfRule type="containsText" dxfId="934" priority="4139" operator="containsText" text="workstation">
      <formula>NOT(ISERROR(SEARCH(("workstation"),(I888))))</formula>
    </cfRule>
    <cfRule type="containsText" dxfId="933" priority="4140" operator="containsText" text="workstation">
      <formula>NOT(ISERROR(SEARCH(("workstation"),(I888))))</formula>
    </cfRule>
    <cfRule type="containsText" dxfId="932" priority="4141" operator="containsText" text="workstation">
      <formula>NOT(ISERROR(SEARCH(("workstation"),(I888))))</formula>
    </cfRule>
    <cfRule type="containsText" dxfId="931" priority="4142" operator="containsText" text="workstation">
      <formula>NOT(ISERROR(SEARCH(("workstation"),(I888))))</formula>
    </cfRule>
  </conditionalFormatting>
  <conditionalFormatting sqref="I891">
    <cfRule type="containsText" dxfId="930" priority="4125" operator="containsText" text="workstation">
      <formula>NOT(ISERROR(SEARCH(("workstation"),(I891))))</formula>
    </cfRule>
    <cfRule type="containsText" dxfId="929" priority="4126" operator="containsText" text="workstation">
      <formula>NOT(ISERROR(SEARCH(("workstation"),(I891))))</formula>
    </cfRule>
  </conditionalFormatting>
  <conditionalFormatting sqref="I893">
    <cfRule type="containsText" dxfId="928" priority="4327" operator="containsText" text="workstation">
      <formula>NOT(ISERROR(SEARCH(("workstation"),(I893))))</formula>
    </cfRule>
  </conditionalFormatting>
  <conditionalFormatting sqref="I895">
    <cfRule type="containsText" dxfId="927" priority="4122" operator="containsText" text="workstation">
      <formula>NOT(ISERROR(SEARCH(("workstation"),(I895))))</formula>
    </cfRule>
    <cfRule type="containsText" dxfId="926" priority="4123" operator="containsText" text="workstation">
      <formula>NOT(ISERROR(SEARCH(("workstation"),(I895))))</formula>
    </cfRule>
  </conditionalFormatting>
  <conditionalFormatting sqref="I899 I907">
    <cfRule type="containsText" dxfId="925" priority="4016" operator="containsText" text="workstation">
      <formula>NOT(ISERROR(SEARCH(("workstation"),(I899))))</formula>
    </cfRule>
  </conditionalFormatting>
  <conditionalFormatting sqref="I900">
    <cfRule type="containsText" dxfId="924" priority="4423" operator="containsText" text="workstation">
      <formula>NOT(ISERROR(SEARCH(("workstation"),(I900))))</formula>
    </cfRule>
    <cfRule type="containsText" dxfId="923" priority="4424" operator="containsText" text="workstation">
      <formula>NOT(ISERROR(SEARCH(("workstation"),(I900))))</formula>
    </cfRule>
    <cfRule type="containsText" dxfId="922" priority="4425" operator="containsText" text="workstation">
      <formula>NOT(ISERROR(SEARCH(("workstation"),(I900))))</formula>
    </cfRule>
    <cfRule type="containsText" dxfId="921" priority="4426" operator="containsText" text="workstation">
      <formula>NOT(ISERROR(SEARCH(("workstation"),(I900))))</formula>
    </cfRule>
    <cfRule type="containsText" dxfId="920" priority="4427" operator="containsText" text="workstation">
      <formula>NOT(ISERROR(SEARCH(("workstation"),(I900))))</formula>
    </cfRule>
  </conditionalFormatting>
  <conditionalFormatting sqref="I902 I964">
    <cfRule type="containsText" dxfId="919" priority="4077" operator="containsText" text="workstation">
      <formula>NOT(ISERROR(SEARCH(("workstation"),(I902))))</formula>
    </cfRule>
    <cfRule type="containsText" dxfId="918" priority="4078" operator="containsText" text="workstation">
      <formula>NOT(ISERROR(SEARCH(("workstation"),(I902))))</formula>
    </cfRule>
  </conditionalFormatting>
  <conditionalFormatting sqref="I903">
    <cfRule type="containsText" dxfId="917" priority="3983" operator="containsText" text="workstation">
      <formula>NOT(ISERROR(SEARCH(("workstation"),(I903))))</formula>
    </cfRule>
  </conditionalFormatting>
  <conditionalFormatting sqref="I904">
    <cfRule type="containsText" dxfId="916" priority="3974" operator="containsText" text="workstation">
      <formula>NOT(ISERROR(SEARCH(("workstation"),(I904))))</formula>
    </cfRule>
    <cfRule type="containsText" dxfId="915" priority="3975" operator="containsText" text="workstation">
      <formula>NOT(ISERROR(SEARCH(("workstation"),(I904))))</formula>
    </cfRule>
  </conditionalFormatting>
  <conditionalFormatting sqref="I907">
    <cfRule type="containsText" dxfId="914" priority="4017" operator="containsText" text="workstation">
      <formula>NOT(ISERROR(SEARCH(("workstation"),(I907))))</formula>
    </cfRule>
    <cfRule type="containsText" dxfId="913" priority="4018" operator="containsText" text="workstation">
      <formula>NOT(ISERROR(SEARCH(("workstation"),(I907))))</formula>
    </cfRule>
  </conditionalFormatting>
  <conditionalFormatting sqref="I913">
    <cfRule type="containsText" dxfId="912" priority="3854" operator="containsText" text="workstation">
      <formula>NOT(ISERROR(SEARCH(("workstation"),(I913))))</formula>
    </cfRule>
  </conditionalFormatting>
  <conditionalFormatting sqref="I914">
    <cfRule type="containsText" dxfId="911" priority="3855" operator="containsText" text="workstation">
      <formula>NOT(ISERROR(SEARCH(("workstation"),(I914))))</formula>
    </cfRule>
    <cfRule type="containsText" dxfId="910" priority="3856" operator="containsText" text="workstation">
      <formula>NOT(ISERROR(SEARCH(("workstation"),(I914))))</formula>
    </cfRule>
    <cfRule type="containsText" dxfId="909" priority="3857" operator="containsText" text="workstation">
      <formula>NOT(ISERROR(SEARCH(("workstation"),(I914))))</formula>
    </cfRule>
    <cfRule type="containsText" dxfId="908" priority="3858" operator="containsText" text="workstation">
      <formula>NOT(ISERROR(SEARCH(("workstation"),(I914))))</formula>
    </cfRule>
    <cfRule type="containsText" dxfId="907" priority="3859" operator="containsText" text="workstation">
      <formula>NOT(ISERROR(SEARCH(("workstation"),(I914))))</formula>
    </cfRule>
  </conditionalFormatting>
  <conditionalFormatting sqref="I915">
    <cfRule type="containsText" dxfId="906" priority="3826" operator="containsText" text="workstation">
      <formula>NOT(ISERROR(SEARCH(("workstation"),(I915))))</formula>
    </cfRule>
  </conditionalFormatting>
  <conditionalFormatting sqref="I916 I920">
    <cfRule type="containsText" dxfId="905" priority="3819" operator="containsText" text="workstation">
      <formula>NOT(ISERROR(SEARCH(("workstation"),(I916))))</formula>
    </cfRule>
  </conditionalFormatting>
  <conditionalFormatting sqref="I929">
    <cfRule type="containsText" dxfId="904" priority="3648" operator="containsText" text="workstation">
      <formula>NOT(ISERROR(SEARCH(("workstation"),(I929))))</formula>
    </cfRule>
    <cfRule type="containsText" dxfId="903" priority="3649" operator="containsText" text="workstation">
      <formula>NOT(ISERROR(SEARCH(("workstation"),(I929))))</formula>
    </cfRule>
    <cfRule type="containsText" dxfId="902" priority="3650" operator="containsText" text="workstation">
      <formula>NOT(ISERROR(SEARCH(("workstation"),(I929))))</formula>
    </cfRule>
    <cfRule type="containsText" dxfId="901" priority="3651" operator="containsText" text="workstation">
      <formula>NOT(ISERROR(SEARCH(("workstation"),(I929))))</formula>
    </cfRule>
    <cfRule type="containsText" dxfId="900" priority="3652" operator="containsText" text="workstation">
      <formula>NOT(ISERROR(SEARCH(("workstation"),(I929))))</formula>
    </cfRule>
    <cfRule type="containsText" dxfId="899" priority="3653" operator="containsText" text="workstation">
      <formula>NOT(ISERROR(SEARCH(("workstation"),(I929))))</formula>
    </cfRule>
  </conditionalFormatting>
  <conditionalFormatting sqref="I930">
    <cfRule type="containsText" dxfId="898" priority="3627" operator="containsText" text="workstation">
      <formula>NOT(ISERROR(SEARCH(("workstation"),(I930))))</formula>
    </cfRule>
    <cfRule type="containsText" dxfId="897" priority="3628" operator="containsText" text="workstation">
      <formula>NOT(ISERROR(SEARCH(("workstation"),(I930))))</formula>
    </cfRule>
  </conditionalFormatting>
  <conditionalFormatting sqref="I931">
    <cfRule type="containsText" dxfId="896" priority="3617" operator="containsText" text="workstation">
      <formula>NOT(ISERROR(SEARCH(("workstation"),(I931))))</formula>
    </cfRule>
    <cfRule type="containsText" dxfId="895" priority="3618" operator="containsText" text="workstation">
      <formula>NOT(ISERROR(SEARCH(("workstation"),(I931))))</formula>
    </cfRule>
  </conditionalFormatting>
  <conditionalFormatting sqref="I932">
    <cfRule type="containsText" dxfId="894" priority="3539" operator="containsText" text="workstation">
      <formula>NOT(ISERROR(SEARCH(("workstation"),(I932))))</formula>
    </cfRule>
  </conditionalFormatting>
  <conditionalFormatting sqref="I935">
    <cfRule type="containsText" dxfId="893" priority="3491" operator="containsText" text="workstation">
      <formula>NOT(ISERROR(SEARCH(("workstation"),(I935))))</formula>
    </cfRule>
    <cfRule type="containsText" dxfId="892" priority="3492" operator="containsText" text="workstation">
      <formula>NOT(ISERROR(SEARCH(("workstation"),(I935))))</formula>
    </cfRule>
    <cfRule type="containsText" dxfId="891" priority="3493" operator="containsText" text="workstation">
      <formula>NOT(ISERROR(SEARCH(("workstation"),(I935))))</formula>
    </cfRule>
    <cfRule type="containsText" dxfId="890" priority="3494" operator="containsText" text="workstation">
      <formula>NOT(ISERROR(SEARCH(("workstation"),(I935))))</formula>
    </cfRule>
    <cfRule type="containsText" dxfId="889" priority="3495" operator="containsText" text="workstation">
      <formula>NOT(ISERROR(SEARCH(("workstation"),(I935))))</formula>
    </cfRule>
  </conditionalFormatting>
  <conditionalFormatting sqref="I936">
    <cfRule type="containsText" dxfId="888" priority="3483" operator="containsText" text="workstation">
      <formula>NOT(ISERROR(SEARCH(("workstation"),(I936))))</formula>
    </cfRule>
    <cfRule type="containsText" dxfId="887" priority="3484" operator="containsText" text="workstation">
      <formula>NOT(ISERROR(SEARCH(("workstation"),(I936))))</formula>
    </cfRule>
    <cfRule type="containsText" dxfId="886" priority="3485" operator="containsText" text="workstation">
      <formula>NOT(ISERROR(SEARCH(("workstation"),(I936))))</formula>
    </cfRule>
    <cfRule type="containsText" dxfId="885" priority="3486" operator="containsText" text="workstation">
      <formula>NOT(ISERROR(SEARCH(("workstation"),(I936))))</formula>
    </cfRule>
    <cfRule type="containsText" dxfId="884" priority="3487" operator="containsText" text="workstation">
      <formula>NOT(ISERROR(SEARCH(("workstation"),(I936))))</formula>
    </cfRule>
  </conditionalFormatting>
  <conditionalFormatting sqref="I938">
    <cfRule type="containsText" dxfId="883" priority="3634" operator="containsText" text="workstation">
      <formula>NOT(ISERROR(SEARCH(("workstation"),(I938))))</formula>
    </cfRule>
    <cfRule type="containsText" dxfId="882" priority="3635" operator="containsText" text="workstation">
      <formula>NOT(ISERROR(SEARCH(("workstation"),(I938))))</formula>
    </cfRule>
    <cfRule type="containsText" dxfId="881" priority="3636" operator="containsText" text="workstation">
      <formula>NOT(ISERROR(SEARCH(("workstation"),(I938))))</formula>
    </cfRule>
    <cfRule type="containsText" dxfId="880" priority="3637" operator="containsText" text="workstation">
      <formula>NOT(ISERROR(SEARCH(("workstation"),(I938))))</formula>
    </cfRule>
    <cfRule type="containsText" dxfId="879" priority="3638" operator="containsText" text="workstation">
      <formula>NOT(ISERROR(SEARCH(("workstation"),(I938))))</formula>
    </cfRule>
  </conditionalFormatting>
  <conditionalFormatting sqref="I943:I944">
    <cfRule type="containsText" dxfId="878" priority="3180" operator="containsText" text="workstation">
      <formula>NOT(ISERROR(SEARCH(("workstation"),(I943))))</formula>
    </cfRule>
  </conditionalFormatting>
  <conditionalFormatting sqref="I944">
    <cfRule type="containsText" dxfId="877" priority="3181" operator="containsText" text="workstation">
      <formula>NOT(ISERROR(SEARCH(("workstation"),(I944))))</formula>
    </cfRule>
  </conditionalFormatting>
  <conditionalFormatting sqref="I945">
    <cfRule type="containsText" dxfId="876" priority="3020" operator="containsText" text="workstation">
      <formula>NOT(ISERROR(SEARCH(("workstation"),(I945))))</formula>
    </cfRule>
  </conditionalFormatting>
  <conditionalFormatting sqref="I947">
    <cfRule type="containsText" dxfId="875" priority="3333" operator="containsText" text="workstation">
      <formula>NOT(ISERROR(SEARCH(("workstation"),(I947))))</formula>
    </cfRule>
    <cfRule type="containsText" dxfId="874" priority="3334" operator="containsText" text="workstation">
      <formula>NOT(ISERROR(SEARCH(("workstation"),(I947))))</formula>
    </cfRule>
  </conditionalFormatting>
  <conditionalFormatting sqref="I949">
    <cfRule type="containsText" dxfId="873" priority="5597" operator="containsText" text="workstation">
      <formula>NOT(ISERROR(SEARCH(("workstation"),(I949))))</formula>
    </cfRule>
  </conditionalFormatting>
  <conditionalFormatting sqref="I950">
    <cfRule type="containsText" dxfId="872" priority="3191" operator="containsText" text="workstation">
      <formula>NOT(ISERROR(SEARCH(("workstation"),(I950))))</formula>
    </cfRule>
    <cfRule type="containsText" dxfId="871" priority="3192" operator="containsText" text="workstation">
      <formula>NOT(ISERROR(SEARCH(("workstation"),(I950))))</formula>
    </cfRule>
    <cfRule type="containsText" dxfId="870" priority="3193" operator="containsText" text="workstation">
      <formula>NOT(ISERROR(SEARCH(("workstation"),(I950))))</formula>
    </cfRule>
    <cfRule type="containsText" dxfId="869" priority="3194" operator="containsText" text="workstation">
      <formula>NOT(ISERROR(SEARCH(("workstation"),(I950))))</formula>
    </cfRule>
    <cfRule type="containsText" dxfId="868" priority="3195" operator="containsText" text="workstation">
      <formula>NOT(ISERROR(SEARCH(("workstation"),(I950))))</formula>
    </cfRule>
  </conditionalFormatting>
  <conditionalFormatting sqref="I951">
    <cfRule type="containsText" dxfId="867" priority="3374" operator="containsText" text="workstation">
      <formula>NOT(ISERROR(SEARCH(("workstation"),(I951))))</formula>
    </cfRule>
    <cfRule type="containsText" dxfId="866" priority="3375" operator="containsText" text="workstation">
      <formula>NOT(ISERROR(SEARCH(("workstation"),(I951))))</formula>
    </cfRule>
    <cfRule type="containsText" dxfId="865" priority="3376" operator="containsText" text="workstation">
      <formula>NOT(ISERROR(SEARCH(("workstation"),(I951))))</formula>
    </cfRule>
    <cfRule type="containsText" dxfId="864" priority="3377" operator="containsText" text="workstation">
      <formula>NOT(ISERROR(SEARCH(("workstation"),(I951))))</formula>
    </cfRule>
    <cfRule type="containsText" dxfId="863" priority="3378" operator="containsText" text="workstation">
      <formula>NOT(ISERROR(SEARCH(("workstation"),(I951))))</formula>
    </cfRule>
  </conditionalFormatting>
  <conditionalFormatting sqref="I952">
    <cfRule type="containsText" dxfId="862" priority="3327" operator="containsText" text="workstation">
      <formula>NOT(ISERROR(SEARCH(("workstation"),(I952))))</formula>
    </cfRule>
    <cfRule type="containsText" dxfId="861" priority="3328" operator="containsText" text="workstation">
      <formula>NOT(ISERROR(SEARCH(("workstation"),(I952))))</formula>
    </cfRule>
  </conditionalFormatting>
  <conditionalFormatting sqref="I955">
    <cfRule type="containsText" dxfId="860" priority="3167" operator="containsText" text="workstation">
      <formula>NOT(ISERROR(SEARCH(("workstation"),(I955))))</formula>
    </cfRule>
    <cfRule type="containsText" dxfId="859" priority="3168" operator="containsText" text="workstation">
      <formula>NOT(ISERROR(SEARCH(("workstation"),(I955))))</formula>
    </cfRule>
  </conditionalFormatting>
  <conditionalFormatting sqref="I956">
    <cfRule type="containsText" dxfId="858" priority="3005" operator="containsText" text="workstation">
      <formula>NOT(ISERROR(SEARCH(("workstation"),(I956))))</formula>
    </cfRule>
    <cfRule type="containsText" dxfId="857" priority="3006" operator="containsText" text="workstation">
      <formula>NOT(ISERROR(SEARCH(("workstation"),(I956))))</formula>
    </cfRule>
  </conditionalFormatting>
  <conditionalFormatting sqref="I957">
    <cfRule type="containsText" dxfId="856" priority="2981" operator="containsText" text="workstation">
      <formula>NOT(ISERROR(SEARCH(("workstation"),(I957))))</formula>
    </cfRule>
    <cfRule type="containsText" dxfId="855" priority="2982" operator="containsText" text="workstation">
      <formula>NOT(ISERROR(SEARCH(("workstation"),(I957))))</formula>
    </cfRule>
  </conditionalFormatting>
  <conditionalFormatting sqref="I959">
    <cfRule type="containsText" dxfId="854" priority="2951" operator="containsText" text="workstation">
      <formula>NOT(ISERROR(SEARCH(("workstation"),(I959))))</formula>
    </cfRule>
  </conditionalFormatting>
  <conditionalFormatting sqref="I960">
    <cfRule type="containsText" dxfId="853" priority="2959" operator="containsText" text="workstation">
      <formula>NOT(ISERROR(SEARCH(("workstation"),(I960))))</formula>
    </cfRule>
  </conditionalFormatting>
  <conditionalFormatting sqref="I963 I971">
    <cfRule type="containsText" dxfId="852" priority="2786" operator="containsText" text="workstation">
      <formula>NOT(ISERROR(SEARCH(("workstation"),(I963))))</formula>
    </cfRule>
  </conditionalFormatting>
  <conditionalFormatting sqref="I969">
    <cfRule type="containsText" dxfId="851" priority="2883" operator="containsText" text="workstation">
      <formula>NOT(ISERROR(SEARCH(("workstation"),(I969))))</formula>
    </cfRule>
    <cfRule type="containsText" dxfId="850" priority="2884" operator="containsText" text="workstation">
      <formula>NOT(ISERROR(SEARCH(("workstation"),(I969))))</formula>
    </cfRule>
    <cfRule type="containsText" dxfId="849" priority="2885" operator="containsText" text="workstation">
      <formula>NOT(ISERROR(SEARCH(("workstation"),(I969))))</formula>
    </cfRule>
    <cfRule type="containsText" dxfId="848" priority="2886" operator="containsText" text="workstation">
      <formula>NOT(ISERROR(SEARCH(("workstation"),(I969))))</formula>
    </cfRule>
    <cfRule type="containsText" dxfId="847" priority="2887" operator="containsText" text="workstation">
      <formula>NOT(ISERROR(SEARCH(("workstation"),(I969))))</formula>
    </cfRule>
  </conditionalFormatting>
  <conditionalFormatting sqref="I977">
    <cfRule type="containsText" dxfId="846" priority="3402" operator="containsText" text="workstation">
      <formula>NOT(ISERROR(SEARCH(("workstation"),(I977))))</formula>
    </cfRule>
  </conditionalFormatting>
  <conditionalFormatting sqref="I999">
    <cfRule type="containsText" dxfId="845" priority="1878" operator="containsText" text="workstation">
      <formula>NOT(ISERROR(SEARCH(("workstation"),(I999))))</formula>
    </cfRule>
    <cfRule type="containsText" dxfId="844" priority="1879" operator="containsText" text="workstation">
      <formula>NOT(ISERROR(SEARCH(("workstation"),(I999))))</formula>
    </cfRule>
  </conditionalFormatting>
  <conditionalFormatting sqref="I1032">
    <cfRule type="containsText" dxfId="843" priority="2675" operator="containsText" text="workstation">
      <formula>NOT(ISERROR(SEARCH(("workstation"),(I1032))))</formula>
    </cfRule>
    <cfRule type="containsText" dxfId="842" priority="2676" operator="containsText" text="workstation">
      <formula>NOT(ISERROR(SEARCH(("workstation"),(I1032))))</formula>
    </cfRule>
  </conditionalFormatting>
  <conditionalFormatting sqref="I1037">
    <cfRule type="containsText" dxfId="841" priority="2657" operator="containsText" text="workstation">
      <formula>NOT(ISERROR(SEARCH(("workstation"),(I1037))))</formula>
    </cfRule>
    <cfRule type="containsText" dxfId="840" priority="2658" operator="containsText" text="workstation">
      <formula>NOT(ISERROR(SEARCH(("workstation"),(I1037))))</formula>
    </cfRule>
  </conditionalFormatting>
  <conditionalFormatting sqref="I1048">
    <cfRule type="containsText" dxfId="839" priority="2515" operator="containsText" text="workstation">
      <formula>NOT(ISERROR(SEARCH(("workstation"),(I1048))))</formula>
    </cfRule>
    <cfRule type="containsText" dxfId="838" priority="2516" operator="containsText" text="workstation">
      <formula>NOT(ISERROR(SEARCH(("workstation"),(I1048))))</formula>
    </cfRule>
    <cfRule type="containsText" dxfId="837" priority="2517" operator="containsText" text="workstation">
      <formula>NOT(ISERROR(SEARCH(("workstation"),(I1048))))</formula>
    </cfRule>
    <cfRule type="containsText" dxfId="836" priority="2518" operator="containsText" text="workstation">
      <formula>NOT(ISERROR(SEARCH(("workstation"),(I1048))))</formula>
    </cfRule>
    <cfRule type="containsText" dxfId="835" priority="2519" operator="containsText" text="workstation">
      <formula>NOT(ISERROR(SEARCH(("workstation"),(I1048))))</formula>
    </cfRule>
    <cfRule type="containsText" dxfId="834" priority="2520" operator="containsText" text="workstation">
      <formula>NOT(ISERROR(SEARCH(("workstation"),(I1048))))</formula>
    </cfRule>
  </conditionalFormatting>
  <conditionalFormatting sqref="I1049">
    <cfRule type="containsText" dxfId="833" priority="2460" operator="containsText" text="workstation">
      <formula>NOT(ISERROR(SEARCH(("workstation"),(I1049))))</formula>
    </cfRule>
    <cfRule type="containsText" dxfId="832" priority="2461" operator="containsText" text="workstation">
      <formula>NOT(ISERROR(SEARCH(("workstation"),(I1049))))</formula>
    </cfRule>
    <cfRule type="containsText" dxfId="831" priority="2462" operator="containsText" text="workstation">
      <formula>NOT(ISERROR(SEARCH(("workstation"),(I1049))))</formula>
    </cfRule>
    <cfRule type="containsText" dxfId="830" priority="2463" operator="containsText" text="workstation">
      <formula>NOT(ISERROR(SEARCH(("workstation"),(I1049))))</formula>
    </cfRule>
    <cfRule type="containsText" dxfId="829" priority="2464" operator="containsText" text="workstation">
      <formula>NOT(ISERROR(SEARCH(("workstation"),(I1049))))</formula>
    </cfRule>
  </conditionalFormatting>
  <conditionalFormatting sqref="I1050">
    <cfRule type="containsText" dxfId="828" priority="2439" operator="containsText" text="workstation">
      <formula>NOT(ISERROR(SEARCH(("workstation"),(I1050))))</formula>
    </cfRule>
    <cfRule type="containsText" dxfId="827" priority="2440" operator="containsText" text="workstation">
      <formula>NOT(ISERROR(SEARCH(("workstation"),(I1050))))</formula>
    </cfRule>
  </conditionalFormatting>
  <conditionalFormatting sqref="I1054">
    <cfRule type="containsText" dxfId="826" priority="2343" operator="containsText" text="workstation">
      <formula>NOT(ISERROR(SEARCH(("workstation"),(I1054))))</formula>
    </cfRule>
    <cfRule type="containsText" dxfId="825" priority="2344" operator="containsText" text="workstation">
      <formula>NOT(ISERROR(SEARCH(("workstation"),(I1054))))</formula>
    </cfRule>
  </conditionalFormatting>
  <conditionalFormatting sqref="I1056">
    <cfRule type="containsText" dxfId="824" priority="2329" operator="containsText" text="workstation">
      <formula>NOT(ISERROR(SEARCH(("workstation"),(I1056))))</formula>
    </cfRule>
    <cfRule type="containsText" dxfId="823" priority="2330" operator="containsText" text="workstation">
      <formula>NOT(ISERROR(SEARCH(("workstation"),(I1056))))</formula>
    </cfRule>
    <cfRule type="containsText" dxfId="822" priority="2331" operator="containsText" text="workstation">
      <formula>NOT(ISERROR(SEARCH(("workstation"),(I1056))))</formula>
    </cfRule>
    <cfRule type="containsText" dxfId="821" priority="2332" operator="containsText" text="workstation">
      <formula>NOT(ISERROR(SEARCH(("workstation"),(I1056))))</formula>
    </cfRule>
    <cfRule type="containsText" dxfId="820" priority="2333" operator="containsText" text="workstation">
      <formula>NOT(ISERROR(SEARCH(("workstation"),(I1056))))</formula>
    </cfRule>
  </conditionalFormatting>
  <conditionalFormatting sqref="I1066">
    <cfRule type="containsText" dxfId="819" priority="2212" operator="containsText" text="workstation">
      <formula>NOT(ISERROR(SEARCH(("workstation"),(I1066))))</formula>
    </cfRule>
    <cfRule type="containsText" dxfId="818" priority="2213" operator="containsText" text="workstation">
      <formula>NOT(ISERROR(SEARCH(("workstation"),(I1066))))</formula>
    </cfRule>
  </conditionalFormatting>
  <conditionalFormatting sqref="I1078">
    <cfRule type="containsText" dxfId="817" priority="2204" operator="containsText" text="workstation">
      <formula>NOT(ISERROR(SEARCH(("workstation"),(I1078))))</formula>
    </cfRule>
  </conditionalFormatting>
  <conditionalFormatting sqref="I1080">
    <cfRule type="containsText" dxfId="816" priority="2154" operator="containsText" text="workstation">
      <formula>NOT(ISERROR(SEARCH(("workstation"),(I1080))))</formula>
    </cfRule>
    <cfRule type="containsText" dxfId="815" priority="2155" operator="containsText" text="workstation">
      <formula>NOT(ISERROR(SEARCH(("workstation"),(I1080))))</formula>
    </cfRule>
    <cfRule type="containsText" dxfId="814" priority="2156" operator="containsText" text="workstation">
      <formula>NOT(ISERROR(SEARCH(("workstation"),(I1080))))</formula>
    </cfRule>
  </conditionalFormatting>
  <conditionalFormatting sqref="I1082">
    <cfRule type="containsText" dxfId="813" priority="2047" operator="containsText" text="workstation">
      <formula>NOT(ISERROR(SEARCH(("workstation"),(I1082))))</formula>
    </cfRule>
    <cfRule type="containsText" dxfId="812" priority="2048" operator="containsText" text="workstation">
      <formula>NOT(ISERROR(SEARCH(("workstation"),(I1082))))</formula>
    </cfRule>
    <cfRule type="containsText" dxfId="811" priority="2049" operator="containsText" text="workstation">
      <formula>NOT(ISERROR(SEARCH(("workstation"),(I1082))))</formula>
    </cfRule>
    <cfRule type="containsText" dxfId="810" priority="2050" operator="containsText" text="workstation">
      <formula>NOT(ISERROR(SEARCH(("workstation"),(I1082))))</formula>
    </cfRule>
    <cfRule type="containsText" dxfId="809" priority="2051" operator="containsText" text="workstation">
      <formula>NOT(ISERROR(SEARCH(("workstation"),(I1082))))</formula>
    </cfRule>
  </conditionalFormatting>
  <conditionalFormatting sqref="I1083">
    <cfRule type="containsText" dxfId="808" priority="1978" operator="containsText" text="workstation">
      <formula>NOT(ISERROR(SEARCH(("workstation"),(I1083))))</formula>
    </cfRule>
    <cfRule type="containsText" dxfId="807" priority="1979" operator="containsText" text="workstation">
      <formula>NOT(ISERROR(SEARCH(("workstation"),(I1083))))</formula>
    </cfRule>
    <cfRule type="containsText" dxfId="806" priority="1980" operator="containsText" text="workstation">
      <formula>NOT(ISERROR(SEARCH(("workstation"),(I1083))))</formula>
    </cfRule>
    <cfRule type="containsText" dxfId="805" priority="1981" operator="containsText" text="workstation">
      <formula>NOT(ISERROR(SEARCH(("workstation"),(I1083))))</formula>
    </cfRule>
    <cfRule type="containsText" dxfId="804" priority="1982" operator="containsText" text="workstation">
      <formula>NOT(ISERROR(SEARCH(("workstation"),(I1083))))</formula>
    </cfRule>
    <cfRule type="containsText" dxfId="803" priority="1983" operator="containsText" text="workstation">
      <formula>NOT(ISERROR(SEARCH(("workstation"),(I1083))))</formula>
    </cfRule>
  </conditionalFormatting>
  <conditionalFormatting sqref="I1085">
    <cfRule type="containsText" dxfId="802" priority="1603" operator="containsText" text="workstation">
      <formula>NOT(ISERROR(SEARCH(("workstation"),(I1085))))</formula>
    </cfRule>
    <cfRule type="containsText" dxfId="801" priority="1604" operator="containsText" text="workstation">
      <formula>NOT(ISERROR(SEARCH(("workstation"),(I1085))))</formula>
    </cfRule>
  </conditionalFormatting>
  <conditionalFormatting sqref="I1086">
    <cfRule type="containsText" dxfId="800" priority="1519" operator="containsText" text="workstation">
      <formula>NOT(ISERROR(SEARCH(("workstation"),(I1086))))</formula>
    </cfRule>
  </conditionalFormatting>
  <conditionalFormatting sqref="I1088">
    <cfRule type="containsText" dxfId="799" priority="1315" operator="containsText" text="workstation">
      <formula>NOT(ISERROR(SEARCH(("workstation"),(I1088))))</formula>
    </cfRule>
  </conditionalFormatting>
  <conditionalFormatting sqref="I1136 I1150:I1151">
    <cfRule type="containsText" dxfId="798" priority="1134" operator="containsText" text="workstation">
      <formula>NOT(ISERROR(SEARCH(("workstation"),(I1136))))</formula>
    </cfRule>
  </conditionalFormatting>
  <conditionalFormatting sqref="I1157:I1177">
    <cfRule type="containsText" dxfId="797" priority="1030" operator="containsText" text="workstation">
      <formula>NOT(ISERROR(SEARCH(("workstation"),(I1157))))</formula>
    </cfRule>
    <cfRule type="containsText" dxfId="796" priority="1031" operator="containsText" text="workstation">
      <formula>NOT(ISERROR(SEARCH(("workstation"),(I1157))))</formula>
    </cfRule>
  </conditionalFormatting>
  <conditionalFormatting sqref="I1178">
    <cfRule type="containsText" dxfId="795" priority="425" operator="containsText" text="workstation">
      <formula>NOT(ISERROR(SEARCH(("workstation"),(I1178))))</formula>
    </cfRule>
  </conditionalFormatting>
  <conditionalFormatting sqref="I1179">
    <cfRule type="containsText" dxfId="794" priority="1013" operator="containsText" text="workstation">
      <formula>NOT(ISERROR(SEARCH(("workstation"),(I1179))))</formula>
    </cfRule>
    <cfRule type="containsText" dxfId="793" priority="1014" operator="containsText" text="workstation">
      <formula>NOT(ISERROR(SEARCH(("workstation"),(I1179))))</formula>
    </cfRule>
  </conditionalFormatting>
  <conditionalFormatting sqref="I1181:I1182">
    <cfRule type="containsText" dxfId="792" priority="1022" operator="containsText" text="workstation">
      <formula>NOT(ISERROR(SEARCH(("workstation"),(I1181))))</formula>
    </cfRule>
    <cfRule type="containsText" dxfId="791" priority="1025" operator="containsText" text="workstation">
      <formula>NOT(ISERROR(SEARCH(("workstation"),(I1181))))</formula>
    </cfRule>
    <cfRule type="containsText" dxfId="790" priority="1027" operator="containsText" text="workstation">
      <formula>NOT(ISERROR(SEARCH(("workstation"),(I1181))))</formula>
    </cfRule>
    <cfRule type="containsText" dxfId="789" priority="1028" operator="containsText" text="workstation">
      <formula>NOT(ISERROR(SEARCH(("workstation"),(I1181))))</formula>
    </cfRule>
    <cfRule type="containsText" dxfId="788" priority="1029" operator="containsText" text="workstation">
      <formula>NOT(ISERROR(SEARCH(("workstation"),(I1181))))</formula>
    </cfRule>
  </conditionalFormatting>
  <conditionalFormatting sqref="I1192">
    <cfRule type="containsText" dxfId="787" priority="929" operator="containsText" text="workstation">
      <formula>NOT(ISERROR(SEARCH(("workstation"),(I1192))))</formula>
    </cfRule>
    <cfRule type="containsText" dxfId="786" priority="930" operator="containsText" text="workstation">
      <formula>NOT(ISERROR(SEARCH(("workstation"),(I1192))))</formula>
    </cfRule>
  </conditionalFormatting>
  <conditionalFormatting sqref="I1194">
    <cfRule type="containsText" dxfId="785" priority="596" operator="containsText" text="workstation">
      <formula>NOT(ISERROR(SEARCH(("workstation"),(I1194))))</formula>
    </cfRule>
    <cfRule type="containsText" dxfId="784" priority="597" operator="containsText" text="workstation">
      <formula>NOT(ISERROR(SEARCH(("workstation"),(I1194))))</formula>
    </cfRule>
    <cfRule type="containsText" dxfId="783" priority="598" operator="containsText" text="workstation">
      <formula>NOT(ISERROR(SEARCH(("workstation"),(I1194))))</formula>
    </cfRule>
    <cfRule type="containsText" dxfId="782" priority="599" operator="containsText" text="workstation">
      <formula>NOT(ISERROR(SEARCH(("workstation"),(I1194))))</formula>
    </cfRule>
    <cfRule type="containsText" dxfId="781" priority="600" operator="containsText" text="workstation">
      <formula>NOT(ISERROR(SEARCH(("workstation"),(I1194))))</formula>
    </cfRule>
  </conditionalFormatting>
  <conditionalFormatting sqref="I1197">
    <cfRule type="containsText" dxfId="780" priority="40" operator="containsText" text="workstation">
      <formula>NOT(ISERROR(SEARCH(("workstation"),(I1197))))</formula>
    </cfRule>
    <cfRule type="containsText" dxfId="779" priority="41" operator="containsText" text="workstation">
      <formula>NOT(ISERROR(SEARCH(("workstation"),(I1197))))</formula>
    </cfRule>
  </conditionalFormatting>
  <conditionalFormatting sqref="I1202">
    <cfRule type="containsText" dxfId="778" priority="891" operator="containsText" text="workstation">
      <formula>NOT(ISERROR(SEARCH(("workstation"),(I1202))))</formula>
    </cfRule>
    <cfRule type="containsText" dxfId="777" priority="892" operator="containsText" text="workstation">
      <formula>NOT(ISERROR(SEARCH(("workstation"),(I1202))))</formula>
    </cfRule>
    <cfRule type="containsText" dxfId="776" priority="893" operator="containsText" text="workstation">
      <formula>NOT(ISERROR(SEARCH(("workstation"),(I1202))))</formula>
    </cfRule>
    <cfRule type="containsText" dxfId="775" priority="894" operator="containsText" text="workstation">
      <formula>NOT(ISERROR(SEARCH(("workstation"),(I1202))))</formula>
    </cfRule>
    <cfRule type="containsText" dxfId="774" priority="895" operator="containsText" text="workstation">
      <formula>NOT(ISERROR(SEARCH(("workstation"),(I1202))))</formula>
    </cfRule>
  </conditionalFormatting>
  <conditionalFormatting sqref="I1203 I1209:I1217">
    <cfRule type="containsText" dxfId="773" priority="1032" operator="containsText" text="workstation">
      <formula>NOT(ISERROR(SEARCH(("workstation"),(I1203))))</formula>
    </cfRule>
  </conditionalFormatting>
  <conditionalFormatting sqref="I1206">
    <cfRule type="containsText" dxfId="772" priority="1005" operator="containsText" text="workstation">
      <formula>NOT(ISERROR(SEARCH(("workstation"),(I1206))))</formula>
    </cfRule>
    <cfRule type="containsText" dxfId="771" priority="1006" operator="containsText" text="workstation">
      <formula>NOT(ISERROR(SEARCH(("workstation"),(I1206))))</formula>
    </cfRule>
    <cfRule type="containsText" dxfId="770" priority="1007" operator="containsText" text="workstation">
      <formula>NOT(ISERROR(SEARCH(("workstation"),(I1206))))</formula>
    </cfRule>
    <cfRule type="containsText" dxfId="769" priority="1008" operator="containsText" text="workstation">
      <formula>NOT(ISERROR(SEARCH(("workstation"),(I1206))))</formula>
    </cfRule>
    <cfRule type="containsText" dxfId="768" priority="1009" operator="containsText" text="workstation">
      <formula>NOT(ISERROR(SEARCH(("workstation"),(I1206))))</formula>
    </cfRule>
  </conditionalFormatting>
  <conditionalFormatting sqref="I815:J815">
    <cfRule type="containsText" dxfId="767" priority="4692" operator="containsText" text="workstation">
      <formula>NOT(ISERROR(SEARCH(("workstation"),(I815))))</formula>
    </cfRule>
  </conditionalFormatting>
  <conditionalFormatting sqref="W989">
    <cfRule type="containsText" dxfId="714" priority="2770" operator="containsText" text="наклеен">
      <formula>NOT(ISERROR(SEARCH(("наклеен"),(W989))))</formula>
    </cfRule>
  </conditionalFormatting>
  <conditionalFormatting sqref="M32">
    <cfRule type="containsText" dxfId="701" priority="5697" operator="containsText" text="C2507N0002971">
      <formula>NOT(ISERROR(SEARCH(("C2507N0002971"),(M32))))</formula>
    </cfRule>
  </conditionalFormatting>
  <conditionalFormatting sqref="N187">
    <cfRule type="cellIs" dxfId="700" priority="5687" operator="equal">
      <formula>"C1:C774"</formula>
    </cfRule>
  </conditionalFormatting>
  <conditionalFormatting sqref="N230">
    <cfRule type="cellIs" dxfId="699" priority="5688" operator="equal">
      <formula>"C1:C774"</formula>
    </cfRule>
  </conditionalFormatting>
  <conditionalFormatting sqref="N247">
    <cfRule type="cellIs" dxfId="698" priority="5689" operator="equal">
      <formula>"C1:C774"</formula>
    </cfRule>
  </conditionalFormatting>
  <conditionalFormatting sqref="N1129">
    <cfRule type="cellIs" dxfId="697" priority="1153" operator="equal">
      <formula>"C1:C774"</formula>
    </cfRule>
  </conditionalFormatting>
  <conditionalFormatting sqref="S883">
    <cfRule type="cellIs" dxfId="696" priority="4163" operator="equal">
      <formula>"Кудрявцев Д."</formula>
    </cfRule>
    <cfRule type="cellIs" dxfId="695" priority="4164" operator="equal">
      <formula>"Кудрявцев Д."</formula>
    </cfRule>
    <cfRule type="cellIs" dxfId="694" priority="4165" operator="equal">
      <formula>"Кудрявцев Д."</formula>
    </cfRule>
    <cfRule type="cellIs" dxfId="693" priority="4166" operator="equal">
      <formula>"Кудрявцев Д."</formula>
    </cfRule>
  </conditionalFormatting>
  <conditionalFormatting sqref="T1:T480 T482:T710 T712:T852 T861:T863 T865:T867 T869 T871:T872 T967:T968 T973:T974">
    <cfRule type="cellIs" dxfId="692" priority="5693" operator="equal">
      <formula>"Климанов А."</formula>
    </cfRule>
    <cfRule type="cellIs" dxfId="691" priority="5694" operator="equal">
      <formula>"Мелёшкин С."</formula>
    </cfRule>
    <cfRule type="cellIs" dxfId="690" priority="5695" operator="equal">
      <formula>"Иванов К."</formula>
    </cfRule>
    <cfRule type="cellIs" dxfId="689" priority="5696" operator="equal">
      <formula>"Протопопов А."</formula>
    </cfRule>
  </conditionalFormatting>
  <conditionalFormatting sqref="T712:T852 T861:T863 T865:T867 T871:T872 T973:T974 T1:T480 T482:T710 T869 T967:T968">
    <cfRule type="cellIs" dxfId="688" priority="5691" operator="equal">
      <formula>"Кудрявцев Д."</formula>
    </cfRule>
    <cfRule type="cellIs" dxfId="687" priority="5692" operator="equal">
      <formula>"Мартынов Д."</formula>
    </cfRule>
  </conditionalFormatting>
  <conditionalFormatting sqref="T832">
    <cfRule type="cellIs" dxfId="686" priority="4428" operator="equal">
      <formula>"Кудрявцев Д."</formula>
    </cfRule>
    <cfRule type="cellIs" dxfId="685" priority="4429" operator="equal">
      <formula>"Кудрявцев Д."</formula>
    </cfRule>
    <cfRule type="cellIs" dxfId="684" priority="4430" operator="equal">
      <formula>"Кудрявцев Д."</formula>
    </cfRule>
    <cfRule type="cellIs" dxfId="683" priority="4431" operator="equal">
      <formula>"Кудрявцев Д."</formula>
    </cfRule>
  </conditionalFormatting>
  <conditionalFormatting sqref="T852 T855 T857:T859 T862:T863 T866 T871 T876">
    <cfRule type="cellIs" dxfId="682" priority="4477" operator="equal">
      <formula>"Кудрявцев Д."</formula>
    </cfRule>
    <cfRule type="cellIs" dxfId="681" priority="4478" operator="equal">
      <formula>"Мартынов Д."</formula>
    </cfRule>
  </conditionalFormatting>
  <conditionalFormatting sqref="T852 T855 T864 T866:T867 T898 T974">
    <cfRule type="cellIs" dxfId="680" priority="4472" operator="equal">
      <formula>"Мартынов Д."</formula>
    </cfRule>
  </conditionalFormatting>
  <conditionalFormatting sqref="T852 T855">
    <cfRule type="cellIs" dxfId="679" priority="4473" operator="equal">
      <formula>"Кудрявцев Д."</formula>
    </cfRule>
  </conditionalFormatting>
  <conditionalFormatting sqref="T853">
    <cfRule type="cellIs" dxfId="678" priority="4487" operator="equal">
      <formula>"Мартынов Д."</formula>
    </cfRule>
  </conditionalFormatting>
  <conditionalFormatting sqref="T854">
    <cfRule type="cellIs" dxfId="677" priority="4528" operator="equal">
      <formula>"Кудрявцев Д."</formula>
    </cfRule>
    <cfRule type="cellIs" dxfId="676" priority="4529" operator="equal">
      <formula>"Кудрявцев Д."</formula>
    </cfRule>
    <cfRule type="cellIs" dxfId="675" priority="4530" operator="equal">
      <formula>"Кудрявцев Д."</formula>
    </cfRule>
    <cfRule type="cellIs" dxfId="674" priority="4531" operator="equal">
      <formula>"Кудрявцев Д."</formula>
    </cfRule>
  </conditionalFormatting>
  <conditionalFormatting sqref="T854:T859">
    <cfRule type="cellIs" dxfId="673" priority="4544" operator="equal">
      <formula>"Кудрявцев Д."</formula>
    </cfRule>
    <cfRule type="cellIs" dxfId="672" priority="4545" operator="equal">
      <formula>"Мартынов Д."</formula>
    </cfRule>
    <cfRule type="cellIs" dxfId="671" priority="4546" operator="equal">
      <formula>"Климанов А."</formula>
    </cfRule>
    <cfRule type="cellIs" dxfId="670" priority="4547" operator="equal">
      <formula>"Мелёшкин С."</formula>
    </cfRule>
    <cfRule type="cellIs" dxfId="669" priority="4548" operator="equal">
      <formula>"Иванов К."</formula>
    </cfRule>
    <cfRule type="cellIs" dxfId="668" priority="4549" operator="equal">
      <formula>"Протопопов А."</formula>
    </cfRule>
  </conditionalFormatting>
  <conditionalFormatting sqref="T855">
    <cfRule type="cellIs" dxfId="667" priority="4468" operator="equal">
      <formula>"Кудрявцев Д."</formula>
    </cfRule>
    <cfRule type="cellIs" dxfId="666" priority="4469" operator="equal">
      <formula>"Кудрявцев Д."</formula>
    </cfRule>
    <cfRule type="cellIs" dxfId="665" priority="4470" operator="equal">
      <formula>"Кудрявцев Д."</formula>
    </cfRule>
    <cfRule type="cellIs" dxfId="664" priority="4471" operator="equal">
      <formula>"Кудрявцев Д."</formula>
    </cfRule>
  </conditionalFormatting>
  <conditionalFormatting sqref="T857 T859 T863 T871 T876">
    <cfRule type="cellIs" dxfId="663" priority="4461" operator="equal">
      <formula>"Кудрявцев Д."</formula>
    </cfRule>
    <cfRule type="cellIs" dxfId="662" priority="4462" operator="equal">
      <formula>"Кудрявцев Д."</formula>
    </cfRule>
    <cfRule type="cellIs" dxfId="661" priority="4463" operator="equal">
      <formula>"Кудрявцев Д."</formula>
    </cfRule>
    <cfRule type="cellIs" dxfId="660" priority="4464" operator="equal">
      <formula>"Кудрявцев Д."</formula>
    </cfRule>
  </conditionalFormatting>
  <conditionalFormatting sqref="T859 T863 T871 T876">
    <cfRule type="cellIs" dxfId="659" priority="4445" operator="equal">
      <formula>"Кудрявцев Д."</formula>
    </cfRule>
    <cfRule type="cellIs" dxfId="658" priority="4446" operator="equal">
      <formula>"Кудрявцев Д."</formula>
    </cfRule>
    <cfRule type="cellIs" dxfId="657" priority="4447" operator="equal">
      <formula>"Кудрявцев Д."</formula>
    </cfRule>
    <cfRule type="cellIs" dxfId="656" priority="4448" operator="equal">
      <formula>"Кудрявцев Д."</formula>
    </cfRule>
  </conditionalFormatting>
  <conditionalFormatting sqref="T859 T871 T876">
    <cfRule type="cellIs" dxfId="655" priority="4438" operator="equal">
      <formula>"Кудрявцев Д."</formula>
    </cfRule>
    <cfRule type="cellIs" dxfId="654" priority="4439" operator="equal">
      <formula>"Кудрявцев Д."</formula>
    </cfRule>
    <cfRule type="cellIs" dxfId="653" priority="4440" operator="equal">
      <formula>"Кудрявцев Д."</formula>
    </cfRule>
    <cfRule type="cellIs" dxfId="652" priority="4441" operator="equal">
      <formula>"Кудрявцев Д."</formula>
    </cfRule>
  </conditionalFormatting>
  <conditionalFormatting sqref="T866:T867 T872 T878 T898 T974">
    <cfRule type="cellIs" dxfId="651" priority="4414" operator="equal">
      <formula>"Кудрявцев Д."</formula>
    </cfRule>
  </conditionalFormatting>
  <conditionalFormatting sqref="T874">
    <cfRule type="cellIs" dxfId="650" priority="4372" operator="equal">
      <formula>"Кудрявцев Д."</formula>
    </cfRule>
    <cfRule type="cellIs" dxfId="649" priority="4373" operator="equal">
      <formula>"Кудрявцев Д."</formula>
    </cfRule>
    <cfRule type="cellIs" dxfId="648" priority="4374" operator="equal">
      <formula>"Кудрявцев Д."</formula>
    </cfRule>
    <cfRule type="cellIs" dxfId="647" priority="4375" operator="equal">
      <formula>"Кудрявцев Д."</formula>
    </cfRule>
  </conditionalFormatting>
  <conditionalFormatting sqref="T874:T877 T882:T883 T887 T890 T897 T900 T902 T913 T920 T943:T944 T964">
    <cfRule type="cellIs" dxfId="646" priority="4491" operator="equal">
      <formula>"Кудрявцев Д."</formula>
    </cfRule>
    <cfRule type="cellIs" dxfId="645" priority="4492" operator="equal">
      <formula>"Кудрявцев Д."</formula>
    </cfRule>
    <cfRule type="cellIs" dxfId="644" priority="4493" operator="equal">
      <formula>"Кудрявцев Д."</formula>
    </cfRule>
    <cfRule type="cellIs" dxfId="643" priority="4494" operator="equal">
      <formula>"Кудрявцев Д."</formula>
    </cfRule>
  </conditionalFormatting>
  <conditionalFormatting sqref="T874:T878 T882:T883 T886:T887 T889:T892 T897:T904 T913 T920 T943:T945 T964:T965">
    <cfRule type="cellIs" dxfId="642" priority="4495" operator="equal">
      <formula>"Кудрявцев Д."</formula>
    </cfRule>
  </conditionalFormatting>
  <conditionalFormatting sqref="T874:T878 T897:T904">
    <cfRule type="cellIs" dxfId="641" priority="4496" operator="equal">
      <formula>"Мартынов Д."</formula>
    </cfRule>
  </conditionalFormatting>
  <conditionalFormatting sqref="T874:T879">
    <cfRule type="cellIs" dxfId="640" priority="4275" operator="equal">
      <formula>"Климанов А."</formula>
    </cfRule>
    <cfRule type="cellIs" dxfId="639" priority="4276" operator="equal">
      <formula>"Мелёшкин С."</formula>
    </cfRule>
    <cfRule type="cellIs" dxfId="638" priority="4277" operator="equal">
      <formula>"Иванов К."</formula>
    </cfRule>
    <cfRule type="cellIs" dxfId="637" priority="4278" operator="equal">
      <formula>"Протопопов А."</formula>
    </cfRule>
  </conditionalFormatting>
  <conditionalFormatting sqref="T876">
    <cfRule type="cellIs" dxfId="636" priority="4388" operator="equal">
      <formula>"Кудрявцев Д."</formula>
    </cfRule>
    <cfRule type="cellIs" dxfId="635" priority="4389" operator="equal">
      <formula>"Мартынов Д."</formula>
    </cfRule>
  </conditionalFormatting>
  <conditionalFormatting sqref="T878">
    <cfRule type="cellIs" dxfId="634" priority="4415" operator="equal">
      <formula>"Кудрявцев Д."</formula>
    </cfRule>
    <cfRule type="cellIs" dxfId="633" priority="4416" operator="equal">
      <formula>"Кудрявцев Д."</formula>
    </cfRule>
    <cfRule type="cellIs" dxfId="632" priority="4417" operator="equal">
      <formula>"Кудрявцев Д."</formula>
    </cfRule>
  </conditionalFormatting>
  <conditionalFormatting sqref="T879">
    <cfRule type="cellIs" dxfId="631" priority="4273" operator="equal">
      <formula>"Кудрявцев Д."</formula>
    </cfRule>
    <cfRule type="cellIs" dxfId="630" priority="4274" operator="equal">
      <formula>"Мартынов Д."</formula>
    </cfRule>
  </conditionalFormatting>
  <conditionalFormatting sqref="T882:T884">
    <cfRule type="cellIs" dxfId="629" priority="4328" operator="equal">
      <formula>"Кудрявцев Д."</formula>
    </cfRule>
  </conditionalFormatting>
  <conditionalFormatting sqref="T882:T893">
    <cfRule type="cellIs" dxfId="628" priority="4150" operator="equal">
      <formula>"Мартынов Д."</formula>
    </cfRule>
  </conditionalFormatting>
  <conditionalFormatting sqref="T882:T894">
    <cfRule type="cellIs" dxfId="627" priority="4110" operator="equal">
      <formula>"Протопопов А."</formula>
    </cfRule>
    <cfRule type="cellIs" dxfId="626" priority="4111" operator="equal">
      <formula>"Иванов К."</formula>
    </cfRule>
    <cfRule type="cellIs" dxfId="625" priority="4112" operator="equal">
      <formula>"Мелёшкин С."</formula>
    </cfRule>
    <cfRule type="cellIs" dxfId="624" priority="4113" operator="equal">
      <formula>"Климанов А."</formula>
    </cfRule>
  </conditionalFormatting>
  <conditionalFormatting sqref="T883">
    <cfRule type="cellIs" dxfId="623" priority="4170" operator="equal">
      <formula>"Кудрявцев Д."</formula>
    </cfRule>
    <cfRule type="cellIs" dxfId="622" priority="4171" operator="equal">
      <formula>"Кудрявцев Д."</formula>
    </cfRule>
    <cfRule type="cellIs" dxfId="621" priority="4172" operator="equal">
      <formula>"Кудрявцев Д."</formula>
    </cfRule>
    <cfRule type="cellIs" dxfId="620" priority="4173" operator="equal">
      <formula>"Кудрявцев Д."</formula>
    </cfRule>
  </conditionalFormatting>
  <conditionalFormatting sqref="T884">
    <cfRule type="cellIs" dxfId="619" priority="4177" operator="equal">
      <formula>"Кудрявцев Д."</formula>
    </cfRule>
    <cfRule type="cellIs" dxfId="618" priority="4178" operator="equal">
      <formula>"Кудрявцев Д."</formula>
    </cfRule>
    <cfRule type="cellIs" dxfId="617" priority="4179" operator="equal">
      <formula>"Кудрявцев Д."</formula>
    </cfRule>
    <cfRule type="cellIs" dxfId="616" priority="4180" operator="equal">
      <formula>"Кудрявцев Д."</formula>
    </cfRule>
  </conditionalFormatting>
  <conditionalFormatting sqref="T885:T888">
    <cfRule type="cellIs" dxfId="615" priority="4131" operator="equal">
      <formula>"Кудрявцев Д."</formula>
    </cfRule>
  </conditionalFormatting>
  <conditionalFormatting sqref="T888">
    <cfRule type="cellIs" dxfId="614" priority="4132" operator="equal">
      <formula>"Мартынов Д."</formula>
    </cfRule>
  </conditionalFormatting>
  <conditionalFormatting sqref="T891">
    <cfRule type="cellIs" dxfId="613" priority="4127" operator="equal">
      <formula>"Кудрявцев Д."</formula>
    </cfRule>
    <cfRule type="cellIs" dxfId="612" priority="4128" operator="equal">
      <formula>"Кудрявцев Д."</formula>
    </cfRule>
    <cfRule type="cellIs" dxfId="611" priority="4129" operator="equal">
      <formula>"Кудрявцев Д."</formula>
    </cfRule>
    <cfRule type="cellIs" dxfId="610" priority="4130" operator="equal">
      <formula>"Кудрявцев Д."</formula>
    </cfRule>
  </conditionalFormatting>
  <conditionalFormatting sqref="T891:T892">
    <cfRule type="cellIs" dxfId="609" priority="4144" operator="equal">
      <formula>"Мартынов Д."</formula>
    </cfRule>
    <cfRule type="cellIs" dxfId="608" priority="4145" operator="equal">
      <formula>"Кудрявцев Д."</formula>
    </cfRule>
  </conditionalFormatting>
  <conditionalFormatting sqref="T893:T894">
    <cfRule type="cellIs" dxfId="607" priority="4115" operator="equal">
      <formula>"Кудрявцев Д."</formula>
    </cfRule>
  </conditionalFormatting>
  <conditionalFormatting sqref="T894">
    <cfRule type="cellIs" dxfId="606" priority="4114" operator="equal">
      <formula>"Мартынов Д."</formula>
    </cfRule>
  </conditionalFormatting>
  <conditionalFormatting sqref="T895 T932 T935:T936 T956:T957 T961">
    <cfRule type="cellIs" dxfId="605" priority="4117" operator="equal">
      <formula>"Кудрявцев Д."</formula>
    </cfRule>
    <cfRule type="cellIs" dxfId="604" priority="4118" operator="equal">
      <formula>"Кудрявцев Д."</formula>
    </cfRule>
    <cfRule type="cellIs" dxfId="603" priority="4119" operator="equal">
      <formula>"Кудрявцев Д."</formula>
    </cfRule>
    <cfRule type="cellIs" dxfId="602" priority="4120" operator="equal">
      <formula>"Кудрявцев Д."</formula>
    </cfRule>
  </conditionalFormatting>
  <conditionalFormatting sqref="T896:T897">
    <cfRule type="cellIs" dxfId="601" priority="4097" operator="equal">
      <formula>"Мартынов Д."</formula>
    </cfRule>
    <cfRule type="cellIs" dxfId="600" priority="4098" operator="equal">
      <formula>"Кудрявцев Д."</formula>
    </cfRule>
  </conditionalFormatting>
  <conditionalFormatting sqref="T896:T908 T910:T911 T964:T965">
    <cfRule type="cellIs" dxfId="599" priority="3986" operator="equal">
      <formula>"Протопопов А."</formula>
    </cfRule>
    <cfRule type="cellIs" dxfId="598" priority="3987" operator="equal">
      <formula>"Иванов К."</formula>
    </cfRule>
    <cfRule type="cellIs" dxfId="597" priority="3988" operator="equal">
      <formula>"Мелёшкин С."</formula>
    </cfRule>
    <cfRule type="cellIs" dxfId="596" priority="3989" operator="equal">
      <formula>"Климанов А."</formula>
    </cfRule>
  </conditionalFormatting>
  <conditionalFormatting sqref="T902:T908 T910:T911 T964:T965">
    <cfRule type="cellIs" dxfId="595" priority="3990" operator="equal">
      <formula>"Мартынов Д."</formula>
    </cfRule>
  </conditionalFormatting>
  <conditionalFormatting sqref="T902:T908 T928:T930 T964:T965 T910:T911">
    <cfRule type="cellIs" dxfId="594" priority="3991" operator="equal">
      <formula>"Кудрявцев Д."</formula>
    </cfRule>
  </conditionalFormatting>
  <conditionalFormatting sqref="T903:T904">
    <cfRule type="cellIs" dxfId="593" priority="3981" operator="equal">
      <formula>"Кудрявцев Д."</formula>
    </cfRule>
    <cfRule type="cellIs" dxfId="592" priority="3982" operator="equal">
      <formula>"Мартынов Д."</formula>
    </cfRule>
  </conditionalFormatting>
  <conditionalFormatting sqref="T904">
    <cfRule type="cellIs" dxfId="591" priority="3977" operator="equal">
      <formula>"Кудрявцев Д."</formula>
    </cfRule>
    <cfRule type="cellIs" dxfId="590" priority="3978" operator="equal">
      <formula>"Кудрявцев Д."</formula>
    </cfRule>
    <cfRule type="cellIs" dxfId="589" priority="3979" operator="equal">
      <formula>"Кудрявцев Д."</formula>
    </cfRule>
    <cfRule type="cellIs" dxfId="588" priority="3980" operator="equal">
      <formula>"Кудрявцев Д."</formula>
    </cfRule>
  </conditionalFormatting>
  <conditionalFormatting sqref="T909 T913 T920 T929:T930 T943:T944 T965">
    <cfRule type="cellIs" dxfId="587" priority="3969" operator="equal">
      <formula>"Кудрявцев Д."</formula>
    </cfRule>
  </conditionalFormatting>
  <conditionalFormatting sqref="T909 T913 T920 T943:T944">
    <cfRule type="cellIs" dxfId="586" priority="3968" operator="equal">
      <formula>"Мартынов Д."</formula>
    </cfRule>
  </conditionalFormatting>
  <conditionalFormatting sqref="T909">
    <cfRule type="cellIs" dxfId="585" priority="3970" operator="equal">
      <formula>"Мартынов Д."</formula>
    </cfRule>
    <cfRule type="cellIs" dxfId="584" priority="3971" operator="equal">
      <formula>"Мартынов Д."</formula>
    </cfRule>
    <cfRule type="cellIs" dxfId="583" priority="3972" operator="equal">
      <formula>"Кудрявцев Д."</formula>
    </cfRule>
  </conditionalFormatting>
  <conditionalFormatting sqref="T912">
    <cfRule type="cellIs" dxfId="582" priority="3836" operator="equal">
      <formula>"Мартынов Д."</formula>
    </cfRule>
  </conditionalFormatting>
  <conditionalFormatting sqref="T913 T920 T943:T944">
    <cfRule type="cellIs" dxfId="581" priority="4085" operator="equal">
      <formula>"Кудрявцев Д."</formula>
    </cfRule>
  </conditionalFormatting>
  <conditionalFormatting sqref="T913 T920 T943:T945">
    <cfRule type="cellIs" dxfId="580" priority="4086" operator="equal">
      <formula>"Мартынов Д."</formula>
    </cfRule>
  </conditionalFormatting>
  <conditionalFormatting sqref="T913">
    <cfRule type="cellIs" dxfId="579" priority="4087" operator="equal">
      <formula>"Климанов А."</formula>
    </cfRule>
    <cfRule type="cellIs" dxfId="578" priority="4088" operator="equal">
      <formula>"Мелёшкин С."</formula>
    </cfRule>
    <cfRule type="cellIs" dxfId="577" priority="4089" operator="equal">
      <formula>"Иванов К."</formula>
    </cfRule>
    <cfRule type="cellIs" dxfId="576" priority="4090" operator="equal">
      <formula>"Протопопов А."</formula>
    </cfRule>
  </conditionalFormatting>
  <conditionalFormatting sqref="T916">
    <cfRule type="cellIs" dxfId="575" priority="3777" operator="equal">
      <formula>"Мартынов Д."</formula>
    </cfRule>
    <cfRule type="cellIs" dxfId="574" priority="3778" operator="equal">
      <formula>"Кудрявцев Д."</formula>
    </cfRule>
    <cfRule type="cellIs" dxfId="573" priority="3779" operator="equal">
      <formula>"Кудрявцев Д."</formula>
    </cfRule>
    <cfRule type="cellIs" dxfId="572" priority="3780" operator="equal">
      <formula>"Кудрявцев Д."</formula>
    </cfRule>
    <cfRule type="cellIs" dxfId="571" priority="3781" operator="equal">
      <formula>"Кудрявцев Д."</formula>
    </cfRule>
    <cfRule type="cellIs" dxfId="570" priority="3782" operator="equal">
      <formula>"Кудрявцев Д."</formula>
    </cfRule>
    <cfRule type="cellIs" dxfId="569" priority="3783" operator="equal">
      <formula>"Кудрявцев Д."</formula>
    </cfRule>
    <cfRule type="cellIs" dxfId="568" priority="3784" operator="equal">
      <formula>"Кудрявцев Д."</formula>
    </cfRule>
    <cfRule type="cellIs" dxfId="567" priority="3785" operator="equal">
      <formula>"Кудрявцев Д."</formula>
    </cfRule>
    <cfRule type="cellIs" dxfId="566" priority="3786" operator="equal">
      <formula>"Кудрявцев Д."</formula>
    </cfRule>
    <cfRule type="cellIs" dxfId="565" priority="3787" operator="equal">
      <formula>"Кудрявцев Д."</formula>
    </cfRule>
    <cfRule type="cellIs" dxfId="564" priority="3788" operator="equal">
      <formula>"Кудрявцев Д."</formula>
    </cfRule>
    <cfRule type="cellIs" dxfId="563" priority="3789" operator="equal">
      <formula>"Кудрявцев Д."</formula>
    </cfRule>
    <cfRule type="cellIs" dxfId="562" priority="3790" operator="equal">
      <formula>"Кудрявцев Д."</formula>
    </cfRule>
    <cfRule type="cellIs" dxfId="561" priority="3791" operator="equal">
      <formula>"Кудрявцев Д."</formula>
    </cfRule>
    <cfRule type="cellIs" dxfId="560" priority="3792" operator="equal">
      <formula>"Мартынов Д."</formula>
    </cfRule>
    <cfRule type="cellIs" dxfId="559" priority="3793" operator="equal">
      <formula>"Кудрявцев Д."</formula>
    </cfRule>
    <cfRule type="cellIs" dxfId="558" priority="3794" operator="equal">
      <formula>"Кудрявцев Д."</formula>
    </cfRule>
    <cfRule type="cellIs" dxfId="557" priority="3795" operator="equal">
      <formula>"Кудрявцев Д."</formula>
    </cfRule>
    <cfRule type="cellIs" dxfId="556" priority="3796" operator="equal">
      <formula>"Кудрявцев Д."</formula>
    </cfRule>
    <cfRule type="cellIs" dxfId="555" priority="3797" operator="equal">
      <formula>"Кудрявцев Д."</formula>
    </cfRule>
    <cfRule type="cellIs" dxfId="554" priority="3798" operator="equal">
      <formula>"Кудрявцев Д."</formula>
    </cfRule>
    <cfRule type="cellIs" dxfId="553" priority="3799" operator="equal">
      <formula>"Кудрявцев Д."</formula>
    </cfRule>
    <cfRule type="cellIs" dxfId="552" priority="3800" operator="equal">
      <formula>"Кудрявцев Д."</formula>
    </cfRule>
    <cfRule type="cellIs" dxfId="551" priority="3801" operator="equal">
      <formula>"Кудрявцев Д."</formula>
    </cfRule>
    <cfRule type="cellIs" dxfId="550" priority="3802" operator="equal">
      <formula>"Кудрявцев Д."</formula>
    </cfRule>
    <cfRule type="cellIs" dxfId="549" priority="3803" operator="equal">
      <formula>"Кудрявцев Д."</formula>
    </cfRule>
    <cfRule type="cellIs" dxfId="548" priority="3804" operator="equal">
      <formula>"Кудрявцев Д."</formula>
    </cfRule>
    <cfRule type="cellIs" dxfId="547" priority="3805" operator="equal">
      <formula>"Кудрявцев Д."</formula>
    </cfRule>
    <cfRule type="cellIs" dxfId="546" priority="3806" operator="equal">
      <formula>"Кудрявцев Д."</formula>
    </cfRule>
    <cfRule type="cellIs" dxfId="545" priority="3807" operator="equal">
      <formula>"Кудрявцев Д."</formula>
    </cfRule>
  </conditionalFormatting>
  <conditionalFormatting sqref="T917:T918">
    <cfRule type="cellIs" dxfId="544" priority="3840" operator="equal">
      <formula>"Кудрявцев Д."</formula>
    </cfRule>
    <cfRule type="cellIs" dxfId="543" priority="3841" operator="equal">
      <formula>"Мартынов Д."</formula>
    </cfRule>
    <cfRule type="cellIs" dxfId="542" priority="3842" operator="equal">
      <formula>"Климанов А."</formula>
    </cfRule>
    <cfRule type="cellIs" dxfId="541" priority="3843" operator="equal">
      <formula>"Мелёшкин С."</formula>
    </cfRule>
    <cfRule type="cellIs" dxfId="540" priority="3844" operator="equal">
      <formula>"Иванов К."</formula>
    </cfRule>
    <cfRule type="cellIs" dxfId="539" priority="3845" operator="equal">
      <formula>"Протопопов А."</formula>
    </cfRule>
  </conditionalFormatting>
  <conditionalFormatting sqref="T920:T922">
    <cfRule type="cellIs" dxfId="538" priority="3666" operator="equal">
      <formula>"Климанов А."</formula>
    </cfRule>
    <cfRule type="cellIs" dxfId="537" priority="3667" operator="equal">
      <formula>"Мелёшкин С."</formula>
    </cfRule>
    <cfRule type="cellIs" dxfId="536" priority="3668" operator="equal">
      <formula>"Иванов К."</formula>
    </cfRule>
    <cfRule type="cellIs" dxfId="535" priority="3669" operator="equal">
      <formula>"Протопопов А."</formula>
    </cfRule>
  </conditionalFormatting>
  <conditionalFormatting sqref="T921:T922">
    <cfRule type="cellIs" dxfId="534" priority="3664" operator="equal">
      <formula>"Кудрявцев Д."</formula>
    </cfRule>
    <cfRule type="cellIs" dxfId="533" priority="3665" operator="equal">
      <formula>"Мартынов Д."</formula>
    </cfRule>
  </conditionalFormatting>
  <conditionalFormatting sqref="T924:T925">
    <cfRule type="cellIs" dxfId="532" priority="3734" operator="equal">
      <formula>"Протопопов А."</formula>
    </cfRule>
    <cfRule type="cellIs" dxfId="531" priority="3735" operator="equal">
      <formula>"Иванов К."</formula>
    </cfRule>
    <cfRule type="cellIs" dxfId="530" priority="3736" operator="equal">
      <formula>"Мелёшкин С."</formula>
    </cfRule>
    <cfRule type="cellIs" dxfId="529" priority="3737" operator="equal">
      <formula>"Климанов А."</formula>
    </cfRule>
    <cfRule type="cellIs" dxfId="528" priority="3738" operator="equal">
      <formula>"Мартынов Д."</formula>
    </cfRule>
    <cfRule type="cellIs" dxfId="527" priority="3739" operator="equal">
      <formula>"Кудрявцев Д."</formula>
    </cfRule>
  </conditionalFormatting>
  <conditionalFormatting sqref="T925">
    <cfRule type="cellIs" dxfId="526" priority="3700" operator="equal">
      <formula>"Кудрявцев Д."</formula>
    </cfRule>
    <cfRule type="cellIs" dxfId="525" priority="3701" operator="equal">
      <formula>"Кудрявцев Д."</formula>
    </cfRule>
    <cfRule type="cellIs" dxfId="524" priority="3702" operator="equal">
      <formula>"Кудрявцев Д."</formula>
    </cfRule>
    <cfRule type="cellIs" dxfId="523" priority="3703" operator="equal">
      <formula>"Кудрявцев Д."</formula>
    </cfRule>
    <cfRule type="cellIs" dxfId="522" priority="3704" operator="equal">
      <formula>"Кудрявцев Д."</formula>
    </cfRule>
    <cfRule type="cellIs" dxfId="521" priority="3705" operator="equal">
      <formula>"Кудрявцев Д."</formula>
    </cfRule>
    <cfRule type="cellIs" dxfId="520" priority="3706" operator="equal">
      <formula>"Кудрявцев Д."</formula>
    </cfRule>
    <cfRule type="cellIs" dxfId="519" priority="3707" operator="equal">
      <formula>"Кудрявцев Д."</formula>
    </cfRule>
    <cfRule type="cellIs" dxfId="518" priority="3708" operator="equal">
      <formula>"Кудрявцев Д."</formula>
    </cfRule>
    <cfRule type="cellIs" dxfId="517" priority="3709" operator="equal">
      <formula>"Кудрявцев Д."</formula>
    </cfRule>
    <cfRule type="cellIs" dxfId="516" priority="3710" operator="equal">
      <formula>"Кудрявцев Д."</formula>
    </cfRule>
    <cfRule type="cellIs" dxfId="515" priority="3711" operator="equal">
      <formula>"Кудрявцев Д."</formula>
    </cfRule>
    <cfRule type="cellIs" dxfId="514" priority="3712" operator="equal">
      <formula>"Кудрявцев Д."</formula>
    </cfRule>
    <cfRule type="cellIs" dxfId="513" priority="3713" operator="equal">
      <formula>"Кудрявцев Д."</formula>
    </cfRule>
    <cfRule type="cellIs" dxfId="512" priority="3714" operator="equal">
      <formula>"Кудрявцев Д."</formula>
    </cfRule>
    <cfRule type="cellIs" dxfId="511" priority="3715" operator="equal">
      <formula>"Кудрявцев Д."</formula>
    </cfRule>
    <cfRule type="cellIs" dxfId="510" priority="3716" operator="equal">
      <formula>"Кудрявцев Д."</formula>
    </cfRule>
    <cfRule type="cellIs" dxfId="509" priority="3717" operator="equal">
      <formula>"Кудрявцев Д."</formula>
    </cfRule>
    <cfRule type="cellIs" dxfId="508" priority="3718" operator="equal">
      <formula>"Кудрявцев Д."</formula>
    </cfRule>
    <cfRule type="cellIs" dxfId="507" priority="3719" operator="equal">
      <formula>"Кудрявцев Д."</formula>
    </cfRule>
    <cfRule type="cellIs" dxfId="506" priority="3720" operator="equal">
      <formula>"Кудрявцев Д."</formula>
    </cfRule>
    <cfRule type="cellIs" dxfId="505" priority="3721" operator="equal">
      <formula>"Кудрявцев Д."</formula>
    </cfRule>
    <cfRule type="cellIs" dxfId="504" priority="3722" operator="equal">
      <formula>"Кудрявцев Д."</formula>
    </cfRule>
    <cfRule type="cellIs" dxfId="503" priority="3723" operator="equal">
      <formula>"Кудрявцев Д."</formula>
    </cfRule>
    <cfRule type="cellIs" dxfId="502" priority="3724" operator="equal">
      <formula>"Кудрявцев Д."</formula>
    </cfRule>
    <cfRule type="cellIs" dxfId="501" priority="3725" operator="equal">
      <formula>"Кудрявцев Д."</formula>
    </cfRule>
    <cfRule type="cellIs" dxfId="500" priority="3726" operator="equal">
      <formula>"Кудрявцев Д."</formula>
    </cfRule>
    <cfRule type="cellIs" dxfId="499" priority="3727" operator="equal">
      <formula>"Кудрявцев Д."</formula>
    </cfRule>
    <cfRule type="cellIs" dxfId="498" priority="3728" operator="equal">
      <formula>"Кудрявцев Д."</formula>
    </cfRule>
    <cfRule type="cellIs" dxfId="497" priority="3729" operator="equal">
      <formula>"Кудрявцев Д."</formula>
    </cfRule>
    <cfRule type="cellIs" dxfId="496" priority="3730" operator="equal">
      <formula>"Кудрявцев Д."</formula>
    </cfRule>
    <cfRule type="cellIs" dxfId="495" priority="3731" operator="equal">
      <formula>"Кудрявцев Д."</formula>
    </cfRule>
    <cfRule type="cellIs" dxfId="494" priority="3732" operator="equal">
      <formula>"Мартынов Д."</formula>
    </cfRule>
    <cfRule type="cellIs" dxfId="493" priority="3733" operator="equal">
      <formula>"Мартынов Д."</formula>
    </cfRule>
  </conditionalFormatting>
  <conditionalFormatting sqref="T928:T930">
    <cfRule type="cellIs" dxfId="492" priority="3643" operator="equal">
      <formula>"Мартынов Д."</formula>
    </cfRule>
    <cfRule type="cellIs" dxfId="491" priority="3644" operator="equal">
      <formula>"Климанов А."</formula>
    </cfRule>
    <cfRule type="cellIs" dxfId="490" priority="3645" operator="equal">
      <formula>"Мелёшкин С."</formula>
    </cfRule>
    <cfRule type="cellIs" dxfId="489" priority="3646" operator="equal">
      <formula>"Иванов К."</formula>
    </cfRule>
    <cfRule type="cellIs" dxfId="488" priority="3647" operator="equal">
      <formula>"Протопопов А."</formula>
    </cfRule>
  </conditionalFormatting>
  <conditionalFormatting sqref="T929:T930">
    <cfRule type="cellIs" dxfId="487" priority="3642" operator="equal">
      <formula>"Кудрявцев Д."</formula>
    </cfRule>
  </conditionalFormatting>
  <conditionalFormatting sqref="T930">
    <cfRule type="cellIs" dxfId="486" priority="3623" operator="equal">
      <formula>"Кудрявцев Д."</formula>
    </cfRule>
    <cfRule type="cellIs" dxfId="485" priority="3624" operator="equal">
      <formula>"Кудрявцев Д."</formula>
    </cfRule>
    <cfRule type="cellIs" dxfId="484" priority="3625" operator="equal">
      <formula>"Кудрявцев Д."</formula>
    </cfRule>
    <cfRule type="cellIs" dxfId="483" priority="3626" operator="equal">
      <formula>"Кудрявцев Д."</formula>
    </cfRule>
  </conditionalFormatting>
  <conditionalFormatting sqref="T932 T935:T936 T956:T957">
    <cfRule type="cellIs" dxfId="482" priority="3497" operator="equal">
      <formula>"Кудрявцев Д."</formula>
    </cfRule>
    <cfRule type="cellIs" dxfId="481" priority="3503" operator="equal">
      <formula>"Кудрявцев Д."</formula>
    </cfRule>
    <cfRule type="cellIs" dxfId="480" priority="3516" operator="equal">
      <formula>"Кудрявцев Д."</formula>
    </cfRule>
    <cfRule type="cellIs" dxfId="479" priority="3517" operator="equal">
      <formula>"Кудрявцев Д."</formula>
    </cfRule>
    <cfRule type="cellIs" dxfId="478" priority="3518" operator="equal">
      <formula>"Кудрявцев Д."</formula>
    </cfRule>
    <cfRule type="cellIs" dxfId="477" priority="3519" operator="equal">
      <formula>"Кудрявцев Д."</formula>
    </cfRule>
  </conditionalFormatting>
  <conditionalFormatting sqref="T932:T933 T935:T936 T956:T957">
    <cfRule type="cellIs" dxfId="476" priority="3520" operator="equal">
      <formula>"Кудрявцев Д."</formula>
    </cfRule>
  </conditionalFormatting>
  <conditionalFormatting sqref="T932:T933 T935:T936">
    <cfRule type="cellIs" dxfId="475" priority="3498" operator="equal">
      <formula>"Протопопов А."</formula>
    </cfRule>
    <cfRule type="cellIs" dxfId="474" priority="3499" operator="equal">
      <formula>"Иванов К."</formula>
    </cfRule>
    <cfRule type="cellIs" dxfId="473" priority="3500" operator="equal">
      <formula>"Мелёшкин С."</formula>
    </cfRule>
    <cfRule type="cellIs" dxfId="472" priority="3501" operator="equal">
      <formula>"Климанов А."</formula>
    </cfRule>
    <cfRule type="cellIs" dxfId="471" priority="3502" operator="equal">
      <formula>"Мартынов Д."</formula>
    </cfRule>
  </conditionalFormatting>
  <conditionalFormatting sqref="T939:T941">
    <cfRule type="cellIs" dxfId="470" priority="3346" operator="equal">
      <formula>"Кудрявцев Д."</formula>
    </cfRule>
    <cfRule type="cellIs" dxfId="469" priority="3347" operator="equal">
      <formula>"Мартынов Д."</formula>
    </cfRule>
    <cfRule type="cellIs" dxfId="468" priority="3348" operator="equal">
      <formula>"Климанов А."</formula>
    </cfRule>
    <cfRule type="cellIs" dxfId="467" priority="3349" operator="equal">
      <formula>"Мелёшкин С."</formula>
    </cfRule>
    <cfRule type="cellIs" dxfId="466" priority="3350" operator="equal">
      <formula>"Иванов К."</formula>
    </cfRule>
    <cfRule type="cellIs" dxfId="465" priority="3351" operator="equal">
      <formula>"Протопопов А."</formula>
    </cfRule>
  </conditionalFormatting>
  <conditionalFormatting sqref="T943:T945 T951:T952">
    <cfRule type="cellIs" dxfId="464" priority="3014" operator="equal">
      <formula>"Климанов А."</formula>
    </cfRule>
    <cfRule type="cellIs" dxfId="463" priority="3015" operator="equal">
      <formula>"Мелёшкин С."</formula>
    </cfRule>
    <cfRule type="cellIs" dxfId="462" priority="3016" operator="equal">
      <formula>"Иванов К."</formula>
    </cfRule>
    <cfRule type="cellIs" dxfId="461" priority="3017" operator="equal">
      <formula>"Протопопов А."</formula>
    </cfRule>
  </conditionalFormatting>
  <conditionalFormatting sqref="T944 T950">
    <cfRule type="cellIs" dxfId="460" priority="3190" operator="equal">
      <formula>"Мартынов Д."</formula>
    </cfRule>
  </conditionalFormatting>
  <conditionalFormatting sqref="T944">
    <cfRule type="cellIs" dxfId="459" priority="3186" operator="equal">
      <formula>"Кудрявцев Д."</formula>
    </cfRule>
    <cfRule type="cellIs" dxfId="458" priority="3187" operator="equal">
      <formula>"Кудрявцев Д."</formula>
    </cfRule>
    <cfRule type="cellIs" dxfId="457" priority="3188" operator="equal">
      <formula>"Кудрявцев Д."</formula>
    </cfRule>
    <cfRule type="cellIs" dxfId="456" priority="3189" operator="equal">
      <formula>"Кудрявцев Д."</formula>
    </cfRule>
  </conditionalFormatting>
  <conditionalFormatting sqref="T945 T951:T952">
    <cfRule type="cellIs" dxfId="455" priority="3012" operator="equal">
      <formula>"Кудрявцев Д."</formula>
    </cfRule>
    <cfRule type="cellIs" dxfId="454" priority="3013" operator="equal">
      <formula>"Мартынов Д."</formula>
    </cfRule>
  </conditionalFormatting>
  <conditionalFormatting sqref="T947">
    <cfRule type="cellIs" dxfId="453" priority="3335" operator="equal">
      <formula>"Кудрявцев Д."</formula>
    </cfRule>
    <cfRule type="cellIs" dxfId="452" priority="3336" operator="equal">
      <formula>"Кудрявцев Д."</formula>
    </cfRule>
    <cfRule type="cellIs" dxfId="451" priority="3337" operator="equal">
      <formula>"Кудрявцев Д."</formula>
    </cfRule>
    <cfRule type="cellIs" dxfId="450" priority="3338" operator="equal">
      <formula>"Кудрявцев Д."</formula>
    </cfRule>
    <cfRule type="cellIs" dxfId="449" priority="3851" operator="equal">
      <formula>"Кудрявцев Д."</formula>
    </cfRule>
  </conditionalFormatting>
  <conditionalFormatting sqref="T947:T948">
    <cfRule type="cellIs" dxfId="448" priority="3208" operator="equal">
      <formula>"Протопопов А."</formula>
    </cfRule>
    <cfRule type="cellIs" dxfId="447" priority="3209" operator="equal">
      <formula>"Иванов К."</formula>
    </cfRule>
    <cfRule type="cellIs" dxfId="446" priority="3210" operator="equal">
      <formula>"Мелёшкин С."</formula>
    </cfRule>
    <cfRule type="cellIs" dxfId="445" priority="3211" operator="equal">
      <formula>"Климанов А."</formula>
    </cfRule>
    <cfRule type="cellIs" dxfId="444" priority="3212" operator="equal">
      <formula>"Мартынов Д."</formula>
    </cfRule>
  </conditionalFormatting>
  <conditionalFormatting sqref="T948">
    <cfRule type="cellIs" dxfId="443" priority="3213" operator="equal">
      <formula>"Кудрявцев Д."</formula>
    </cfRule>
  </conditionalFormatting>
  <conditionalFormatting sqref="T956:T957">
    <cfRule type="cellIs" dxfId="442" priority="3007" operator="equal">
      <formula>"Кудрявцев Д."</formula>
    </cfRule>
    <cfRule type="cellIs" dxfId="441" priority="3008" operator="equal">
      <formula>"Кудрявцев Д."</formula>
    </cfRule>
    <cfRule type="cellIs" dxfId="440" priority="3009" operator="equal">
      <formula>"Кудрявцев Д."</formula>
    </cfRule>
    <cfRule type="cellIs" dxfId="439" priority="3010" operator="equal">
      <formula>"Кудрявцев Д."</formula>
    </cfRule>
  </conditionalFormatting>
  <conditionalFormatting sqref="T956:T959">
    <cfRule type="cellIs" dxfId="438" priority="2888" operator="equal">
      <formula>"Протопопов А."</formula>
    </cfRule>
    <cfRule type="cellIs" dxfId="437" priority="2889" operator="equal">
      <formula>"Иванов К."</formula>
    </cfRule>
    <cfRule type="cellIs" dxfId="436" priority="2890" operator="equal">
      <formula>"Мелёшкин С."</formula>
    </cfRule>
    <cfRule type="cellIs" dxfId="435" priority="2891" operator="equal">
      <formula>"Климанов А."</formula>
    </cfRule>
    <cfRule type="cellIs" dxfId="434" priority="2892" operator="equal">
      <formula>"Мартынов Д."</formula>
    </cfRule>
  </conditionalFormatting>
  <conditionalFormatting sqref="T957">
    <cfRule type="cellIs" dxfId="433" priority="2983" operator="equal">
      <formula>"Кудрявцев Д."</formula>
    </cfRule>
    <cfRule type="cellIs" dxfId="432" priority="2984" operator="equal">
      <formula>"Кудрявцев Д."</formula>
    </cfRule>
    <cfRule type="cellIs" dxfId="431" priority="2985" operator="equal">
      <formula>"Кудрявцев Д."</formula>
    </cfRule>
    <cfRule type="cellIs" dxfId="430" priority="2986" operator="equal">
      <formula>"Кудрявцев Д."</formula>
    </cfRule>
  </conditionalFormatting>
  <conditionalFormatting sqref="T958">
    <cfRule type="cellIs" dxfId="429" priority="3467" operator="equal">
      <formula>"Мартынов Д."</formula>
    </cfRule>
  </conditionalFormatting>
  <conditionalFormatting sqref="T958:T959">
    <cfRule type="cellIs" dxfId="428" priority="2893" operator="equal">
      <formula>"Кудрявцев Д."</formula>
    </cfRule>
  </conditionalFormatting>
  <conditionalFormatting sqref="T959">
    <cfRule type="cellIs" dxfId="427" priority="2894" operator="equal">
      <formula>"Кудрявцев Д."</formula>
    </cfRule>
  </conditionalFormatting>
  <conditionalFormatting sqref="T961:T962">
    <cfRule type="cellIs" dxfId="426" priority="4008" operator="equal">
      <formula>"Кудрявцев Д."</formula>
    </cfRule>
    <cfRule type="cellIs" dxfId="425" priority="4009" operator="equal">
      <formula>"Мартынов Д."</formula>
    </cfRule>
    <cfRule type="cellIs" dxfId="424" priority="4010" operator="equal">
      <formula>"Климанов А."</formula>
    </cfRule>
    <cfRule type="cellIs" dxfId="423" priority="4011" operator="equal">
      <formula>"Мелёшкин С."</formula>
    </cfRule>
    <cfRule type="cellIs" dxfId="422" priority="4012" operator="equal">
      <formula>"Иванов К."</formula>
    </cfRule>
    <cfRule type="cellIs" dxfId="421" priority="4013" operator="equal">
      <formula>"Протопопов А."</formula>
    </cfRule>
  </conditionalFormatting>
  <conditionalFormatting sqref="T970:T971">
    <cfRule type="cellIs" dxfId="420" priority="2800" operator="equal">
      <formula>"Протопопов А."</formula>
    </cfRule>
    <cfRule type="cellIs" dxfId="419" priority="2801" operator="equal">
      <formula>"Иванов К."</formula>
    </cfRule>
    <cfRule type="cellIs" dxfId="418" priority="2802" operator="equal">
      <formula>"Мелёшкин С."</formula>
    </cfRule>
    <cfRule type="cellIs" dxfId="417" priority="2803" operator="equal">
      <formula>"Климанов А."</formula>
    </cfRule>
    <cfRule type="cellIs" dxfId="416" priority="2804" operator="equal">
      <formula>"Мартынов Д."</formula>
    </cfRule>
    <cfRule type="cellIs" dxfId="415" priority="2805" operator="equal">
      <formula>"Кудрявцев Д."</formula>
    </cfRule>
  </conditionalFormatting>
  <conditionalFormatting sqref="T972">
    <cfRule type="cellIs" dxfId="414" priority="2779" operator="equal">
      <formula>"Кудрявцев Д."</formula>
    </cfRule>
  </conditionalFormatting>
  <conditionalFormatting sqref="T977">
    <cfRule type="cellIs" dxfId="413" priority="3395" operator="equal">
      <formula>"Протопопов А."</formula>
    </cfRule>
    <cfRule type="cellIs" dxfId="412" priority="3396" operator="equal">
      <formula>"Иванов К."</formula>
    </cfRule>
    <cfRule type="cellIs" dxfId="411" priority="3397" operator="equal">
      <formula>"Мелёшкин С."</formula>
    </cfRule>
    <cfRule type="cellIs" dxfId="410" priority="3398" operator="equal">
      <formula>"Климанов А."</formula>
    </cfRule>
    <cfRule type="cellIs" dxfId="409" priority="3399" operator="equal">
      <formula>"Мартынов Д."</formula>
    </cfRule>
    <cfRule type="cellIs" dxfId="408" priority="3400" operator="equal">
      <formula>"Кудрявцев Д."</formula>
    </cfRule>
  </conditionalFormatting>
  <conditionalFormatting sqref="T979 T1012 T1071">
    <cfRule type="cellIs" dxfId="407" priority="2195" operator="equal">
      <formula>"Мартынов Д."</formula>
    </cfRule>
  </conditionalFormatting>
  <conditionalFormatting sqref="T979 T1090:T1091">
    <cfRule type="cellIs" dxfId="406" priority="1301" operator="equal">
      <formula>"Кудрявцев Д."</formula>
    </cfRule>
  </conditionalFormatting>
  <conditionalFormatting sqref="T1001">
    <cfRule type="cellIs" dxfId="405" priority="2774" operator="equal">
      <formula>"Кудрявцев Д."</formula>
    </cfRule>
  </conditionalFormatting>
  <conditionalFormatting sqref="T1002">
    <cfRule type="cellIs" dxfId="404" priority="2730" operator="equal">
      <formula>"Кудрявцев Д."</formula>
    </cfRule>
  </conditionalFormatting>
  <conditionalFormatting sqref="T1003">
    <cfRule type="cellIs" dxfId="403" priority="2364" operator="equal">
      <formula>"Протопопов А."</formula>
    </cfRule>
    <cfRule type="cellIs" dxfId="402" priority="2365" operator="equal">
      <formula>"Иванов К."</formula>
    </cfRule>
    <cfRule type="cellIs" dxfId="401" priority="2366" operator="equal">
      <formula>"Мелёшкин С."</formula>
    </cfRule>
    <cfRule type="cellIs" dxfId="400" priority="2367" operator="equal">
      <formula>"Климанов А."</formula>
    </cfRule>
    <cfRule type="cellIs" dxfId="399" priority="2368" operator="equal">
      <formula>"Мартынов Д."</formula>
    </cfRule>
    <cfRule type="cellIs" dxfId="398" priority="2369" operator="equal">
      <formula>"Кудрявцев Д."</formula>
    </cfRule>
  </conditionalFormatting>
  <conditionalFormatting sqref="T1015 T1017">
    <cfRule type="cellIs" dxfId="397" priority="2775" operator="equal">
      <formula>"Кудрявцев Д."</formula>
    </cfRule>
  </conditionalFormatting>
  <conditionalFormatting sqref="T1016">
    <cfRule type="cellIs" dxfId="396" priority="2727" operator="equal">
      <formula>"Кудрявцев Д."</formula>
    </cfRule>
  </conditionalFormatting>
  <conditionalFormatting sqref="T1019:T1020">
    <cfRule type="cellIs" dxfId="395" priority="2776" operator="equal">
      <formula>"Кудрявцев Д."</formula>
    </cfRule>
  </conditionalFormatting>
  <conditionalFormatting sqref="T1022:T1023">
    <cfRule type="cellIs" dxfId="394" priority="2777" operator="equal">
      <formula>"Кудрявцев Д."</formula>
    </cfRule>
  </conditionalFormatting>
  <conditionalFormatting sqref="T1024">
    <cfRule type="cellIs" dxfId="393" priority="2735" operator="equal">
      <formula>"Кудрявцев Д."</formula>
    </cfRule>
  </conditionalFormatting>
  <conditionalFormatting sqref="T1026">
    <cfRule type="cellIs" dxfId="392" priority="2732" operator="equal">
      <formula>"Кудрявцев Д."</formula>
    </cfRule>
  </conditionalFormatting>
  <conditionalFormatting sqref="T1029">
    <cfRule type="cellIs" dxfId="391" priority="2688" operator="equal">
      <formula>"Кудрявцев Д."</formula>
    </cfRule>
    <cfRule type="cellIs" dxfId="390" priority="2689" operator="equal">
      <formula>"Кудрявцев Д."</formula>
    </cfRule>
    <cfRule type="cellIs" dxfId="389" priority="2690" operator="equal">
      <formula>"Кудрявцев Д."</formula>
    </cfRule>
    <cfRule type="cellIs" dxfId="388" priority="2691" operator="equal">
      <formula>"Кудрявцев Д."</formula>
    </cfRule>
    <cfRule type="cellIs" dxfId="387" priority="2692" operator="equal">
      <formula>"Кудрявцев Д."</formula>
    </cfRule>
    <cfRule type="cellIs" dxfId="386" priority="2693" operator="equal">
      <formula>"Кудрявцев Д."</formula>
    </cfRule>
    <cfRule type="cellIs" dxfId="385" priority="2694" operator="equal">
      <formula>"Кудрявцев Д."</formula>
    </cfRule>
    <cfRule type="cellIs" dxfId="384" priority="2695" operator="equal">
      <formula>"Кудрявцев Д."</formula>
    </cfRule>
    <cfRule type="cellIs" dxfId="383" priority="2696" operator="equal">
      <formula>"Кудрявцев Д."</formula>
    </cfRule>
    <cfRule type="cellIs" dxfId="382" priority="2697" operator="equal">
      <formula>"Кудрявцев Д."</formula>
    </cfRule>
    <cfRule type="cellIs" dxfId="381" priority="2698" operator="equal">
      <formula>"Кудрявцев Д."</formula>
    </cfRule>
    <cfRule type="cellIs" dxfId="380" priority="2699" operator="equal">
      <formula>"Кудрявцев Д."</formula>
    </cfRule>
    <cfRule type="cellIs" dxfId="379" priority="2700" operator="equal">
      <formula>"Кудрявцев Д."</formula>
    </cfRule>
    <cfRule type="cellIs" dxfId="378" priority="2701" operator="equal">
      <formula>"Кудрявцев Д."</formula>
    </cfRule>
    <cfRule type="cellIs" dxfId="377" priority="2702" operator="equal">
      <formula>"Кудрявцев Д."</formula>
    </cfRule>
    <cfRule type="cellIs" dxfId="376" priority="2703" operator="equal">
      <formula>"Кудрявцев Д."</formula>
    </cfRule>
    <cfRule type="cellIs" dxfId="375" priority="2704" operator="equal">
      <formula>"Кудрявцев Д."</formula>
    </cfRule>
    <cfRule type="cellIs" dxfId="374" priority="2705" operator="equal">
      <formula>"Кудрявцев Д."</formula>
    </cfRule>
    <cfRule type="cellIs" dxfId="373" priority="2706" operator="equal">
      <formula>"Кудрявцев Д."</formula>
    </cfRule>
    <cfRule type="cellIs" dxfId="372" priority="2707" operator="equal">
      <formula>"Кудрявцев Д."</formula>
    </cfRule>
    <cfRule type="cellIs" dxfId="371" priority="2708" operator="equal">
      <formula>"Кудрявцев Д."</formula>
    </cfRule>
    <cfRule type="cellIs" dxfId="370" priority="2709" operator="equal">
      <formula>"Кудрявцев Д."</formula>
    </cfRule>
    <cfRule type="cellIs" dxfId="369" priority="2710" operator="equal">
      <formula>"Кудрявцев Д."</formula>
    </cfRule>
    <cfRule type="cellIs" dxfId="368" priority="2711" operator="equal">
      <formula>"Кудрявцев Д."</formula>
    </cfRule>
    <cfRule type="cellIs" dxfId="367" priority="2712" operator="equal">
      <formula>"Кудрявцев Д."</formula>
    </cfRule>
    <cfRule type="cellIs" dxfId="366" priority="2713" operator="equal">
      <formula>"Кудрявцев Д."</formula>
    </cfRule>
    <cfRule type="cellIs" dxfId="365" priority="2714" operator="equal">
      <formula>"Кудрявцев Д."</formula>
    </cfRule>
    <cfRule type="cellIs" dxfId="364" priority="2715" operator="equal">
      <formula>"Кудрявцев Д."</formula>
    </cfRule>
    <cfRule type="cellIs" dxfId="363" priority="2716" operator="equal">
      <formula>"Кудрявцев Д."</formula>
    </cfRule>
    <cfRule type="cellIs" dxfId="362" priority="2717" operator="equal">
      <formula>"Кудрявцев Д."</formula>
    </cfRule>
    <cfRule type="cellIs" dxfId="361" priority="2718" operator="equal">
      <formula>"Кудрявцев Д."</formula>
    </cfRule>
    <cfRule type="cellIs" dxfId="360" priority="2719" operator="equal">
      <formula>"Кудрявцев Д."</formula>
    </cfRule>
    <cfRule type="cellIs" dxfId="359" priority="2720" operator="equal">
      <formula>"Мартынов Д."</formula>
    </cfRule>
  </conditionalFormatting>
  <conditionalFormatting sqref="T1030">
    <cfRule type="cellIs" dxfId="358" priority="1826" operator="equal">
      <formula>"Протопопов А."</formula>
    </cfRule>
    <cfRule type="cellIs" dxfId="357" priority="1827" operator="equal">
      <formula>"Иванов К."</formula>
    </cfRule>
    <cfRule type="cellIs" dxfId="356" priority="1828" operator="equal">
      <formula>"Мелёшкин С."</formula>
    </cfRule>
    <cfRule type="cellIs" dxfId="355" priority="1829" operator="equal">
      <formula>"Климанов А."</formula>
    </cfRule>
    <cfRule type="cellIs" dxfId="354" priority="1830" operator="equal">
      <formula>"Мартынов Д."</formula>
    </cfRule>
    <cfRule type="cellIs" dxfId="353" priority="1831" operator="equal">
      <formula>"Кудрявцев Д."</formula>
    </cfRule>
  </conditionalFormatting>
  <conditionalFormatting sqref="T1031">
    <cfRule type="cellIs" dxfId="352" priority="2683" operator="equal">
      <formula>"Мартынов Д."</formula>
    </cfRule>
  </conditionalFormatting>
  <conditionalFormatting sqref="T1032">
    <cfRule type="cellIs" dxfId="351" priority="2681" operator="equal">
      <formula>"Мартынов Д."</formula>
    </cfRule>
  </conditionalFormatting>
  <conditionalFormatting sqref="T1033">
    <cfRule type="cellIs" dxfId="350" priority="2673" operator="equal">
      <formula>"Мартынов Д."</formula>
    </cfRule>
  </conditionalFormatting>
  <conditionalFormatting sqref="T1034">
    <cfRule type="cellIs" dxfId="349" priority="2670" operator="equal">
      <formula>"Мартынов Д."</formula>
    </cfRule>
  </conditionalFormatting>
  <conditionalFormatting sqref="T1035">
    <cfRule type="cellIs" dxfId="348" priority="2668" operator="equal">
      <formula>"Мартынов Д."</formula>
    </cfRule>
  </conditionalFormatting>
  <conditionalFormatting sqref="T1036">
    <cfRule type="cellIs" dxfId="347" priority="2667" operator="equal">
      <formula>"Мартынов Д."</formula>
    </cfRule>
  </conditionalFormatting>
  <conditionalFormatting sqref="T1037">
    <cfRule type="cellIs" dxfId="346" priority="2587" operator="equal">
      <formula>"Кудрявцев Д."</formula>
    </cfRule>
    <cfRule type="cellIs" dxfId="345" priority="2588" operator="equal">
      <formula>"Кудрявцев Д."</formula>
    </cfRule>
    <cfRule type="cellIs" dxfId="344" priority="2589" operator="equal">
      <formula>"Кудрявцев Д."</formula>
    </cfRule>
    <cfRule type="cellIs" dxfId="343" priority="2590" operator="equal">
      <formula>"Кудрявцев Д."</formula>
    </cfRule>
    <cfRule type="cellIs" dxfId="342" priority="2591" operator="equal">
      <formula>"Кудрявцев Д."</formula>
    </cfRule>
    <cfRule type="cellIs" dxfId="341" priority="2592" operator="equal">
      <formula>"Кудрявцев Д."</formula>
    </cfRule>
    <cfRule type="cellIs" dxfId="340" priority="2593" operator="equal">
      <formula>"Кудрявцев Д."</formula>
    </cfRule>
    <cfRule type="cellIs" dxfId="339" priority="2594" operator="equal">
      <formula>"Кудрявцев Д."</formula>
    </cfRule>
    <cfRule type="cellIs" dxfId="338" priority="2595" operator="equal">
      <formula>"Кудрявцев Д."</formula>
    </cfRule>
    <cfRule type="cellIs" dxfId="337" priority="2596" operator="equal">
      <formula>"Кудрявцев Д."</formula>
    </cfRule>
    <cfRule type="cellIs" dxfId="336" priority="2597" operator="equal">
      <formula>"Кудрявцев Д."</formula>
    </cfRule>
    <cfRule type="cellIs" dxfId="335" priority="2598" operator="equal">
      <formula>"Кудрявцев Д."</formula>
    </cfRule>
    <cfRule type="cellIs" dxfId="334" priority="2599" operator="equal">
      <formula>"Кудрявцев Д."</formula>
    </cfRule>
    <cfRule type="cellIs" dxfId="333" priority="2600" operator="equal">
      <formula>"Кудрявцев Д."</formula>
    </cfRule>
    <cfRule type="cellIs" dxfId="332" priority="2601" operator="equal">
      <formula>"Кудрявцев Д."</formula>
    </cfRule>
    <cfRule type="cellIs" dxfId="331" priority="2602" operator="equal">
      <formula>"Кудрявцев Д."</formula>
    </cfRule>
    <cfRule type="cellIs" dxfId="330" priority="2603" operator="equal">
      <formula>"Кудрявцев Д."</formula>
    </cfRule>
    <cfRule type="cellIs" dxfId="329" priority="2604" operator="equal">
      <formula>"Кудрявцев Д."</formula>
    </cfRule>
    <cfRule type="cellIs" dxfId="328" priority="2605" operator="equal">
      <formula>"Кудрявцев Д."</formula>
    </cfRule>
    <cfRule type="cellIs" dxfId="327" priority="2606" operator="equal">
      <formula>"Кудрявцев Д."</formula>
    </cfRule>
    <cfRule type="cellIs" dxfId="326" priority="2607" operator="equal">
      <formula>"Кудрявцев Д."</formula>
    </cfRule>
    <cfRule type="cellIs" dxfId="325" priority="2608" operator="equal">
      <formula>"Кудрявцев Д."</formula>
    </cfRule>
    <cfRule type="cellIs" dxfId="324" priority="2609" operator="equal">
      <formula>"Кудрявцев Д."</formula>
    </cfRule>
    <cfRule type="cellIs" dxfId="323" priority="2610" operator="equal">
      <formula>"Кудрявцев Д."</formula>
    </cfRule>
    <cfRule type="cellIs" dxfId="322" priority="2611" operator="equal">
      <formula>"Кудрявцев Д."</formula>
    </cfRule>
    <cfRule type="cellIs" dxfId="321" priority="2612" operator="equal">
      <formula>"Кудрявцев Д."</formula>
    </cfRule>
    <cfRule type="cellIs" dxfId="320" priority="2613" operator="equal">
      <formula>"Кудрявцев Д."</formula>
    </cfRule>
    <cfRule type="cellIs" dxfId="319" priority="2614" operator="equal">
      <formula>"Кудрявцев Д."</formula>
    </cfRule>
    <cfRule type="cellIs" dxfId="318" priority="2615" operator="equal">
      <formula>"Кудрявцев Д."</formula>
    </cfRule>
    <cfRule type="cellIs" dxfId="317" priority="2616" operator="equal">
      <formula>"Кудрявцев Д."</formula>
    </cfRule>
    <cfRule type="cellIs" dxfId="316" priority="2617" operator="equal">
      <formula>"Кудрявцев Д."</formula>
    </cfRule>
    <cfRule type="cellIs" dxfId="315" priority="2618" operator="equal">
      <formula>"Кудрявцев Д."</formula>
    </cfRule>
    <cfRule type="cellIs" dxfId="314" priority="2619" operator="equal">
      <formula>"Мартынов Д."</formula>
    </cfRule>
    <cfRule type="cellIs" dxfId="313" priority="2620" operator="equal">
      <formula>"Мартынов Д."</formula>
    </cfRule>
    <cfRule type="cellIs" dxfId="312" priority="2621" operator="equal">
      <formula>"Кудрявцев Д."</formula>
    </cfRule>
    <cfRule type="cellIs" dxfId="311" priority="2622" operator="equal">
      <formula>"Кудрявцев Д."</formula>
    </cfRule>
    <cfRule type="cellIs" dxfId="310" priority="2623" operator="equal">
      <formula>"Кудрявцев Д."</formula>
    </cfRule>
    <cfRule type="cellIs" dxfId="309" priority="2624" operator="equal">
      <formula>"Кудрявцев Д."</formula>
    </cfRule>
    <cfRule type="cellIs" dxfId="308" priority="2625" operator="equal">
      <formula>"Кудрявцев Д."</formula>
    </cfRule>
    <cfRule type="cellIs" dxfId="307" priority="2626" operator="equal">
      <formula>"Кудрявцев Д."</formula>
    </cfRule>
    <cfRule type="cellIs" dxfId="306" priority="2627" operator="equal">
      <formula>"Кудрявцев Д."</formula>
    </cfRule>
    <cfRule type="cellIs" dxfId="305" priority="2628" operator="equal">
      <formula>"Кудрявцев Д."</formula>
    </cfRule>
    <cfRule type="cellIs" dxfId="304" priority="2629" operator="equal">
      <formula>"Кудрявцев Д."</formula>
    </cfRule>
    <cfRule type="cellIs" dxfId="303" priority="2630" operator="equal">
      <formula>"Кудрявцев Д."</formula>
    </cfRule>
    <cfRule type="cellIs" dxfId="302" priority="2631" operator="equal">
      <formula>"Кудрявцев Д."</formula>
    </cfRule>
    <cfRule type="cellIs" dxfId="301" priority="2632" operator="equal">
      <formula>"Кудрявцев Д."</formula>
    </cfRule>
    <cfRule type="cellIs" dxfId="300" priority="2633" operator="equal">
      <formula>"Кудрявцев Д."</formula>
    </cfRule>
    <cfRule type="cellIs" dxfId="299" priority="2634" operator="equal">
      <formula>"Кудрявцев Д."</formula>
    </cfRule>
    <cfRule type="cellIs" dxfId="298" priority="2635" operator="equal">
      <formula>"Мартынов Д."</formula>
    </cfRule>
    <cfRule type="cellIs" dxfId="297" priority="2636" operator="equal">
      <formula>"Кудрявцев Д."</formula>
    </cfRule>
    <cfRule type="cellIs" dxfId="296" priority="2637" operator="equal">
      <formula>"Кудрявцев Д."</formula>
    </cfRule>
    <cfRule type="cellIs" dxfId="295" priority="2638" operator="equal">
      <formula>"Кудрявцев Д."</formula>
    </cfRule>
    <cfRule type="cellIs" dxfId="294" priority="2639" operator="equal">
      <formula>"Кудрявцев Д."</formula>
    </cfRule>
    <cfRule type="cellIs" dxfId="293" priority="2640" operator="equal">
      <formula>"Кудрявцев Д."</formula>
    </cfRule>
    <cfRule type="cellIs" dxfId="292" priority="2641" operator="equal">
      <formula>"Кудрявцев Д."</formula>
    </cfRule>
    <cfRule type="cellIs" dxfId="291" priority="2642" operator="equal">
      <formula>"Кудрявцев Д."</formula>
    </cfRule>
    <cfRule type="cellIs" dxfId="290" priority="2643" operator="equal">
      <formula>"Кудрявцев Д."</formula>
    </cfRule>
    <cfRule type="cellIs" dxfId="289" priority="2644" operator="equal">
      <formula>"Кудрявцев Д."</formula>
    </cfRule>
    <cfRule type="cellIs" dxfId="288" priority="2645" operator="equal">
      <formula>"Кудрявцев Д."</formula>
    </cfRule>
    <cfRule type="cellIs" dxfId="287" priority="2646" operator="equal">
      <formula>"Кудрявцев Д."</formula>
    </cfRule>
    <cfRule type="cellIs" dxfId="286" priority="2647" operator="equal">
      <formula>"Кудрявцев Д."</formula>
    </cfRule>
    <cfRule type="cellIs" dxfId="285" priority="2648" operator="equal">
      <formula>"Кудрявцев Д."</formula>
    </cfRule>
    <cfRule type="cellIs" dxfId="284" priority="2649" operator="equal">
      <formula>"Кудрявцев Д."</formula>
    </cfRule>
    <cfRule type="cellIs" dxfId="283" priority="2650" operator="equal">
      <formula>"Кудрявцев Д."</formula>
    </cfRule>
    <cfRule type="cellIs" dxfId="282" priority="2651" operator="equal">
      <formula>"Кудрявцев Д."</formula>
    </cfRule>
    <cfRule type="cellIs" dxfId="281" priority="2652" operator="equal">
      <formula>"Кудрявцев Д."</formula>
    </cfRule>
    <cfRule type="cellIs" dxfId="280" priority="2653" operator="equal">
      <formula>"Кудрявцев Д."</formula>
    </cfRule>
    <cfRule type="cellIs" dxfId="279" priority="2654" operator="equal">
      <formula>"Кудрявцев Д."</formula>
    </cfRule>
    <cfRule type="cellIs" dxfId="278" priority="2655" operator="equal">
      <formula>"Мартынов Д."</formula>
    </cfRule>
  </conditionalFormatting>
  <conditionalFormatting sqref="T1037:T1038">
    <cfRule type="cellIs" dxfId="277" priority="2586" operator="equal">
      <formula>"Кудрявцев Д."</formula>
    </cfRule>
  </conditionalFormatting>
  <conditionalFormatting sqref="T1040">
    <cfRule type="cellIs" dxfId="276" priority="2562" operator="equal">
      <formula>"Мартынов Д."</formula>
    </cfRule>
    <cfRule type="cellIs" dxfId="275" priority="2564" operator="equal">
      <formula>"Кудрявцев Д."</formula>
    </cfRule>
    <cfRule type="cellIs" dxfId="274" priority="2565" operator="equal">
      <formula>"Кудрявцев Д."</formula>
    </cfRule>
    <cfRule type="cellIs" dxfId="273" priority="2566" operator="equal">
      <formula>"Кудрявцев Д."</formula>
    </cfRule>
    <cfRule type="cellIs" dxfId="272" priority="2567" operator="equal">
      <formula>"Кудрявцев Д."</formula>
    </cfRule>
    <cfRule type="cellIs" dxfId="271" priority="2568" operator="equal">
      <formula>"Кудрявцев Д."</formula>
    </cfRule>
    <cfRule type="cellIs" dxfId="270" priority="2569" operator="equal">
      <formula>"Кудрявцев Д."</formula>
    </cfRule>
    <cfRule type="cellIs" dxfId="269" priority="2570" operator="equal">
      <formula>"Кудрявцев Д."</formula>
    </cfRule>
    <cfRule type="cellIs" dxfId="268" priority="2571" operator="equal">
      <formula>"Кудрявцев Д."</formula>
    </cfRule>
    <cfRule type="cellIs" dxfId="267" priority="2572" operator="equal">
      <formula>"Кудрявцев Д."</formula>
    </cfRule>
    <cfRule type="cellIs" dxfId="266" priority="2573" operator="equal">
      <formula>"Кудрявцев Д."</formula>
    </cfRule>
    <cfRule type="cellIs" dxfId="265" priority="2574" operator="equal">
      <formula>"Кудрявцев Д."</formula>
    </cfRule>
    <cfRule type="cellIs" dxfId="264" priority="2575" operator="equal">
      <formula>"Кудрявцев Д."</formula>
    </cfRule>
    <cfRule type="cellIs" dxfId="263" priority="2576" operator="equal">
      <formula>"Кудрявцев Д."</formula>
    </cfRule>
    <cfRule type="cellIs" dxfId="262" priority="2577" operator="equal">
      <formula>"Кудрявцев Д."</formula>
    </cfRule>
    <cfRule type="cellIs" dxfId="261" priority="2578" operator="equal">
      <formula>"Кудрявцев Д."</formula>
    </cfRule>
    <cfRule type="cellIs" dxfId="260" priority="2579" operator="equal">
      <formula>"Мартынов Д."</formula>
    </cfRule>
    <cfRule type="cellIs" dxfId="259" priority="2580" operator="equal">
      <formula>"Кудрявцев Д."</formula>
    </cfRule>
    <cfRule type="cellIs" dxfId="258" priority="2581" operator="equal">
      <formula>"Мартынов Д."</formula>
    </cfRule>
  </conditionalFormatting>
  <conditionalFormatting sqref="T1040:T1041">
    <cfRule type="cellIs" dxfId="257" priority="2563" operator="equal">
      <formula>"Кудрявцев Д."</formula>
    </cfRule>
  </conditionalFormatting>
  <conditionalFormatting sqref="T1043">
    <cfRule type="cellIs" dxfId="256" priority="2552" operator="equal">
      <formula>"Мартынов Д."</formula>
    </cfRule>
    <cfRule type="cellIs" dxfId="255" priority="2553" operator="equal">
      <formula>"Кудрявцев Д."</formula>
    </cfRule>
    <cfRule type="cellIs" dxfId="254" priority="2554" operator="equal">
      <formula>"Мартынов Д."</formula>
    </cfRule>
  </conditionalFormatting>
  <conditionalFormatting sqref="T1044:T1045">
    <cfRule type="cellIs" dxfId="253" priority="2533" operator="equal">
      <formula>"Кудрявцев Д."</formula>
    </cfRule>
    <cfRule type="cellIs" dxfId="252" priority="2534" operator="equal">
      <formula>"Мартынов Д."</formula>
    </cfRule>
    <cfRule type="cellIs" dxfId="251" priority="2535" operator="equal">
      <formula>"Климанов А."</formula>
    </cfRule>
    <cfRule type="cellIs" dxfId="250" priority="2536" operator="equal">
      <formula>"Мелёшкин С."</formula>
    </cfRule>
    <cfRule type="cellIs" dxfId="249" priority="2537" operator="equal">
      <formula>"Иванов К."</formula>
    </cfRule>
    <cfRule type="cellIs" dxfId="248" priority="2538" operator="equal">
      <formula>"Протопопов А."</formula>
    </cfRule>
  </conditionalFormatting>
  <conditionalFormatting sqref="T1047">
    <cfRule type="cellIs" dxfId="247" priority="2528" operator="equal">
      <formula>"Кудрявцев Д."</formula>
    </cfRule>
    <cfRule type="cellIs" dxfId="246" priority="2529" operator="equal">
      <formula>"Мартынов Д."</formula>
    </cfRule>
  </conditionalFormatting>
  <conditionalFormatting sqref="T1048:T1050">
    <cfRule type="cellIs" dxfId="245" priority="2423" operator="equal">
      <formula>"Протопопов А."</formula>
    </cfRule>
    <cfRule type="cellIs" dxfId="244" priority="2424" operator="equal">
      <formula>"Иванов К."</formula>
    </cfRule>
    <cfRule type="cellIs" dxfId="243" priority="2425" operator="equal">
      <formula>"Мелёшкин С."</formula>
    </cfRule>
    <cfRule type="cellIs" dxfId="242" priority="2426" operator="equal">
      <formula>"Климанов А."</formula>
    </cfRule>
    <cfRule type="cellIs" dxfId="241" priority="2427" operator="equal">
      <formula>"Мартынов Д."</formula>
    </cfRule>
    <cfRule type="cellIs" dxfId="240" priority="2438" operator="equal">
      <formula>"Кудрявцев Д."</formula>
    </cfRule>
  </conditionalFormatting>
  <conditionalFormatting sqref="T1050">
    <cfRule type="cellIs" dxfId="239" priority="2428" operator="equal">
      <formula>"Кудрявцев Д."</formula>
    </cfRule>
    <cfRule type="cellIs" dxfId="238" priority="2429" operator="equal">
      <formula>"Кудрявцев Д."</formula>
    </cfRule>
    <cfRule type="cellIs" dxfId="237" priority="2430" operator="equal">
      <formula>"Кудрявцев Д."</formula>
    </cfRule>
    <cfRule type="cellIs" dxfId="236" priority="2431" operator="equal">
      <formula>"Кудрявцев Д."</formula>
    </cfRule>
    <cfRule type="cellIs" dxfId="235" priority="2432" operator="equal">
      <formula>"Кудрявцев Д."</formula>
    </cfRule>
  </conditionalFormatting>
  <conditionalFormatting sqref="T1052">
    <cfRule type="colorScale" priority="2421">
      <colorScale>
        <cfvo type="min"/>
        <cfvo type="percent" val="50"/>
        <cfvo type="max"/>
        <color rgb="FF6AA84F"/>
        <color rgb="FF674EA7"/>
        <color rgb="FF9900FF"/>
      </colorScale>
    </cfRule>
    <cfRule type="colorScale" priority="2422">
      <colorScale>
        <cfvo type="min"/>
        <cfvo type="max"/>
        <color rgb="FFFFFFFF"/>
        <color rgb="FF57BB8A"/>
      </colorScale>
    </cfRule>
  </conditionalFormatting>
  <conditionalFormatting sqref="T1054">
    <cfRule type="cellIs" dxfId="234" priority="2346" operator="equal">
      <formula>"Мартынов Д."</formula>
    </cfRule>
    <cfRule type="cellIs" dxfId="233" priority="2347" operator="equal">
      <formula>"Кудрявцев Д."</formula>
    </cfRule>
    <cfRule type="cellIs" dxfId="232" priority="2348" operator="equal">
      <formula>"Кудрявцев Д."</formula>
    </cfRule>
    <cfRule type="cellIs" dxfId="231" priority="2349" operator="equal">
      <formula>"Мартынов Д."</formula>
    </cfRule>
    <cfRule type="cellIs" dxfId="230" priority="2350" operator="equal">
      <formula>"Кудрявцев Д."</formula>
    </cfRule>
    <cfRule type="cellIs" dxfId="229" priority="2351" operator="equal">
      <formula>"Кудрявцев Д."</formula>
    </cfRule>
    <cfRule type="cellIs" dxfId="228" priority="2352" operator="equal">
      <formula>"Кудрявцев Д."</formula>
    </cfRule>
    <cfRule type="cellIs" dxfId="227" priority="2353" operator="equal">
      <formula>"Кудрявцев Д."</formula>
    </cfRule>
    <cfRule type="cellIs" dxfId="226" priority="2354" operator="equal">
      <formula>"Кудрявцев Д."</formula>
    </cfRule>
    <cfRule type="cellIs" dxfId="225" priority="2355" operator="equal">
      <formula>"Кудрявцев Д."</formula>
    </cfRule>
    <cfRule type="cellIs" dxfId="224" priority="2356" operator="equal">
      <formula>"Кудрявцев Д."</formula>
    </cfRule>
    <cfRule type="cellIs" dxfId="223" priority="2357" operator="equal">
      <formula>"Кудрявцев Д."</formula>
    </cfRule>
    <cfRule type="cellIs" dxfId="222" priority="2358" operator="equal">
      <formula>"Протопопов А."</formula>
    </cfRule>
    <cfRule type="cellIs" dxfId="221" priority="2359" operator="equal">
      <formula>"Иванов К."</formula>
    </cfRule>
    <cfRule type="cellIs" dxfId="220" priority="2360" operator="equal">
      <formula>"Мелёшкин С."</formula>
    </cfRule>
    <cfRule type="cellIs" dxfId="219" priority="2361" operator="equal">
      <formula>"Климанов А."</formula>
    </cfRule>
    <cfRule type="cellIs" dxfId="218" priority="2362" operator="equal">
      <formula>"Мартынов Д."</formula>
    </cfRule>
    <cfRule type="cellIs" dxfId="217" priority="2363" operator="equal">
      <formula>"Кудрявцев Д."</formula>
    </cfRule>
  </conditionalFormatting>
  <conditionalFormatting sqref="T1056:T1058">
    <cfRule type="cellIs" dxfId="216" priority="1700" operator="equal">
      <formula>"Протопопов А."</formula>
    </cfRule>
    <cfRule type="cellIs" dxfId="215" priority="1701" operator="equal">
      <formula>"Иванов К."</formula>
    </cfRule>
    <cfRule type="cellIs" dxfId="214" priority="1702" operator="equal">
      <formula>"Мелёшкин С."</formula>
    </cfRule>
    <cfRule type="cellIs" dxfId="213" priority="1703" operator="equal">
      <formula>"Климанов А."</formula>
    </cfRule>
    <cfRule type="cellIs" dxfId="212" priority="1704" operator="equal">
      <formula>"Мартынов Д."</formula>
    </cfRule>
    <cfRule type="cellIs" dxfId="211" priority="1705" operator="equal">
      <formula>"Кудрявцев Д."</formula>
    </cfRule>
  </conditionalFormatting>
  <conditionalFormatting sqref="T1059 T1064">
    <cfRule type="cellIs" dxfId="210" priority="2256" operator="equal">
      <formula>"Кудрявцев Д."</formula>
    </cfRule>
  </conditionalFormatting>
  <conditionalFormatting sqref="T1061:T1062">
    <cfRule type="cellIs" dxfId="209" priority="2235" operator="equal">
      <formula>"Протопопов А."</formula>
    </cfRule>
    <cfRule type="cellIs" dxfId="208" priority="2236" operator="equal">
      <formula>"Иванов К."</formula>
    </cfRule>
    <cfRule type="cellIs" dxfId="207" priority="2237" operator="equal">
      <formula>"Мелёшкин С."</formula>
    </cfRule>
    <cfRule type="cellIs" dxfId="206" priority="2238" operator="equal">
      <formula>"Климанов А."</formula>
    </cfRule>
    <cfRule type="cellIs" dxfId="205" priority="2239" operator="equal">
      <formula>"Мартынов Д."</formula>
    </cfRule>
    <cfRule type="cellIs" dxfId="204" priority="2240" operator="equal">
      <formula>"Кудрявцев Д."</formula>
    </cfRule>
  </conditionalFormatting>
  <conditionalFormatting sqref="T1065">
    <cfRule type="cellIs" dxfId="203" priority="2217" operator="equal">
      <formula>"Мартынов Д."</formula>
    </cfRule>
    <cfRule type="cellIs" dxfId="202" priority="2218" operator="equal">
      <formula>"Кудрявцев Д."</formula>
    </cfRule>
    <cfRule type="cellIs" dxfId="201" priority="2222" operator="equal">
      <formula>"Протопопов А."</formula>
    </cfRule>
    <cfRule type="cellIs" dxfId="200" priority="2223" operator="equal">
      <formula>"Иванов К."</formula>
    </cfRule>
    <cfRule type="cellIs" dxfId="199" priority="2224" operator="equal">
      <formula>"Мелёшкин С."</formula>
    </cfRule>
    <cfRule type="cellIs" dxfId="198" priority="2225" operator="equal">
      <formula>"Климанов А."</formula>
    </cfRule>
    <cfRule type="cellIs" dxfId="197" priority="2226" operator="equal">
      <formula>"Мартынов Д."</formula>
    </cfRule>
    <cfRule type="cellIs" dxfId="196" priority="2227" operator="equal">
      <formula>"Кудрявцев Д."</formula>
    </cfRule>
  </conditionalFormatting>
  <conditionalFormatting sqref="T1070">
    <cfRule type="cellIs" dxfId="195" priority="2197" operator="equal">
      <formula>"Протопопов А."</formula>
    </cfRule>
    <cfRule type="cellIs" dxfId="194" priority="2198" operator="equal">
      <formula>"Иванов К."</formula>
    </cfRule>
    <cfRule type="cellIs" dxfId="193" priority="2199" operator="equal">
      <formula>"Мелёшкин С."</formula>
    </cfRule>
    <cfRule type="cellIs" dxfId="192" priority="2200" operator="equal">
      <formula>"Климанов А."</formula>
    </cfRule>
    <cfRule type="cellIs" dxfId="191" priority="2201" operator="equal">
      <formula>"Мартынов Д."</formula>
    </cfRule>
    <cfRule type="cellIs" dxfId="190" priority="2202" operator="equal">
      <formula>"Кудрявцев Д."</formula>
    </cfRule>
  </conditionalFormatting>
  <conditionalFormatting sqref="T1071 T1078 T1088">
    <cfRule type="cellIs" dxfId="189" priority="2203" operator="equal">
      <formula>"Кудрявцев Д."</formula>
    </cfRule>
  </conditionalFormatting>
  <conditionalFormatting sqref="T1072:T1088 T1092">
    <cfRule type="cellIs" dxfId="188" priority="1306" operator="equal">
      <formula>"Кудрявцев Д."</formula>
    </cfRule>
    <cfRule type="cellIs" dxfId="187" priority="1307" operator="equal">
      <formula>"Мартынов Д."</formula>
    </cfRule>
    <cfRule type="cellIs" dxfId="186" priority="1308" operator="equal">
      <formula>"Климанов А."</formula>
    </cfRule>
    <cfRule type="cellIs" dxfId="185" priority="1309" operator="equal">
      <formula>"Мелёшкин С."</formula>
    </cfRule>
    <cfRule type="cellIs" dxfId="184" priority="1310" operator="equal">
      <formula>"Иванов К."</formula>
    </cfRule>
    <cfRule type="cellIs" dxfId="183" priority="1311" operator="equal">
      <formula>"Протопопов А."</formula>
    </cfRule>
  </conditionalFormatting>
  <conditionalFormatting sqref="T1128:T1131">
    <cfRule type="cellIs" dxfId="182" priority="1154" operator="equal">
      <formula>"Кудрявцев Д."</formula>
    </cfRule>
  </conditionalFormatting>
  <conditionalFormatting sqref="T1137 T1145:T1149 T1152">
    <cfRule type="cellIs" dxfId="181" priority="1112" operator="equal">
      <formula>"Кудрявцев Д."</formula>
    </cfRule>
  </conditionalFormatting>
  <conditionalFormatting sqref="T1137 T1146 T1148:T1149">
    <cfRule type="cellIs" dxfId="180" priority="1122" operator="equal">
      <formula>"Мартынов Д."</formula>
    </cfRule>
  </conditionalFormatting>
  <conditionalFormatting sqref="T1137 T1146:T1151">
    <cfRule type="cellIs" dxfId="179" priority="1116" operator="equal">
      <formula>"Кудрявцев Д."</formula>
    </cfRule>
    <cfRule type="cellIs" dxfId="178" priority="1117" operator="equal">
      <formula>"Мартынов Д."</formula>
    </cfRule>
    <cfRule type="cellIs" dxfId="177" priority="1118" operator="equal">
      <formula>"Климанов А."</formula>
    </cfRule>
    <cfRule type="cellIs" dxfId="176" priority="1119" operator="equal">
      <formula>"Мелёшкин С."</formula>
    </cfRule>
    <cfRule type="cellIs" dxfId="175" priority="1120" operator="equal">
      <formula>"Иванов К."</formula>
    </cfRule>
    <cfRule type="cellIs" dxfId="174" priority="1121" operator="equal">
      <formula>"Протопопов А."</formula>
    </cfRule>
  </conditionalFormatting>
  <conditionalFormatting sqref="T1138:T1139">
    <cfRule type="cellIs" dxfId="173" priority="1132" operator="equal">
      <formula>"Кудрявцев Д."</formula>
    </cfRule>
  </conditionalFormatting>
  <conditionalFormatting sqref="T1142">
    <cfRule type="cellIs" dxfId="172" priority="1130" operator="equal">
      <formula>"Мартынов Д."</formula>
    </cfRule>
  </conditionalFormatting>
  <conditionalFormatting sqref="T1143">
    <cfRule type="cellIs" dxfId="171" priority="1123" operator="equal">
      <formula>"Кудрявцев Д."</formula>
    </cfRule>
  </conditionalFormatting>
  <conditionalFormatting sqref="T1145">
    <cfRule type="cellIs" dxfId="170" priority="1113" operator="equal">
      <formula>"Кудрявцев Д."</formula>
    </cfRule>
  </conditionalFormatting>
  <conditionalFormatting sqref="T1153:T1177 T1184:T1186 T1188">
    <cfRule type="cellIs" dxfId="169" priority="1033" operator="equal">
      <formula>"Кудрявцев Д."</formula>
    </cfRule>
    <cfRule type="cellIs" dxfId="168" priority="1035" operator="equal">
      <formula>"Кудрявцев Д."</formula>
    </cfRule>
  </conditionalFormatting>
  <conditionalFormatting sqref="T1153:T1177 T1185:T1186">
    <cfRule type="cellIs" dxfId="167" priority="1034" operator="equal">
      <formula>"Кудрявцев Д."</formula>
    </cfRule>
    <cfRule type="cellIs" dxfId="166" priority="1037" operator="equal">
      <formula>"Кудрявцев Д."</formula>
    </cfRule>
  </conditionalFormatting>
  <conditionalFormatting sqref="T1178">
    <cfRule type="cellIs" dxfId="165" priority="423" operator="equal">
      <formula>"Кудрявцев Д."</formula>
    </cfRule>
  </conditionalFormatting>
  <conditionalFormatting sqref="T1179">
    <cfRule type="cellIs" dxfId="164" priority="1018" operator="equal">
      <formula>"Мартынов Д."</formula>
    </cfRule>
  </conditionalFormatting>
  <conditionalFormatting sqref="T1180">
    <cfRule type="cellIs" dxfId="163" priority="360" operator="equal">
      <formula>"Протопопов А."</formula>
    </cfRule>
    <cfRule type="cellIs" dxfId="162" priority="361" operator="equal">
      <formula>"Иванов К."</formula>
    </cfRule>
    <cfRule type="cellIs" dxfId="161" priority="362" operator="equal">
      <formula>"Мелёшкин С."</formula>
    </cfRule>
    <cfRule type="cellIs" dxfId="160" priority="363" operator="equal">
      <formula>"Климанов А."</formula>
    </cfRule>
    <cfRule type="cellIs" dxfId="159" priority="364" operator="equal">
      <formula>"Мартынов Д."</formula>
    </cfRule>
    <cfRule type="cellIs" dxfId="158" priority="365" operator="equal">
      <formula>"Кудрявцев Д."</formula>
    </cfRule>
    <cfRule type="cellIs" dxfId="157" priority="366" operator="equal">
      <formula>"Кудрявцев Д."</formula>
    </cfRule>
    <cfRule type="cellIs" dxfId="156" priority="367" operator="equal">
      <formula>"Кудрявцев Д."</formula>
    </cfRule>
    <cfRule type="cellIs" dxfId="155" priority="368" operator="equal">
      <formula>"Кудрявцев Д."</formula>
    </cfRule>
    <cfRule type="cellIs" dxfId="154" priority="369" operator="equal">
      <formula>"Кудрявцев Д."</formula>
    </cfRule>
    <cfRule type="cellIs" dxfId="153" priority="370" operator="equal">
      <formula>"Кудрявцев Д."</formula>
    </cfRule>
  </conditionalFormatting>
  <conditionalFormatting sqref="T1183">
    <cfRule type="cellIs" dxfId="152" priority="641" operator="equal">
      <formula>"Кудрявцев Д."</formula>
    </cfRule>
    <cfRule type="cellIs" dxfId="151" priority="642" operator="equal">
      <formula>"Мартынов Д."</formula>
    </cfRule>
    <cfRule type="cellIs" dxfId="150" priority="643" operator="equal">
      <formula>"Климанов А."</formula>
    </cfRule>
    <cfRule type="cellIs" dxfId="149" priority="644" operator="equal">
      <formula>"Мелёшкин С."</formula>
    </cfRule>
    <cfRule type="cellIs" dxfId="148" priority="645" operator="equal">
      <formula>"Иванов К."</formula>
    </cfRule>
    <cfRule type="cellIs" dxfId="147" priority="646" operator="equal">
      <formula>"Протопопов А."</formula>
    </cfRule>
  </conditionalFormatting>
  <conditionalFormatting sqref="T1187">
    <cfRule type="cellIs" dxfId="146" priority="997" operator="equal">
      <formula>"Мартынов Д."</formula>
    </cfRule>
  </conditionalFormatting>
  <conditionalFormatting sqref="T1189 T1191">
    <cfRule type="cellIs" dxfId="145" priority="975" operator="equal">
      <formula>"Кудрявцев Д."</formula>
    </cfRule>
    <cfRule type="cellIs" dxfId="144" priority="976" operator="equal">
      <formula>"Кудрявцев Д."</formula>
    </cfRule>
    <cfRule type="cellIs" dxfId="143" priority="977" operator="equal">
      <formula>"Кудрявцев Д."</formula>
    </cfRule>
    <cfRule type="cellIs" dxfId="142" priority="978" operator="equal">
      <formula>"Кудрявцев Д."</formula>
    </cfRule>
    <cfRule type="cellIs" dxfId="141" priority="979" operator="equal">
      <formula>"Кудрявцев Д."</formula>
    </cfRule>
    <cfRule type="cellIs" dxfId="140" priority="980" operator="equal">
      <formula>"Кудрявцев Д."</formula>
    </cfRule>
    <cfRule type="cellIs" dxfId="139" priority="981" operator="equal">
      <formula>"Кудрявцев Д."</formula>
    </cfRule>
    <cfRule type="cellIs" dxfId="138" priority="982" operator="equal">
      <formula>"Кудрявцев Д."</formula>
    </cfRule>
    <cfRule type="cellIs" dxfId="137" priority="983" operator="equal">
      <formula>"Кудрявцев Д."</formula>
    </cfRule>
    <cfRule type="cellIs" dxfId="136" priority="984" operator="equal">
      <formula>"Кудрявцев Д."</formula>
    </cfRule>
    <cfRule type="cellIs" dxfId="135" priority="985" operator="equal">
      <formula>"Кудрявцев Д."</formula>
    </cfRule>
    <cfRule type="cellIs" dxfId="134" priority="986" operator="equal">
      <formula>"Кудрявцев Д."</formula>
    </cfRule>
    <cfRule type="cellIs" dxfId="133" priority="987" operator="equal">
      <formula>"Кудрявцев Д."</formula>
    </cfRule>
    <cfRule type="cellIs" dxfId="132" priority="988" operator="equal">
      <formula>"Мартынов Д."</formula>
    </cfRule>
  </conditionalFormatting>
  <conditionalFormatting sqref="T1189">
    <cfRule type="cellIs" dxfId="131" priority="994" operator="equal">
      <formula>"Кудрявцев Д."</formula>
    </cfRule>
    <cfRule type="cellIs" dxfId="130" priority="995" operator="equal">
      <formula>"Кудрявцев Д."</formula>
    </cfRule>
    <cfRule type="cellIs" dxfId="129" priority="996" operator="equal">
      <formula>"Мартынов Д."</formula>
    </cfRule>
  </conditionalFormatting>
  <conditionalFormatting sqref="T1190">
    <cfRule type="cellIs" dxfId="128" priority="853" operator="equal">
      <formula>"Мартынов Д."</formula>
    </cfRule>
  </conditionalFormatting>
  <conditionalFormatting sqref="T1192">
    <cfRule type="cellIs" dxfId="127" priority="931" operator="equal">
      <formula>"Кудрявцев Д."</formula>
    </cfRule>
    <cfRule type="cellIs" dxfId="126" priority="932" operator="equal">
      <formula>"Кудрявцев Д."</formula>
    </cfRule>
    <cfRule type="cellIs" dxfId="125" priority="933" operator="equal">
      <formula>"Кудрявцев Д."</formula>
    </cfRule>
    <cfRule type="cellIs" dxfId="124" priority="934" operator="equal">
      <formula>"Кудрявцев Д."</formula>
    </cfRule>
    <cfRule type="cellIs" dxfId="123" priority="935" operator="equal">
      <formula>"Кудрявцев Д."</formula>
    </cfRule>
    <cfRule type="cellIs" dxfId="122" priority="936" operator="equal">
      <formula>"Кудрявцев Д."</formula>
    </cfRule>
    <cfRule type="cellIs" dxfId="121" priority="937" operator="equal">
      <formula>"Кудрявцев Д."</formula>
    </cfRule>
    <cfRule type="cellIs" dxfId="120" priority="938" operator="equal">
      <formula>"Кудрявцев Д."</formula>
    </cfRule>
    <cfRule type="cellIs" dxfId="119" priority="939" operator="equal">
      <formula>"Кудрявцев Д."</formula>
    </cfRule>
    <cfRule type="cellIs" dxfId="118" priority="940" operator="equal">
      <formula>"Кудрявцев Д."</formula>
    </cfRule>
    <cfRule type="cellIs" dxfId="117" priority="941" operator="equal">
      <formula>"Кудрявцев Д."</formula>
    </cfRule>
    <cfRule type="cellIs" dxfId="116" priority="942" operator="equal">
      <formula>"Кудрявцев Д."</formula>
    </cfRule>
    <cfRule type="cellIs" dxfId="115" priority="943" operator="equal">
      <formula>"Кудрявцев Д."</formula>
    </cfRule>
    <cfRule type="cellIs" dxfId="114" priority="944" operator="equal">
      <formula>"Кудрявцев Д."</formula>
    </cfRule>
    <cfRule type="cellIs" dxfId="113" priority="945" operator="equal">
      <formula>"Кудрявцев Д."</formula>
    </cfRule>
    <cfRule type="cellIs" dxfId="112" priority="946" operator="equal">
      <formula>"Кудрявцев Д."</formula>
    </cfRule>
    <cfRule type="cellIs" dxfId="111" priority="947" operator="equal">
      <formula>"Кудрявцев Д."</formula>
    </cfRule>
    <cfRule type="cellIs" dxfId="110" priority="948" operator="equal">
      <formula>"Кудрявцев Д."</formula>
    </cfRule>
    <cfRule type="cellIs" dxfId="109" priority="949" operator="equal">
      <formula>"Кудрявцев Д."</formula>
    </cfRule>
    <cfRule type="cellIs" dxfId="108" priority="950" operator="equal">
      <formula>"Кудрявцев Д."</formula>
    </cfRule>
    <cfRule type="cellIs" dxfId="107" priority="951" operator="equal">
      <formula>"Кудрявцев Д."</formula>
    </cfRule>
    <cfRule type="cellIs" dxfId="106" priority="952" operator="equal">
      <formula>"Кудрявцев Д."</formula>
    </cfRule>
    <cfRule type="cellIs" dxfId="105" priority="953" operator="equal">
      <formula>"Кудрявцев Д."</formula>
    </cfRule>
    <cfRule type="cellIs" dxfId="104" priority="954" operator="equal">
      <formula>"Кудрявцев Д."</formula>
    </cfRule>
    <cfRule type="cellIs" dxfId="103" priority="955" operator="equal">
      <formula>"Кудрявцев Д."</formula>
    </cfRule>
    <cfRule type="cellIs" dxfId="102" priority="956" operator="equal">
      <formula>"Кудрявцев Д."</formula>
    </cfRule>
    <cfRule type="cellIs" dxfId="101" priority="957" operator="equal">
      <formula>"Кудрявцев Д."</formula>
    </cfRule>
    <cfRule type="cellIs" dxfId="100" priority="958" operator="equal">
      <formula>"Кудрявцев Д."</formula>
    </cfRule>
    <cfRule type="cellIs" dxfId="99" priority="959" operator="equal">
      <formula>"Кудрявцев Д."</formula>
    </cfRule>
    <cfRule type="cellIs" dxfId="98" priority="960" operator="equal">
      <formula>"Кудрявцев Д."</formula>
    </cfRule>
    <cfRule type="cellIs" dxfId="97" priority="961" operator="equal">
      <formula>"Кудрявцев Д."</formula>
    </cfRule>
    <cfRule type="cellIs" dxfId="96" priority="962" operator="equal">
      <formula>"Кудрявцев Д."</formula>
    </cfRule>
    <cfRule type="cellIs" dxfId="95" priority="963" operator="equal">
      <formula>"Кудрявцев Д."</formula>
    </cfRule>
    <cfRule type="cellIs" dxfId="94" priority="964" operator="equal">
      <formula>"Кудрявцев Д."</formula>
    </cfRule>
    <cfRule type="cellIs" dxfId="93" priority="965" operator="equal">
      <formula>"Кудрявцев Д."</formula>
    </cfRule>
    <cfRule type="cellIs" dxfId="92" priority="966" operator="equal">
      <formula>"Кудрявцев Д."</formula>
    </cfRule>
    <cfRule type="cellIs" dxfId="91" priority="967" operator="equal">
      <formula>"Мартынов Д."</formula>
    </cfRule>
  </conditionalFormatting>
  <conditionalFormatting sqref="T1193">
    <cfRule type="cellIs" dxfId="90" priority="734" operator="equal">
      <formula>"Протопопов А."</formula>
    </cfRule>
    <cfRule type="cellIs" dxfId="89" priority="735" operator="equal">
      <formula>"Иванов К."</formula>
    </cfRule>
    <cfRule type="cellIs" dxfId="88" priority="736" operator="equal">
      <formula>"Мелёшкин С."</formula>
    </cfRule>
    <cfRule type="cellIs" dxfId="87" priority="737" operator="equal">
      <formula>"Климанов А."</formula>
    </cfRule>
    <cfRule type="cellIs" dxfId="86" priority="738" operator="equal">
      <formula>"Мартынов Д."</formula>
    </cfRule>
    <cfRule type="cellIs" dxfId="85" priority="739" operator="equal">
      <formula>"Кудрявцев Д."</formula>
    </cfRule>
  </conditionalFormatting>
  <conditionalFormatting sqref="T1195:T1198">
    <cfRule type="cellIs" dxfId="84" priority="62" operator="equal">
      <formula>"Кудрявцев Д."</formula>
    </cfRule>
  </conditionalFormatting>
  <conditionalFormatting sqref="T1195:T1201">
    <cfRule type="cellIs" dxfId="83" priority="26" operator="equal">
      <formula>"Протопопов А."</formula>
    </cfRule>
    <cfRule type="cellIs" dxfId="82" priority="27" operator="equal">
      <formula>"Иванов К."</formula>
    </cfRule>
    <cfRule type="cellIs" dxfId="81" priority="28" operator="equal">
      <formula>"Мелёшкин С."</formula>
    </cfRule>
    <cfRule type="cellIs" dxfId="80" priority="29" operator="equal">
      <formula>"Климанов А."</formula>
    </cfRule>
    <cfRule type="cellIs" dxfId="79" priority="30" operator="equal">
      <formula>"Мартынов Д."</formula>
    </cfRule>
  </conditionalFormatting>
  <conditionalFormatting sqref="T1197">
    <cfRule type="cellIs" dxfId="78" priority="42" operator="equal">
      <formula>"Кудрявцев Д."</formula>
    </cfRule>
    <cfRule type="cellIs" dxfId="77" priority="43" operator="equal">
      <formula>"Кудрявцев Д."</formula>
    </cfRule>
    <cfRule type="cellIs" dxfId="76" priority="44" operator="equal">
      <formula>"Кудрявцев Д."</formula>
    </cfRule>
    <cfRule type="cellIs" dxfId="75" priority="45" operator="equal">
      <formula>"Кудрявцев Д."</formula>
    </cfRule>
    <cfRule type="cellIs" dxfId="74" priority="51" operator="equal">
      <formula>"Кудрявцев Д."</formula>
    </cfRule>
    <cfRule type="cellIs" dxfId="73" priority="58" operator="equal">
      <formula>"Кудрявцев Д."</formula>
    </cfRule>
    <cfRule type="cellIs" dxfId="72" priority="59" operator="equal">
      <formula>"Кудрявцев Д."</formula>
    </cfRule>
    <cfRule type="cellIs" dxfId="71" priority="60" operator="equal">
      <formula>"Кудрявцев Д."</formula>
    </cfRule>
    <cfRule type="cellIs" dxfId="70" priority="61" operator="equal">
      <formula>"Кудрявцев Д."</formula>
    </cfRule>
  </conditionalFormatting>
  <conditionalFormatting sqref="T1199:T1201">
    <cfRule type="cellIs" dxfId="69" priority="31" operator="equal">
      <formula>"Кудрявцев Д."</formula>
    </cfRule>
  </conditionalFormatting>
  <conditionalFormatting sqref="T1202">
    <cfRule type="cellIs" dxfId="68" priority="857" operator="equal">
      <formula>"Кудрявцев Д."</formula>
    </cfRule>
    <cfRule type="cellIs" dxfId="67" priority="858" operator="equal">
      <formula>"Кудрявцев Д."</formula>
    </cfRule>
    <cfRule type="cellIs" dxfId="66" priority="859" operator="equal">
      <formula>"Кудрявцев Д."</formula>
    </cfRule>
    <cfRule type="cellIs" dxfId="65" priority="860" operator="equal">
      <formula>"Кудрявцев Д."</formula>
    </cfRule>
    <cfRule type="cellIs" dxfId="64" priority="861" operator="equal">
      <formula>"Мартынов Д."</formula>
    </cfRule>
    <cfRule type="cellIs" dxfId="63" priority="862" operator="equal">
      <formula>"Кудрявцев Д."</formula>
    </cfRule>
    <cfRule type="cellIs" dxfId="62" priority="863" operator="equal">
      <formula>"Кудрявцев Д."</formula>
    </cfRule>
    <cfRule type="cellIs" dxfId="61" priority="864" operator="equal">
      <formula>"Кудрявцев Д."</formula>
    </cfRule>
    <cfRule type="cellIs" dxfId="60" priority="865" operator="equal">
      <formula>"Кудрявцев Д."</formula>
    </cfRule>
    <cfRule type="cellIs" dxfId="59" priority="866" operator="equal">
      <formula>"Мартынов Д."</formula>
    </cfRule>
  </conditionalFormatting>
  <conditionalFormatting sqref="T1204">
    <cfRule type="cellIs" dxfId="58" priority="773" operator="equal">
      <formula>"Протопопов А."</formula>
    </cfRule>
    <cfRule type="cellIs" dxfId="57" priority="774" operator="equal">
      <formula>"Иванов К."</formula>
    </cfRule>
    <cfRule type="cellIs" dxfId="56" priority="775" operator="equal">
      <formula>"Мелёшкин С."</formula>
    </cfRule>
    <cfRule type="cellIs" dxfId="55" priority="776" operator="equal">
      <formula>"Климанов А."</formula>
    </cfRule>
    <cfRule type="cellIs" dxfId="54" priority="777" operator="equal">
      <formula>"Мартынов Д."</formula>
    </cfRule>
    <cfRule type="cellIs" dxfId="53" priority="778" operator="equal">
      <formula>"Кудрявцев Д."</formula>
    </cfRule>
  </conditionalFormatting>
  <conditionalFormatting sqref="T1206">
    <cfRule type="cellIs" dxfId="52" priority="1004" operator="equal">
      <formula>"Мартынов Д."</formula>
    </cfRule>
  </conditionalFormatting>
  <conditionalFormatting sqref="T1209:T1219">
    <cfRule type="cellIs" dxfId="51" priority="1036" operator="equal">
      <formula>"Кудрявцев Д."</formula>
    </cfRule>
  </conditionalFormatting>
  <conditionalFormatting sqref="T1221">
    <cfRule type="cellIs" dxfId="50" priority="833" operator="equal">
      <formula>"Протопопов А."</formula>
    </cfRule>
    <cfRule type="cellIs" dxfId="49" priority="834" operator="equal">
      <formula>"Иванов К."</formula>
    </cfRule>
    <cfRule type="cellIs" dxfId="48" priority="835" operator="equal">
      <formula>"Мелёшкин С."</formula>
    </cfRule>
    <cfRule type="cellIs" dxfId="47" priority="836" operator="equal">
      <formula>"Климанов А."</formula>
    </cfRule>
    <cfRule type="cellIs" dxfId="46" priority="837" operator="equal">
      <formula>"Мартынов Д."</formula>
    </cfRule>
    <cfRule type="cellIs" dxfId="45" priority="838" operator="equal">
      <formula>"Кудрявцев Д."</formula>
    </cfRule>
  </conditionalFormatting>
  <conditionalFormatting sqref="T1223">
    <cfRule type="cellIs" dxfId="44" priority="649" operator="equal">
      <formula>"Мартынов Д."</formula>
    </cfRule>
  </conditionalFormatting>
  <conditionalFormatting sqref="U1194">
    <cfRule type="cellIs" dxfId="43" priority="605" operator="equal">
      <formula>"Протопопов А."</formula>
    </cfRule>
    <cfRule type="cellIs" dxfId="42" priority="606" operator="equal">
      <formula>"Иванов К."</formula>
    </cfRule>
    <cfRule type="cellIs" dxfId="41" priority="607" operator="equal">
      <formula>"Мелёшкин С."</formula>
    </cfRule>
    <cfRule type="cellIs" dxfId="40" priority="608" operator="equal">
      <formula>"Климанов А."</formula>
    </cfRule>
    <cfRule type="cellIs" dxfId="39" priority="609" operator="equal">
      <formula>"Мартынов Д."</formula>
    </cfRule>
    <cfRule type="cellIs" dxfId="38" priority="610" operator="equal">
      <formula>"Кудрявцев Д."</formula>
    </cfRule>
    <cfRule type="cellIs" dxfId="37" priority="635" operator="equal">
      <formula>"Кудрявцев Д."</formula>
    </cfRule>
    <cfRule type="cellIs" dxfId="36" priority="636" operator="equal">
      <formula>"Кудрявцев Д."</formula>
    </cfRule>
    <cfRule type="cellIs" dxfId="35" priority="637" operator="equal">
      <formula>"Кудрявцев Д."</formula>
    </cfRule>
    <cfRule type="cellIs" dxfId="34" priority="638" operator="equal">
      <formula>"Кудрявцев Д."</formula>
    </cfRule>
  </conditionalFormatting>
  <conditionalFormatting sqref="V723">
    <cfRule type="cellIs" dxfId="33" priority="5351" operator="equal">
      <formula>"Кудрявцев Д."</formula>
    </cfRule>
    <cfRule type="cellIs" dxfId="32" priority="5352" operator="equal">
      <formula>"Кудрявцев Д."</formula>
    </cfRule>
    <cfRule type="cellIs" dxfId="31" priority="5353" operator="equal">
      <formula>"Кудрявцев Д."</formula>
    </cfRule>
    <cfRule type="cellIs" dxfId="30" priority="5354" operator="equal">
      <formula>"Кудрявцев Д."</formula>
    </cfRule>
    <cfRule type="cellIs" dxfId="29" priority="5355" operator="equal">
      <formula>"Кудрявцев Д."</formula>
    </cfRule>
    <cfRule type="cellIs" dxfId="28" priority="5356" operator="equal">
      <formula>"Кудрявцев Д."</formula>
    </cfRule>
    <cfRule type="cellIs" dxfId="27" priority="5357" operator="equal">
      <formula>"Кудрявцев Д."</formula>
    </cfRule>
  </conditionalFormatting>
  <conditionalFormatting sqref="V815">
    <cfRule type="cellIs" dxfId="26" priority="4688" operator="equal">
      <formula>"Кудрявцев Д."</formula>
    </cfRule>
    <cfRule type="cellIs" dxfId="25" priority="4689" operator="equal">
      <formula>"Кудрявцев Д."</formula>
    </cfRule>
    <cfRule type="cellIs" dxfId="24" priority="4690" operator="equal">
      <formula>"Кудрявцев Д."</formula>
    </cfRule>
    <cfRule type="cellIs" dxfId="23" priority="4691" operator="equal">
      <formula>"Кудрявцев Д."</formula>
    </cfRule>
  </conditionalFormatting>
  <conditionalFormatting sqref="I1228">
    <cfRule type="containsText" dxfId="21" priority="2" operator="containsText" text="workstation">
      <formula>NOT(ISERROR(SEARCH(("workstation"),(I1228))))</formula>
    </cfRule>
  </conditionalFormatting>
  <conditionalFormatting sqref="T1228">
    <cfRule type="cellIs" dxfId="19" priority="4" operator="equal">
      <formula>"Кудрявцев Д."</formula>
    </cfRule>
  </conditionalFormatting>
  <conditionalFormatting sqref="T1228">
    <cfRule type="cellIs" dxfId="18" priority="5" operator="equal">
      <formula>"Мартынов Д."</formula>
    </cfRule>
  </conditionalFormatting>
  <conditionalFormatting sqref="T1228">
    <cfRule type="cellIs" dxfId="17" priority="6" operator="equal">
      <formula>"Климанов А."</formula>
    </cfRule>
  </conditionalFormatting>
  <conditionalFormatting sqref="T1228">
    <cfRule type="cellIs" dxfId="16" priority="7" operator="equal">
      <formula>"Мелёшкин С."</formula>
    </cfRule>
  </conditionalFormatting>
  <conditionalFormatting sqref="T1228">
    <cfRule type="cellIs" dxfId="15" priority="8" operator="equal">
      <formula>"Иванов К."</formula>
    </cfRule>
  </conditionalFormatting>
  <conditionalFormatting sqref="T1228">
    <cfRule type="cellIs" dxfId="14" priority="9" operator="equal">
      <formula>"Протопопов А."</formula>
    </cfRule>
  </conditionalFormatting>
  <conditionalFormatting sqref="T1227">
    <cfRule type="cellIs" dxfId="7" priority="16" operator="equal">
      <formula>"Протопопов А."</formula>
    </cfRule>
  </conditionalFormatting>
  <conditionalFormatting sqref="T1227">
    <cfRule type="cellIs" dxfId="6" priority="17" operator="equal">
      <formula>"Иванов К."</formula>
    </cfRule>
  </conditionalFormatting>
  <conditionalFormatting sqref="T1227">
    <cfRule type="cellIs" dxfId="5" priority="18" operator="equal">
      <formula>"Мелёшкин С."</formula>
    </cfRule>
  </conditionalFormatting>
  <conditionalFormatting sqref="T1227">
    <cfRule type="cellIs" dxfId="4" priority="19" operator="equal">
      <formula>"Климанов А."</formula>
    </cfRule>
  </conditionalFormatting>
  <conditionalFormatting sqref="T1227">
    <cfRule type="cellIs" dxfId="3" priority="20" operator="equal">
      <formula>"Мартынов Д."</formula>
    </cfRule>
  </conditionalFormatting>
  <conditionalFormatting sqref="T1227">
    <cfRule type="cellIs" dxfId="2" priority="21" operator="equal">
      <formula>"Кудрявцев Д."</formula>
    </cfRule>
  </conditionalFormatting>
  <conditionalFormatting sqref="I1227">
    <cfRule type="containsText" dxfId="1" priority="22" operator="containsText" text="workstation">
      <formula>NOT(ISERROR(SEARCH(("workstation"),(I1227))))</formula>
    </cfRule>
  </conditionalFormatting>
  <hyperlinks>
    <hyperlink ref="B73" r:id="rId1" display="https://rs-gwm.ru/record/employee/170193326096389331" xr:uid="{00000000-0004-0000-0000-000001000000}"/>
    <hyperlink ref="B1121" r:id="rId2" display="https://rs-gwm.ru/record/employee/170193347392055175" xr:uid="{00000000-0004-0000-0000-00000A000000}"/>
    <hyperlink ref="B441" r:id="rId3" display="https://rs-gwm.ru/record/employee/170193391495618989" xr:uid="{00000000-0004-0000-0000-00000C000000}"/>
    <hyperlink ref="B174" r:id="rId4" display="https://rs-gwm.ru/record/employee/170193326295652073" xr:uid="{00000000-0004-0000-0000-00000D000000}"/>
    <hyperlink ref="C98" r:id="rId5" xr:uid="{00000000-0004-0000-0100-000000000000}"/>
    <hyperlink ref="B329" r:id="rId6" xr:uid="{00000000-0004-0000-0100-000001000000}"/>
    <hyperlink ref="B87" r:id="rId7" xr:uid="{00000000-0004-0000-0100-000004000000}"/>
    <hyperlink ref="B1130" r:id="rId8" xr:uid="{00000000-0004-0000-0100-000006000000}"/>
    <hyperlink ref="B201" r:id="rId9" xr:uid="{00000000-0004-0000-0100-000009000000}"/>
    <hyperlink ref="B67" r:id="rId10" xr:uid="{00000000-0004-0000-0100-00000B000000}"/>
    <hyperlink ref="B175" r:id="rId11" xr:uid="{00000000-0004-0000-0100-00000F000000}"/>
    <hyperlink ref="B130" r:id="rId12" xr:uid="{00000000-0004-0000-0100-000013000000}"/>
    <hyperlink ref="J49" r:id="rId13" xr:uid="{00000000-0004-0000-0200-000002000000}"/>
  </hyperlinks>
  <pageMargins left="0.7" right="0.7" top="0.75" bottom="0.75" header="0" footer="0"/>
  <pageSetup paperSize="9" orientation="portrait"/>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пк с 1 user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Lyubov Raykova</dc:creator>
  <cp:lastModifiedBy>Lyubov Raykova</cp:lastModifiedBy>
  <dcterms:created xsi:type="dcterms:W3CDTF">2026-09-30T06:27:38Z</dcterms:created>
  <dcterms:modified xsi:type="dcterms:W3CDTF">2026-09-30T06:47:22Z</dcterms:modified>
</cp:coreProperties>
</file>