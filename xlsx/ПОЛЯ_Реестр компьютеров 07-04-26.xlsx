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comments8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К с 1 владельцем" sheetId="1" state="visible" r:id="rId3"/>
    <sheet name="ПК с 2 и более владельцами" sheetId="2" state="visible" r:id="rId4"/>
    <sheet name="Технические ПК" sheetId="3" state="visible" r:id="rId5"/>
    <sheet name="Склад, ремонт, ожидающие" sheetId="4" state="visible" r:id="rId6"/>
    <sheet name="ОПГ РНДМоушен" sheetId="5" state="visible" r:id="rId7"/>
    <sheet name="ДонМотор(КАЛУГА)" sheetId="6" state="visible" r:id="rId8"/>
    <sheet name="Без компа  другое оборудование" sheetId="7" state="visible" r:id="rId9"/>
    <sheet name="Лист ожидания" sheetId="8" state="visible" r:id="rId10"/>
    <sheet name="Проекторы" sheetId="9" state="visible" r:id="rId11"/>
    <sheet name="ФотоВидео" sheetId="10" state="visible" r:id="rId12"/>
    <sheet name="RD_Motion(ownPC)" sheetId="11" state="visible" r:id="rId13"/>
  </sheets>
  <definedNames>
    <definedName function="false" hidden="true" localSheetId="7" name="_xlnm._FilterDatabase" vbProcedure="false">'Лист ожидания'!$A$1:$T$3</definedName>
    <definedName function="false" hidden="true" localSheetId="0" name="_xlnm._FilterDatabase" vbProcedure="false">'ПК с 1 владельцем'!$A$1:$DA$2</definedName>
    <definedName function="false" hidden="true" localSheetId="1" name="_xlnm._FilterDatabase" vbProcedure="false">'ПК с 2 и более владельцами'!$A$1:$AA$3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 заявке просят Lenovo L340 который ниже, возможно ошибка..
Reply:
	Irbis на складе не нашел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F10" authorId="0">
      <text>
        <r>
          <rPr>
            <sz val="10"/>
            <rFont val="Arial"/>
            <family val="2"/>
            <charset val="20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ДЕНИС , ГДЕ КОМП F2717NBP4502103196?????????????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E1" authorId="0">
      <text>
        <r>
          <rPr>
            <sz val="10"/>
            <rFont val="Arial"/>
            <family val="2"/>
            <charset val="20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A source of information about the need for a PC
</t>
        </r>
      </text>
    </comment>
    <comment ref="E2" authorId="0">
      <text>
        <r>
          <rPr>
            <sz val="10"/>
            <rFont val="Arial"/>
            <family val="2"/>
            <charset val="20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pc request
(signed document)
</t>
        </r>
      </text>
    </comment>
    <comment ref="G2" authorId="0">
      <text>
        <r>
          <rPr>
            <sz val="10"/>
            <rFont val="Arial"/>
            <family val="2"/>
            <charset val="20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ITSM request?
</t>
        </r>
      </text>
    </comment>
    <comment ref="H2" authorId="0">
      <text>
        <r>
          <rPr>
            <sz val="10"/>
            <rFont val="Arial"/>
            <family val="2"/>
            <charset val="20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Notification from HR
</t>
        </r>
      </text>
    </comment>
    <comment ref="J1" authorId="0">
      <text>
        <r>
          <rPr>
            <sz val="10"/>
            <rFont val="Arial"/>
            <family val="2"/>
            <charset val="20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Employee's arrival date /Employee transfer date
</t>
        </r>
      </text>
    </comment>
    <comment ref="R1" authorId="0">
      <text>
        <r>
          <rPr>
            <sz val="10"/>
            <rFont val="Arial"/>
            <family val="2"/>
            <charset val="20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Who submitted the request?
</t>
        </r>
      </text>
    </comment>
    <comment ref="S1" authorId="0">
      <text>
        <r>
          <rPr>
            <sz val="10"/>
            <rFont val="Arial"/>
            <family val="2"/>
            <charset val="20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Type of pc's L1/L2 and other
Reply:
	The blue color is our planned Requirement
red is an unplanned Requirement
</t>
        </r>
      </text>
    </comment>
    <comment ref="T1" authorId="0">
      <text>
        <r>
          <rPr>
            <sz val="10"/>
            <rFont val="Arial"/>
            <family val="2"/>
            <charset val="20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Which one is decided (SN or whose)
</t>
        </r>
      </text>
    </comment>
  </commentList>
</comments>
</file>

<file path=xl/sharedStrings.xml><?xml version="1.0" encoding="utf-8"?>
<sst xmlns="http://schemas.openxmlformats.org/spreadsheetml/2006/main" count="1543" uniqueCount="765">
  <si>
    <t xml:space="preserve">Табельный номер / Employee ID</t>
  </si>
  <si>
    <t xml:space="preserve">Физлицо / Owner</t>
  </si>
  <si>
    <t xml:space="preserve">Статус пк ( была ли модернизация) / Modernisation, repairing history</t>
  </si>
  <si>
    <t xml:space="preserve">Тип домена / Domain Type</t>
  </si>
  <si>
    <t xml:space="preserve">Имя на английском / English name</t>
  </si>
  <si>
    <t xml:space="preserve">Должность / Position (Rus / Eng)</t>
  </si>
  <si>
    <t xml:space="preserve">Отдел / Department</t>
  </si>
  <si>
    <t xml:space="preserve">Комплектация / Equipment</t>
  </si>
  <si>
    <t xml:space="preserve">Тип и модель ПК / PC type and model</t>
  </si>
  <si>
    <t xml:space="preserve">Инвентарный номер / Inventory number</t>
  </si>
  <si>
    <t xml:space="preserve">Инвентарный номер наклеен? / 
Is the inventory number affixed?</t>
  </si>
  <si>
    <t xml:space="preserve">где хранится информация о компе</t>
  </si>
  <si>
    <t xml:space="preserve">Местоположение ПК / Location</t>
  </si>
  <si>
    <t xml:space="preserve">Серийный номер / Serial Number</t>
  </si>
  <si>
    <t xml:space="preserve">Имя компьютера / PC Domain Name</t>
  </si>
  <si>
    <t xml:space="preserve">Passwork</t>
  </si>
  <si>
    <t xml:space="preserve">Тип ПО офис / Office type</t>
  </si>
  <si>
    <t xml:space="preserve">Ключ офиса / License key Office</t>
  </si>
  <si>
    <t xml:space="preserve">ОС тип / OS Type</t>
  </si>
  <si>
    <t xml:space="preserve">Ключ ОС / Key OS</t>
  </si>
  <si>
    <t xml:space="preserve">ПО удалённого управления / Remote control</t>
  </si>
  <si>
    <t xml:space="preserve">Админ права / Admin permissions</t>
  </si>
  <si>
    <t xml:space="preserve">Кто подготовил / Who installed</t>
  </si>
  <si>
    <t xml:space="preserve">Дата выдачи / Issue Date</t>
  </si>
  <si>
    <t xml:space="preserve">Дата покупки / Purchasing Date</t>
  </si>
  <si>
    <t xml:space="preserve">Примечание / Comment</t>
  </si>
  <si>
    <t xml:space="preserve">Живов Сергей Викторович</t>
  </si>
  <si>
    <t xml:space="preserve">Модернизация не требуется/normal (no need to upgrade)</t>
  </si>
  <si>
    <t xml:space="preserve">Rus</t>
  </si>
  <si>
    <t xml:space="preserve">Заместитель генерального директора по производству</t>
  </si>
  <si>
    <t xml:space="preserve">MD</t>
  </si>
  <si>
    <t xml:space="preserve">Laptop,mouse</t>
  </si>
  <si>
    <t xml:space="preserve">Laptop ThinkBook 16 G7 ARP 3</t>
  </si>
  <si>
    <t xml:space="preserve">PW0LW3V5</t>
  </si>
  <si>
    <t xml:space="preserve">Libre office</t>
  </si>
  <si>
    <t xml:space="preserve">Windows 11 Pro</t>
  </si>
  <si>
    <t xml:space="preserve">93TQN-DYGPM-FPQ9C-2X3QP-4RHJ6</t>
  </si>
  <si>
    <t xml:space="preserve">ULTRAVNC / MESH</t>
  </si>
  <si>
    <t xml:space="preserve">No Administrator rights</t>
  </si>
  <si>
    <t xml:space="preserve">Мелёшкин С.</t>
  </si>
  <si>
    <t xml:space="preserve">С НДС 64660
БЕЗ НДС 53000</t>
  </si>
  <si>
    <t xml:space="preserve">№</t>
  </si>
  <si>
    <t xml:space="preserve">История модернизаций, ремонтов / Modernisation, repairing history</t>
  </si>
  <si>
    <t xml:space="preserve">Местоположение / Location</t>
  </si>
  <si>
    <t xml:space="preserve">TeamPass, Passwork?</t>
  </si>
  <si>
    <t xml:space="preserve">6859
7841
13454</t>
  </si>
  <si>
    <t xml:space="preserve">Стадольская Оксана Николаевна
Долгов Ярослав Андреевич
Клементьев Виталий Владимирович</t>
  </si>
  <si>
    <t xml:space="preserve">Stadolskaya Oksana
Dolgov Yaroslav</t>
  </si>
  <si>
    <t xml:space="preserve">начальник участка цеха движков / Мастер 2 категории</t>
  </si>
  <si>
    <t xml:space="preserve">ES, ES MD, ES AS</t>
  </si>
  <si>
    <t xml:space="preserve">AiO, mouse, keyboard</t>
  </si>
  <si>
    <t xml:space="preserve">AiO Lenovo M810Z</t>
  </si>
  <si>
    <t xml:space="preserve">140000062/Z000101</t>
  </si>
  <si>
    <t xml:space="preserve">наклеить</t>
  </si>
  <si>
    <t xml:space="preserve">engine shop</t>
  </si>
  <si>
    <t xml:space="preserve">PC0MYXTZ</t>
  </si>
  <si>
    <t xml:space="preserve">Внесены в Passwork</t>
  </si>
  <si>
    <t xml:space="preserve">Windows 10 Pro - 22H2/19045</t>
  </si>
  <si>
    <t xml:space="preserve">No administrator rights</t>
  </si>
  <si>
    <t xml:space="preserve">Кудрявцев Д. / Мартынов Д.</t>
  </si>
  <si>
    <t xml:space="preserve">акт 07.11.2023 / 03.09.2025 / 05.12.2025</t>
  </si>
  <si>
    <t xml:space="preserve">6218
10700</t>
  </si>
  <si>
    <r>
      <rPr>
        <b val="true"/>
        <sz val="12"/>
        <color theme="1"/>
        <rFont val="Times New Roman"/>
        <family val="0"/>
        <charset val="1"/>
      </rPr>
      <t xml:space="preserve">Дуплина Татьяна Александровна
</t>
    </r>
    <r>
      <rPr>
        <b val="true"/>
        <sz val="12"/>
        <color rgb="FFFF0000"/>
        <rFont val="Times New Roman"/>
        <family val="0"/>
        <charset val="1"/>
      </rPr>
      <t xml:space="preserve">Филиппова Татьяна Денисовна</t>
    </r>
  </si>
  <si>
    <r>
      <rPr>
        <sz val="10"/>
        <color rgb="FF000000"/>
        <rFont val="Calibri"/>
        <family val="0"/>
        <charset val="1"/>
      </rPr>
      <t xml:space="preserve">Duplina Tatyana
</t>
    </r>
    <r>
      <rPr>
        <sz val="10"/>
        <color rgb="FFFF0000"/>
        <rFont val="Calibri"/>
        <family val="0"/>
        <charset val="1"/>
      </rPr>
      <t xml:space="preserve">Filippova Tatyana</t>
    </r>
  </si>
  <si>
    <r>
      <rPr>
        <sz val="10"/>
        <color rgb="FF006100"/>
        <rFont val="Calibri"/>
        <family val="0"/>
        <charset val="1"/>
      </rPr>
      <t xml:space="preserve">Мастер 2 категории 
</t>
    </r>
    <r>
      <rPr>
        <sz val="10"/>
        <color rgb="FFFF0000"/>
        <rFont val="Calibri"/>
        <family val="0"/>
        <charset val="1"/>
      </rPr>
      <t xml:space="preserve">Оператор (промоушен на специалиста TPS)</t>
    </r>
  </si>
  <si>
    <t xml:space="preserve">140000172/Z000052</t>
  </si>
  <si>
    <t xml:space="preserve">S4FM3331</t>
  </si>
  <si>
    <t xml:space="preserve">MS Office</t>
  </si>
  <si>
    <t xml:space="preserve">R38X3-J4NJR-CRXGD-KB992-J44C2</t>
  </si>
  <si>
    <t xml:space="preserve">Кудрявцев Д.</t>
  </si>
  <si>
    <t xml:space="preserve">Акт 11.11.2025 / 19.11.2025</t>
  </si>
  <si>
    <t xml:space="preserve">#</t>
  </si>
  <si>
    <t xml:space="preserve">Technical_PC</t>
  </si>
  <si>
    <t xml:space="preserve">1</t>
  </si>
  <si>
    <t xml:space="preserve">Весовая
Акт Казазаев 19-09-2025</t>
  </si>
  <si>
    <t xml:space="preserve">была модернизация/upgraded (SSD 480 +RAM8)</t>
  </si>
  <si>
    <t xml:space="preserve">GA_для весового контроля</t>
  </si>
  <si>
    <t xml:space="preserve">AiO, -мышь свою оставил (личная), keyboard</t>
  </si>
  <si>
    <t xml:space="preserve">AiO Lenovo S400Z</t>
  </si>
  <si>
    <t xml:space="preserve">150000006/Z000012</t>
  </si>
  <si>
    <t xml:space="preserve">Наклеить</t>
  </si>
  <si>
    <t xml:space="preserve">СКЛАД</t>
  </si>
  <si>
    <t xml:space="preserve">P901FSPN</t>
  </si>
  <si>
    <t xml:space="preserve">Летунов А.</t>
  </si>
  <si>
    <t xml:space="preserve">Акт 18,09,2025</t>
  </si>
  <si>
    <t xml:space="preserve">Норм</t>
  </si>
  <si>
    <t xml:space="preserve">2</t>
  </si>
  <si>
    <t xml:space="preserve">Куан Хэн 
акт 08-02-2019</t>
  </si>
  <si>
    <t xml:space="preserve">очень старый /old(2015-2017 г)</t>
  </si>
  <si>
    <t xml:space="preserve">GA_для комендантов общежития</t>
  </si>
  <si>
    <t xml:space="preserve">Workstation, Monitor(Lenovo 19" LT 1952p Black/240000014-0002)mouse, keyboard</t>
  </si>
  <si>
    <t xml:space="preserve">WorkStation Lenovo ThinkCenter M73(24000014)</t>
  </si>
  <si>
    <t xml:space="preserve">00000000315</t>
  </si>
  <si>
    <t xml:space="preserve">local acc Dormitory.105-106</t>
  </si>
  <si>
    <t xml:space="preserve">PC017TGV</t>
  </si>
  <si>
    <t xml:space="preserve">На складе</t>
  </si>
  <si>
    <t xml:space="preserve">Серийный номер / Serial Number </t>
  </si>
  <si>
    <t xml:space="preserve">по тендеру RDD новые без офиса</t>
  </si>
  <si>
    <t xml:space="preserve">Laptop</t>
  </si>
  <si>
    <t xml:space="preserve">Laptop MSI Modern 15 F1MG-800XRU</t>
  </si>
  <si>
    <t xml:space="preserve">поставить на учет</t>
  </si>
  <si>
    <t xml:space="preserve">СКЛАД BSS</t>
  </si>
  <si>
    <t xml:space="preserve">C2507N0002756</t>
  </si>
  <si>
    <t xml:space="preserve">Стоимость ПК без НДС  59 160руб</t>
  </si>
  <si>
    <t xml:space="preserve">документы на списание подписаны</t>
  </si>
  <si>
    <t xml:space="preserve">отдали на утилизацию 24-12-2025</t>
  </si>
  <si>
    <t xml:space="preserve">💩</t>
  </si>
  <si>
    <t xml:space="preserve"> начали подготовку к утилизации</t>
  </si>
  <si>
    <t xml:space="preserve">утилизация 2025</t>
  </si>
  <si>
    <t xml:space="preserve">laptop HP ProBook455(240000002)</t>
  </si>
  <si>
    <t xml:space="preserve">00000000468</t>
  </si>
  <si>
    <t xml:space="preserve">инвентарник MOC наклеен</t>
  </si>
  <si>
    <t xml:space="preserve">CND4434S1J</t>
  </si>
  <si>
    <t xml:space="preserve">разобраны/готовы к передаче ga</t>
  </si>
  <si>
    <t xml:space="preserve">Laptop Lenovo V 130</t>
  </si>
  <si>
    <t xml:space="preserve">00000019366(13)</t>
  </si>
  <si>
    <t xml:space="preserve">R90T9488</t>
  </si>
  <si>
    <t xml:space="preserve">00000019366(1)</t>
  </si>
  <si>
    <t xml:space="preserve">R90SRSH8</t>
  </si>
  <si>
    <t xml:space="preserve">Laptop, mouse,bag</t>
  </si>
  <si>
    <t xml:space="preserve">00000019366(8)</t>
  </si>
  <si>
    <t xml:space="preserve">R90T9481</t>
  </si>
  <si>
    <t xml:space="preserve">Laptop Lenovo V510</t>
  </si>
  <si>
    <t xml:space="preserve">00000011577</t>
  </si>
  <si>
    <t xml:space="preserve">LR08MD6L</t>
  </si>
  <si>
    <t xml:space="preserve">Laptop Lenovo V110</t>
  </si>
  <si>
    <t xml:space="preserve">00000010789</t>
  </si>
  <si>
    <t xml:space="preserve">R90QFQ01</t>
  </si>
  <si>
    <t xml:space="preserve">00000010790</t>
  </si>
  <si>
    <t xml:space="preserve">R90QFQ0B</t>
  </si>
  <si>
    <t xml:space="preserve">WorkStation.monitor Philips,mouse,keyboard</t>
  </si>
  <si>
    <t xml:space="preserve">WorkStation Acer Aspire TC-605+monitor Philips(240000006)</t>
  </si>
  <si>
    <t xml:space="preserve">00000000010</t>
  </si>
  <si>
    <t xml:space="preserve">DTSRQER08542400B653000</t>
  </si>
  <si>
    <t xml:space="preserve">Desktop,monitor</t>
  </si>
  <si>
    <t xml:space="preserve">Lenovo ThinkCentre M73z</t>
  </si>
  <si>
    <t xml:space="preserve">00000020993</t>
  </si>
  <si>
    <t xml:space="preserve">PC017TCJ</t>
  </si>
  <si>
    <t xml:space="preserve">Desktop, Monitor(Lenovo 19" LT 1952p Black/240000011-0002)mouse, keyboard</t>
  </si>
  <si>
    <t xml:space="preserve">Lenovo ThinkCenter M73/240000011</t>
  </si>
  <si>
    <t xml:space="preserve">00000000332</t>
  </si>
  <si>
    <t xml:space="preserve">PC017TH4</t>
  </si>
  <si>
    <t xml:space="preserve">WorkStation,monitor,mouse,keyboard</t>
  </si>
  <si>
    <t xml:space="preserve">Lenovo ThinkCentre M73</t>
  </si>
  <si>
    <t xml:space="preserve">00000000314</t>
  </si>
  <si>
    <t xml:space="preserve">PC017TCT</t>
  </si>
  <si>
    <t xml:space="preserve">Workstation, Monitor(Lenovo 19" LT 1952p Black/240000012-0002)mouse, keyboard</t>
  </si>
  <si>
    <t xml:space="preserve">Lenovo ThinkCenter M73((24000012))</t>
  </si>
  <si>
    <t xml:space="preserve">000000333</t>
  </si>
  <si>
    <t xml:space="preserve">PC017TGK</t>
  </si>
  <si>
    <t xml:space="preserve">00000011590</t>
  </si>
  <si>
    <t xml:space="preserve">LR08MD3C</t>
  </si>
  <si>
    <t xml:space="preserve">АКТ неремонтопригодности 71521 от 10-04-2025</t>
  </si>
  <si>
    <t xml:space="preserve">отдали на утилизацию 12-12-2025</t>
  </si>
  <si>
    <t xml:space="preserve">документы на списание  переданы на проверку FD 08-12-2025/ начали подготовку к утилизации</t>
  </si>
  <si>
    <t xml:space="preserve">WorkStation</t>
  </si>
  <si>
    <t xml:space="preserve">Workstation Lenovo ThinkStation P 520</t>
  </si>
  <si>
    <t xml:space="preserve">140000176/Z000036</t>
  </si>
  <si>
    <t xml:space="preserve">S4FT0574</t>
  </si>
  <si>
    <t xml:space="preserve">Заключение
 О нецелесообразности дальнейшего использования ИТ активов
№ RDC-BSS-10-2025-009 От 30-10-2025 г.</t>
  </si>
  <si>
    <t xml:space="preserve">Laptop Lenovo V310</t>
  </si>
  <si>
    <t xml:space="preserve">140000032/Z000022</t>
  </si>
  <si>
    <t xml:space="preserve">LR062AP2</t>
  </si>
  <si>
    <t xml:space="preserve">"Заключение
 О нецелесообразности дальнейшего использования ИТ активов
№ RDC-BSS-10-2025-008 От 30-10-2025 г.</t>
  </si>
  <si>
    <t xml:space="preserve">Lenovo THINKPAD L450</t>
  </si>
  <si>
    <t xml:space="preserve">140000003/Z000029</t>
  </si>
  <si>
    <t xml:space="preserve">PF076881</t>
  </si>
  <si>
    <t xml:space="preserve">Заключение
 О нецелесообразности дальнейшего использования ИТ активов
№ RDC-BSS-10-2025-007От 30-10-2025 г.</t>
  </si>
  <si>
    <t xml:space="preserve">Laptop LenovoX270</t>
  </si>
  <si>
    <t xml:space="preserve">140000069/Z000095</t>
  </si>
  <si>
    <t xml:space="preserve">PC0NBSGN</t>
  </si>
  <si>
    <t xml:space="preserve">"Заключение
 О нецелесообразности дальнейшего использования ИТ активов
№ RDC-BSS-10-2025-003 От 30-10-2025 г.</t>
  </si>
  <si>
    <t xml:space="preserve">Laptop Lenovo ThinkPad EDGE E570</t>
  </si>
  <si>
    <t xml:space="preserve">150000028/Z000006</t>
  </si>
  <si>
    <t xml:space="preserve">PF0NFU3K</t>
  </si>
  <si>
    <t xml:space="preserve">BC7J4-MN7BC-MY7J2-RT6FY-MY49C</t>
  </si>
  <si>
    <t xml:space="preserve">"Заключение
 О нецелесообразности дальнейшего использования ИТ активов
№ RDC-BSS-10-2025-002 От 30-10-2025 г.</t>
  </si>
  <si>
    <t xml:space="preserve">акумулятор офф</t>
  </si>
  <si>
    <t xml:space="preserve">140000054/Z000108</t>
  </si>
  <si>
    <t xml:space="preserve">PF0W1977</t>
  </si>
  <si>
    <t xml:space="preserve">Заключение
 О нецелесообразности дальнейшего использования ИТ активов
№ RDC-BSS-10-2025-006От 30-10-2025 г.</t>
  </si>
  <si>
    <t xml:space="preserve">Laptop Lenovo ThinkPad EDGE E560</t>
  </si>
  <si>
    <t xml:space="preserve">140000042/Z000126</t>
  </si>
  <si>
    <t xml:space="preserve">PF0LC4HW</t>
  </si>
  <si>
    <t xml:space="preserve">Installed Key:237XB-GDJ7B-MV8MH-98QJM-24367(Windows 7 Professional)</t>
  </si>
  <si>
    <t xml:space="preserve">акумулятор + клавиатура офф
Заключение
 О нецелесообразности дальнейшего использования ИТ активов
№ RDC-BSS-10-2025-005 От 30-10-2025 г.</t>
  </si>
  <si>
    <t xml:space="preserve">отдали на утилизацию 20-12-2025</t>
  </si>
  <si>
    <t xml:space="preserve">140000024/Z000055</t>
  </si>
  <si>
    <t xml:space="preserve">PF-0IP638</t>
  </si>
  <si>
    <t xml:space="preserve">77F4C-NCDHK-TWXFK-RMBHV-8HV82</t>
  </si>
  <si>
    <t xml:space="preserve">Заключение
 О нецелесообразности дальнейшего использования ИТ активов
№ RDC-BSS-10-2025-004 От 30-10-2025 г.</t>
  </si>
  <si>
    <t xml:space="preserve">140000039/Z000128</t>
  </si>
  <si>
    <t xml:space="preserve">PF0L9ESP</t>
  </si>
  <si>
    <t xml:space="preserve">отдали на утилизацию 09-12-2025</t>
  </si>
  <si>
    <t xml:space="preserve">документы на списание  подписаны(кит.форма)
Лежит в коробке на утиль  ( отдали на утилизацию 09-12-2025)</t>
  </si>
  <si>
    <t xml:space="preserve">Laptop LenovoT440p</t>
  </si>
  <si>
    <t xml:space="preserve">не на балансе</t>
  </si>
  <si>
    <t xml:space="preserve">MOSCOW(HMR)</t>
  </si>
  <si>
    <t xml:space="preserve">PC01389D</t>
  </si>
  <si>
    <t xml:space="preserve">Desktop ThinkCentre Lenovo M92p</t>
  </si>
  <si>
    <t xml:space="preserve">PB02NZP2</t>
  </si>
  <si>
    <t xml:space="preserve">PBP3W3V</t>
  </si>
  <si>
    <t xml:space="preserve">M 73 Desktop</t>
  </si>
  <si>
    <t xml:space="preserve">PB02UAKC</t>
  </si>
  <si>
    <t xml:space="preserve">M 93p Desktop</t>
  </si>
  <si>
    <t xml:space="preserve">S4G32593</t>
  </si>
  <si>
    <t xml:space="preserve">PBP3W3Y</t>
  </si>
  <si>
    <t xml:space="preserve">Lenovo ThinkCenter M73</t>
  </si>
  <si>
    <t xml:space="preserve">S4G02565</t>
  </si>
  <si>
    <t xml:space="preserve">Lenovo ThinkCenter M73p</t>
  </si>
  <si>
    <t xml:space="preserve">PC017TD7</t>
  </si>
  <si>
    <t xml:space="preserve">утилизирован /остатки корпуса и механизмов переданы на утилизацию вместе с пк хмр 09-12-2025</t>
  </si>
  <si>
    <t xml:space="preserve">DELL Latitude 5480(от комплекта феникса)</t>
  </si>
  <si>
    <t xml:space="preserve">У MU с этикет принтером,  вырбаны usb, залита клавиатура, отходит экранразобрали как донора , на балансе не стоял</t>
  </si>
  <si>
    <t xml:space="preserve">1B7RFH2</t>
  </si>
  <si>
    <t xml:space="preserve">разобрали на части в качетве донора от него есть только части корпуса и сломанная напополам материнка</t>
  </si>
  <si>
    <t xml:space="preserve">списание 2019</t>
  </si>
  <si>
    <t xml:space="preserve">laptop</t>
  </si>
  <si>
    <t xml:space="preserve">Ноутбук Lenovo ThinkPad EDGE E560 (20EVS00400)</t>
  </si>
  <si>
    <t xml:space="preserve">150000008</t>
  </si>
  <si>
    <t xml:space="preserve">PFOLC44N</t>
  </si>
  <si>
    <t xml:space="preserve">RUTL-PFOLC44N</t>
  </si>
  <si>
    <t xml:space="preserve">стройка(утерян)</t>
  </si>
  <si>
    <t xml:space="preserve">laptop Lenovo L580</t>
  </si>
  <si>
    <t xml:space="preserve">14000145</t>
  </si>
  <si>
    <t xml:space="preserve">-</t>
  </si>
  <si>
    <t xml:space="preserve">списание 2018</t>
  </si>
  <si>
    <t xml:space="preserve">Lenovo THINKPAD L450 (s/n PF-07688U)</t>
  </si>
  <si>
    <t xml:space="preserve">140000007</t>
  </si>
  <si>
    <t xml:space="preserve">PF-07688U</t>
  </si>
  <si>
    <t xml:space="preserve">утерян ПОГОРЕЛОВ</t>
  </si>
  <si>
    <t xml:space="preserve">Ноутбук 15.6" Lenovo V310-15ISK (80SY000WRK)</t>
  </si>
  <si>
    <t xml:space="preserve">140000030</t>
  </si>
  <si>
    <t xml:space="preserve">RUTL-LR062AQD</t>
  </si>
  <si>
    <t xml:space="preserve">у игоря(на списание)</t>
  </si>
  <si>
    <t xml:space="preserve">Списание 2022</t>
  </si>
  <si>
    <t xml:space="preserve">14000151</t>
  </si>
  <si>
    <t xml:space="preserve">12TW3R</t>
  </si>
  <si>
    <t xml:space="preserve">RUTL-12TW3R</t>
  </si>
  <si>
    <t xml:space="preserve">инженерный ноут (у оладина)</t>
  </si>
  <si>
    <t xml:space="preserve">списание 2023</t>
  </si>
  <si>
    <t xml:space="preserve">140000009</t>
  </si>
  <si>
    <t xml:space="preserve">PF09H1BT</t>
  </si>
  <si>
    <t xml:space="preserve">Pogorelov Dmitriy</t>
  </si>
  <si>
    <t xml:space="preserve">(need to dismiss)</t>
  </si>
  <si>
    <t xml:space="preserve">00000011066</t>
  </si>
  <si>
    <t xml:space="preserve">1-03 окраска 1эт</t>
  </si>
  <si>
    <t xml:space="preserve">R90QN4W0</t>
  </si>
  <si>
    <t xml:space="preserve">Ланкин</t>
  </si>
  <si>
    <t xml:space="preserve">была замена по браку</t>
  </si>
  <si>
    <t xml:space="preserve">AIO Dell Inspiron 5400</t>
  </si>
  <si>
    <t xml:space="preserve">новая партия</t>
  </si>
  <si>
    <t xml:space="preserve">BM4HDF2</t>
  </si>
  <si>
    <t xml:space="preserve">RUTL-BM4HDF2</t>
  </si>
  <si>
    <t xml:space="preserve">замена по браку</t>
  </si>
  <si>
    <t xml:space="preserve">произведена замена</t>
  </si>
  <si>
    <t xml:space="preserve">ДРУГОЕ/other</t>
  </si>
  <si>
    <t xml:space="preserve">монитор S22E-19</t>
  </si>
  <si>
    <t xml:space="preserve">Закупали для китайской фирмы</t>
  </si>
  <si>
    <t xml:space="preserve">технострой</t>
  </si>
  <si>
    <t xml:space="preserve">ПК Lenovo SFF</t>
  </si>
  <si>
    <t xml:space="preserve">KVM свич</t>
  </si>
  <si>
    <t xml:space="preserve">Башин Артем Геннадьевич</t>
  </si>
  <si>
    <t xml:space="preserve">обратно не принимать, пк подвергся вандализму</t>
  </si>
  <si>
    <t xml:space="preserve">Bashin Artem</t>
  </si>
  <si>
    <t xml:space="preserve">Инженер по технологии силовых агрегатов 2 категории</t>
  </si>
  <si>
    <t xml:space="preserve">R&amp;D, PTD, CTS</t>
  </si>
  <si>
    <t xml:space="preserve">Laptop, mouse</t>
  </si>
  <si>
    <t xml:space="preserve">Laptop IRBIS 15NBP3507</t>
  </si>
  <si>
    <t xml:space="preserve">1-07 четвертый этаж</t>
  </si>
  <si>
    <t xml:space="preserve">F2715NBP35070821711</t>
  </si>
  <si>
    <t xml:space="preserve">3666N-9MDY9-6GH86-PMR8H-MBH22</t>
  </si>
  <si>
    <t xml:space="preserve">Акт 21.05.2025</t>
  </si>
  <si>
    <t xml:space="preserve">Герасина Анастасия Сергеевна</t>
  </si>
  <si>
    <t xml:space="preserve">Gerasina Anastasia</t>
  </si>
  <si>
    <t xml:space="preserve">Специалист по управлению проектами</t>
  </si>
  <si>
    <t xml:space="preserve">R&amp;D, PRJMD, PMS I</t>
  </si>
  <si>
    <t xml:space="preserve">Laptop Lenovo L340</t>
  </si>
  <si>
    <t xml:space="preserve">10000001789</t>
  </si>
  <si>
    <t xml:space="preserve">инвентарник ОС наклеен</t>
  </si>
  <si>
    <t xml:space="preserve">PF24ABRT</t>
  </si>
  <si>
    <t xml:space="preserve">DGC9N-BJ7FW-WJTWW-DR8DC-JB49G</t>
  </si>
  <si>
    <t xml:space="preserve">Акт 27.08.2024</t>
  </si>
  <si>
    <t xml:space="preserve">Никитин Александр Валерьевич</t>
  </si>
  <si>
    <t xml:space="preserve">Nikitin Aleksandr</t>
  </si>
  <si>
    <t xml:space="preserve">Специалист 3 категории</t>
  </si>
  <si>
    <t xml:space="preserve">Laptop,mouse+Lan-USB</t>
  </si>
  <si>
    <t xml:space="preserve">Laptop Lenovo V15 G1+Lan-USB</t>
  </si>
  <si>
    <t xml:space="preserve">100000001627</t>
  </si>
  <si>
    <t xml:space="preserve">Внесен в ITSM AST0000878</t>
  </si>
  <si>
    <t xml:space="preserve">PF2TXSE1</t>
  </si>
  <si>
    <t xml:space="preserve">2016 for home and business (BOX)</t>
  </si>
  <si>
    <t xml:space="preserve">ULTRAVNC</t>
  </si>
  <si>
    <t xml:space="preserve">Admin</t>
  </si>
  <si>
    <t xml:space="preserve">Акт 30.09.2021</t>
  </si>
  <si>
    <t xml:space="preserve">Используется для микроскопа</t>
  </si>
  <si>
    <t xml:space="preserve">НОВЫЙ/New(no need to upgrade)</t>
  </si>
  <si>
    <t xml:space="preserve">на перепродажу?</t>
  </si>
  <si>
    <t xml:space="preserve">R&amp;D, lab</t>
  </si>
  <si>
    <t xml:space="preserve">WorkStation,monitor(не наш),mouse,keyboard</t>
  </si>
  <si>
    <t xml:space="preserve">Workstation Регард К00826/1(РДЦБ-000826)</t>
  </si>
  <si>
    <t xml:space="preserve">10000003812</t>
  </si>
  <si>
    <t xml:space="preserve">1-07 4 этаж, лаборатория</t>
  </si>
  <si>
    <t xml:space="preserve">07E0210_O31B057075</t>
  </si>
  <si>
    <t xml:space="preserve">VYN9P-JQVWF-T3P78-TG4KT-P7JXC</t>
  </si>
  <si>
    <t xml:space="preserve">Выдан с технической учетной записью на 4 пользователей (TechniciansVTS)(корнеев акт 06-06-2024)</t>
  </si>
  <si>
    <t xml:space="preserve">требуется модернизация/ need to modernisation</t>
  </si>
  <si>
    <t xml:space="preserve">что будем делать?</t>
  </si>
  <si>
    <t xml:space="preserve">R&amp;D, VTS</t>
  </si>
  <si>
    <t xml:space="preserve">00000011575</t>
  </si>
  <si>
    <t xml:space="preserve">LR08MD5Z</t>
  </si>
  <si>
    <t xml:space="preserve">Акт 06-06-24</t>
  </si>
  <si>
    <t xml:space="preserve">Технический(брилев акт 21-02-2024)</t>
  </si>
  <si>
    <t xml:space="preserve">R&amp;D, RUS QMD</t>
  </si>
  <si>
    <t xml:space="preserve">laptop Lenovo E560</t>
  </si>
  <si>
    <t xml:space="preserve">140000023/Z000135</t>
  </si>
  <si>
    <t xml:space="preserve">PF0IP8V3</t>
  </si>
  <si>
    <t xml:space="preserve">Компьютер</t>
  </si>
  <si>
    <t xml:space="preserve">где хранится Учетная запись пользователя</t>
  </si>
  <si>
    <t xml:space="preserve">Office software</t>
  </si>
  <si>
    <t xml:space="preserve">License key Office</t>
  </si>
  <si>
    <t xml:space="preserve">Operating system</t>
  </si>
  <si>
    <t xml:space="preserve">Other installed software</t>
  </si>
  <si>
    <t xml:space="preserve">Акт о выдаче</t>
  </si>
  <si>
    <t xml:space="preserve">Код(Employee ID)</t>
  </si>
  <si>
    <t xml:space="preserve">Физлицо/name</t>
  </si>
  <si>
    <t xml:space="preserve">тип домена</t>
  </si>
  <si>
    <t xml:space="preserve">English name</t>
  </si>
  <si>
    <t xml:space="preserve">Отдел/departament</t>
  </si>
  <si>
    <t xml:space="preserve">type  of pc</t>
  </si>
  <si>
    <t xml:space="preserve">Компьютер(модель)/model</t>
  </si>
  <si>
    <t xml:space="preserve">инвентарный  номер/inventory number</t>
  </si>
  <si>
    <t xml:space="preserve">инвентарник наклеен/да/нет</t>
  </si>
  <si>
    <t xml:space="preserve">местоположение/workplace</t>
  </si>
  <si>
    <t xml:space="preserve">Серийный номер/serial.number</t>
  </si>
  <si>
    <t xml:space="preserve">Имя компьютера/ Name of PC's</t>
  </si>
  <si>
    <t xml:space="preserve">примечание/Notice</t>
  </si>
  <si>
    <t xml:space="preserve">Type</t>
  </si>
  <si>
    <t xml:space="preserve">Key(OS code)</t>
  </si>
  <si>
    <t xml:space="preserve">remote control</t>
  </si>
  <si>
    <t xml:space="preserve">ADMIN permissions</t>
  </si>
  <si>
    <t xml:space="preserve">Кто подготовил/накосячил/</t>
  </si>
  <si>
    <t xml:space="preserve">Дата выдачи</t>
  </si>
  <si>
    <t xml:space="preserve">JMR-001</t>
  </si>
  <si>
    <t xml:space="preserve">S.Kuznetsova.JMR</t>
  </si>
  <si>
    <t xml:space="preserve">Кузнецова Светлана</t>
  </si>
  <si>
    <t xml:space="preserve">Kuznetsova Svetlana</t>
  </si>
  <si>
    <t xml:space="preserve">Бухгалтер ЖМР</t>
  </si>
  <si>
    <t xml:space="preserve">FD (RUIXIN)</t>
  </si>
  <si>
    <t xml:space="preserve">Laptop IRBIS 17NBP4502</t>
  </si>
  <si>
    <t xml:space="preserve">продано по договору от 23-10-2025</t>
  </si>
  <si>
    <t xml:space="preserve">TULA Plant</t>
  </si>
  <si>
    <t xml:space="preserve">F2717NBP4502103153</t>
  </si>
  <si>
    <t xml:space="preserve">VK7JG-NPHTM-C97JM-9MPGT-3V66T</t>
  </si>
  <si>
    <t xml:space="preserve">ULTRAVNC \ MESH</t>
  </si>
  <si>
    <t xml:space="preserve">Акт от 13.12.2024</t>
  </si>
  <si>
    <t xml:space="preserve">JMR-002</t>
  </si>
  <si>
    <t xml:space="preserve">Тё Константин Валерьевич</t>
  </si>
  <si>
    <t xml:space="preserve">Tyo Konstantin</t>
  </si>
  <si>
    <t xml:space="preserve">Руководитель Группы заказов</t>
  </si>
  <si>
    <t xml:space="preserve">ORD (RUIXIN)</t>
  </si>
  <si>
    <t xml:space="preserve">Lenovo IdeaPad Slim 3 16IAH8</t>
  </si>
  <si>
    <t xml:space="preserve">НЕ НА БАЛАНСЕ/Belong to  Ruixin</t>
  </si>
  <si>
    <t xml:space="preserve">Belong to  Ruixin</t>
  </si>
  <si>
    <t xml:space="preserve">KALUGA Plant</t>
  </si>
  <si>
    <t xml:space="preserve">PF4TN6C9</t>
  </si>
  <si>
    <t xml:space="preserve">office  (был активирован с Москвы)</t>
  </si>
  <si>
    <t xml:space="preserve">Windows 10 Pro - 22H2/19045 x64</t>
  </si>
  <si>
    <t xml:space="preserve">Акт от 24.02,2025</t>
  </si>
  <si>
    <t xml:space="preserve">JMR-003</t>
  </si>
  <si>
    <t xml:space="preserve">Онуфриева Людмила Сергеевна</t>
  </si>
  <si>
    <t xml:space="preserve">Onufrieva Liudmila</t>
  </si>
  <si>
    <t xml:space="preserve">Ведущий специалист Группы заказов</t>
  </si>
  <si>
    <t xml:space="preserve">PF4TN9TH</t>
  </si>
  <si>
    <t xml:space="preserve">office kms (был активирован с Москвы)</t>
  </si>
  <si>
    <t xml:space="preserve">VK7JG-NPHTM-C97JM-9MPGT-3V66T странно что ключ уже использовался на пк PF4TN6C9...</t>
  </si>
  <si>
    <t xml:space="preserve">Акт от 03.03.2025</t>
  </si>
  <si>
    <t xml:space="preserve">JMR-004</t>
  </si>
  <si>
    <t xml:space="preserve">.JMR</t>
  </si>
  <si>
    <t xml:space="preserve">Кочубеев Николай Валерьевич/Малютин Павел Сергеевич</t>
  </si>
  <si>
    <t xml:space="preserve">Kochubeev Nikolay / Malyutin Pavel</t>
  </si>
  <si>
    <t xml:space="preserve">Аудитор проверки качества</t>
  </si>
  <si>
    <t xml:space="preserve">QIS (RUIXIN)</t>
  </si>
  <si>
    <t xml:space="preserve">PF4VBETB</t>
  </si>
  <si>
    <t xml:space="preserve">W269N-WFGWX-YVC9B-4J6C9-T83GX</t>
  </si>
  <si>
    <t xml:space="preserve">Акт от 28.03.2025</t>
  </si>
  <si>
    <t xml:space="preserve">JMR-005</t>
  </si>
  <si>
    <t xml:space="preserve">gw04000038</t>
  </si>
  <si>
    <t xml:space="preserve">Сысоев Тимур Анатольевич</t>
  </si>
  <si>
    <t xml:space="preserve">Timur Sysoev</t>
  </si>
  <si>
    <t xml:space="preserve">ведущий специалист по таможенному оформлению</t>
  </si>
  <si>
    <t xml:space="preserve">ILD,CO (RUIXIN)</t>
  </si>
  <si>
    <t xml:space="preserve">Laptop, mouse, переходник</t>
  </si>
  <si>
    <t xml:space="preserve">PF4TN9VG</t>
  </si>
  <si>
    <t xml:space="preserve">Климанов А</t>
  </si>
  <si>
    <t xml:space="preserve">Акт от 20.03.2026</t>
  </si>
  <si>
    <t xml:space="preserve">JMR-006</t>
  </si>
  <si>
    <t xml:space="preserve">Максимова Анастасия Юрьевна</t>
  </si>
  <si>
    <t xml:space="preserve">Maximova Anastasia</t>
  </si>
  <si>
    <t xml:space="preserve">ведущий координатор по транспорту</t>
  </si>
  <si>
    <t xml:space="preserve">PF4TNPWE</t>
  </si>
  <si>
    <t xml:space="preserve">Климанов А.</t>
  </si>
  <si>
    <t xml:space="preserve">Акт от 24.04.2025</t>
  </si>
  <si>
    <t xml:space="preserve">JMR-007</t>
  </si>
  <si>
    <t xml:space="preserve">Дронов Дмитрий Владимирович</t>
  </si>
  <si>
    <t xml:space="preserve">Dronov Dmitry</t>
  </si>
  <si>
    <t xml:space="preserve">Руководитель Группы качества</t>
  </si>
  <si>
    <t xml:space="preserve">QT (RUIXIN)</t>
  </si>
  <si>
    <t xml:space="preserve">Laptop, mouse,bag, Переходник </t>
  </si>
  <si>
    <t xml:space="preserve">PF4TNKVQ</t>
  </si>
  <si>
    <t xml:space="preserve">Акт от 17.04.2025</t>
  </si>
  <si>
    <t xml:space="preserve">JMR-008</t>
  </si>
  <si>
    <t xml:space="preserve">Кутепова Светлана Леонидовна</t>
  </si>
  <si>
    <t xml:space="preserve">Svetlana Kutepova</t>
  </si>
  <si>
    <t xml:space="preserve">HR менеджер</t>
  </si>
  <si>
    <t xml:space="preserve">HR (RUIXIN)</t>
  </si>
  <si>
    <t xml:space="preserve">PF4VCF8K</t>
  </si>
  <si>
    <t xml:space="preserve">Мартынов Д.</t>
  </si>
  <si>
    <t xml:space="preserve">Акт от 18.04.2025</t>
  </si>
  <si>
    <t xml:space="preserve">JMR-009</t>
  </si>
  <si>
    <t xml:space="preserve">Чуракова Екатерина Сергеевна</t>
  </si>
  <si>
    <t xml:space="preserve">Churakova Ekaterina</t>
  </si>
  <si>
    <t xml:space="preserve">Инжнер по контролю качеству</t>
  </si>
  <si>
    <t xml:space="preserve">PF4TM2AV</t>
  </si>
  <si>
    <t xml:space="preserve">office kms</t>
  </si>
  <si>
    <t xml:space="preserve">Акт от 10.06.2025</t>
  </si>
  <si>
    <t xml:space="preserve">JMR-010</t>
  </si>
  <si>
    <t xml:space="preserve">Силанова Ирина Александровна</t>
  </si>
  <si>
    <t xml:space="preserve">Silanova Irina</t>
  </si>
  <si>
    <t xml:space="preserve">Координатор по транспорту</t>
  </si>
  <si>
    <t xml:space="preserve">PF4TM2B7</t>
  </si>
  <si>
    <t xml:space="preserve">Акт от 21.07.2025</t>
  </si>
  <si>
    <t xml:space="preserve">JMR-011</t>
  </si>
  <si>
    <t xml:space="preserve">Комарова Елена Васильевна</t>
  </si>
  <si>
    <t xml:space="preserve">Komarova Elena</t>
  </si>
  <si>
    <t xml:space="preserve">Ведущий Бухгалтер 2 кат.</t>
  </si>
  <si>
    <t xml:space="preserve">Laptop Acer Aspire 3</t>
  </si>
  <si>
    <t xml:space="preserve">NXK9YER005426019A73400</t>
  </si>
  <si>
    <t xml:space="preserve">Only office / libre office</t>
  </si>
  <si>
    <t xml:space="preserve">8BBGN-YQMVQ-GK38P-XGCMH-PWF9C</t>
  </si>
  <si>
    <t xml:space="preserve">Акт от 15.09.2025</t>
  </si>
  <si>
    <t xml:space="preserve">JMR-012</t>
  </si>
  <si>
    <t xml:space="preserve">Королёва Юлия Валерьевна</t>
  </si>
  <si>
    <t xml:space="preserve">Koroleva Yuliya</t>
  </si>
  <si>
    <t xml:space="preserve">Бухгалтер 2 категории</t>
  </si>
  <si>
    <t xml:space="preserve">NXK9YER005426019163400</t>
  </si>
  <si>
    <t xml:space="preserve">XJNHV-3BJ4K-GRPM7-JGFCJ-YP2KC</t>
  </si>
  <si>
    <t xml:space="preserve">Акт от 25,09,2025</t>
  </si>
  <si>
    <t xml:space="preserve">JMR-013</t>
  </si>
  <si>
    <t xml:space="preserve">Севостьянова Татьяна Юрьевна</t>
  </si>
  <si>
    <t xml:space="preserve">Sevostyanova Tatyana</t>
  </si>
  <si>
    <t xml:space="preserve">Laptop,</t>
  </si>
  <si>
    <t xml:space="preserve">NXK9YER0054260169E3400</t>
  </si>
  <si>
    <t xml:space="preserve">8FXB7-MN2V7-H4CK8-FQYQG-FVV22</t>
  </si>
  <si>
    <t xml:space="preserve">Акт от 07.10.2025</t>
  </si>
  <si>
    <t xml:space="preserve">JMR-014</t>
  </si>
  <si>
    <t xml:space="preserve">Зайцева Елена Анатольевна </t>
  </si>
  <si>
    <t xml:space="preserve">Zaytseva Elena</t>
  </si>
  <si>
    <t xml:space="preserve">Бухгалтер 1 категории</t>
  </si>
  <si>
    <t xml:space="preserve">Laptop,mouse, </t>
  </si>
  <si>
    <t xml:space="preserve">TULA Plant (1-07 3)</t>
  </si>
  <si>
    <t xml:space="preserve">NXK9YER005426012433400</t>
  </si>
  <si>
    <t xml:space="preserve">WP7NT-M84RW-K2394-6K4JX-RM49C</t>
  </si>
  <si>
    <t xml:space="preserve">АКТ от 09.12.2025</t>
  </si>
  <si>
    <t xml:space="preserve">JMR-015</t>
  </si>
  <si>
    <t xml:space="preserve">Зайцева Елена Николаевна</t>
  </si>
  <si>
    <t xml:space="preserve">Zaitseva Elena</t>
  </si>
  <si>
    <t xml:space="preserve">Бухгалтер 1 кат.</t>
  </si>
  <si>
    <t xml:space="preserve">Laptop,mouse, bag</t>
  </si>
  <si>
    <t xml:space="preserve">NXK9YER005426013513400</t>
  </si>
  <si>
    <t xml:space="preserve">XX3MD-FN4HJ-GXYPT-4KXMY-WHV22</t>
  </si>
  <si>
    <t xml:space="preserve">АКТ от 08.11.2025</t>
  </si>
  <si>
    <t xml:space="preserve">JMR-016</t>
  </si>
  <si>
    <t xml:space="preserve">.JMR-13303</t>
  </si>
  <si>
    <t xml:space="preserve">Хорчева Светлана Александровна</t>
  </si>
  <si>
    <t xml:space="preserve">Khorcheva Svetlana</t>
  </si>
  <si>
    <t xml:space="preserve">Специалист по группы заказов</t>
  </si>
  <si>
    <t xml:space="preserve">Acer Aspire Lite AL15-41</t>
  </si>
  <si>
    <t xml:space="preserve">UN31ZSI04F533024B50700</t>
  </si>
  <si>
    <t xml:space="preserve">VXGCN-Y9XJM-YQW3B-W2K28-W44TG</t>
  </si>
  <si>
    <t xml:space="preserve">Акт 02.12.2025</t>
  </si>
  <si>
    <t xml:space="preserve">JMR-017</t>
  </si>
  <si>
    <t xml:space="preserve">A.Gorbanchuk.JMR</t>
  </si>
  <si>
    <t xml:space="preserve"> Горбанчук Артем Григорьевич (принял Елисеев А.А.)</t>
  </si>
  <si>
    <t xml:space="preserve">Gorbanchuk Artem</t>
  </si>
  <si>
    <t xml:space="preserve">Специалист по качеству</t>
  </si>
  <si>
    <t xml:space="preserve">QT  (RUIXIN)</t>
  </si>
  <si>
    <t xml:space="preserve">Laptop, mouse, bag, USB - LAN</t>
  </si>
  <si>
    <t xml:space="preserve">PF4V6E1X</t>
  </si>
  <si>
    <t xml:space="preserve">Акт от 30.10.2025</t>
  </si>
  <si>
    <t xml:space="preserve">JMR-018</t>
  </si>
  <si>
    <t xml:space="preserve">нужно переоформить на Пискарёва Артема Александровича. Это специалист по качеству</t>
  </si>
  <si>
    <t xml:space="preserve">непонятно кто использует/не сдан????? не передают  обратно</t>
  </si>
  <si>
    <t xml:space="preserve">
ACD 15 S</t>
  </si>
  <si>
    <t xml:space="preserve">НЕ НА БАЛАНСЕ/Belong to HMR</t>
  </si>
  <si>
    <t xml:space="preserve">Belong to HMR</t>
  </si>
  <si>
    <t xml:space="preserve">AH15SI2209110724</t>
  </si>
  <si>
    <t xml:space="preserve">Акт от 06.02.2025</t>
  </si>
  <si>
    <t xml:space="preserve">JMR-019</t>
  </si>
  <si>
    <t xml:space="preserve">Крюкова Марина Владимировна</t>
  </si>
  <si>
    <t xml:space="preserve">Kryukova Marina</t>
  </si>
  <si>
    <t xml:space="preserve">UN31ZSI04F533025070700</t>
  </si>
  <si>
    <t xml:space="preserve">JMR-020</t>
  </si>
  <si>
    <t xml:space="preserve">new</t>
  </si>
  <si>
    <t xml:space="preserve">JMR-021</t>
  </si>
  <si>
    <t xml:space="preserve">JMR-022</t>
  </si>
  <si>
    <t xml:space="preserve">BROCKEN</t>
  </si>
  <si>
    <t xml:space="preserve">не исправен</t>
  </si>
  <si>
    <t xml:space="preserve">HAVE A PROBLEM</t>
  </si>
  <si>
    <t xml:space="preserve">need return to HMR</t>
  </si>
  <si>
    <t xml:space="preserve">Laptop IRBIS 15NBC1003</t>
  </si>
  <si>
    <t xml:space="preserve">F2715NBC10030820141</t>
  </si>
  <si>
    <t xml:space="preserve">KHFMJ-8NM99-J47WT-TYT7B-7MH22</t>
  </si>
  <si>
    <t xml:space="preserve">JMR-023</t>
  </si>
  <si>
    <t xml:space="preserve">F2715NBC10030820067</t>
  </si>
  <si>
    <t xml:space="preserve">9HPBR-CN9HG-4G6VP-PDJC2-RVV22</t>
  </si>
  <si>
    <t xml:space="preserve">НЕ ДЕРЖИТ АКУМУЛЯТОР  !!!</t>
  </si>
  <si>
    <t xml:space="preserve">WITHOUT PC</t>
  </si>
  <si>
    <t xml:space="preserve">Табельный</t>
  </si>
  <si>
    <t xml:space="preserve">ФИО</t>
  </si>
  <si>
    <t xml:space="preserve">Статус</t>
  </si>
  <si>
    <t xml:space="preserve">Имя и фамилия ENG</t>
  </si>
  <si>
    <t xml:space="preserve">Должность</t>
  </si>
  <si>
    <t xml:space="preserve">Тип</t>
  </si>
  <si>
    <t xml:space="preserve">Модель</t>
  </si>
  <si>
    <t xml:space="preserve">Название В домене </t>
  </si>
  <si>
    <t xml:space="preserve">S/N:</t>
  </si>
  <si>
    <t xml:space="preserve">?</t>
  </si>
  <si>
    <t xml:space="preserve">Стоит на складе, не стоит на балансе</t>
  </si>
  <si>
    <t xml:space="preserve">Borovikov Alexander</t>
  </si>
  <si>
    <t xml:space="preserve">(Студент) технической поддержки</t>
  </si>
  <si>
    <t xml:space="preserve">Laptop HP Elite Book 840 G3</t>
  </si>
  <si>
    <t xml:space="preserve">НЕУЧТЁНКА ОТ ЯГЕЛОВОЙ</t>
  </si>
  <si>
    <t xml:space="preserve">1-07 2 этаж</t>
  </si>
  <si>
    <t xml:space="preserve">5CG7163V7D</t>
  </si>
  <si>
    <t xml:space="preserve">RUTL-5CG1763V7D</t>
  </si>
  <si>
    <t xml:space="preserve">no need</t>
  </si>
  <si>
    <t xml:space="preserve">Акт 04.03.2025</t>
  </si>
  <si>
    <t xml:space="preserve">ОТ MU вероятно</t>
  </si>
  <si>
    <t xml:space="preserve">Workstation</t>
  </si>
  <si>
    <t xml:space="preserve">Lenovo V530S</t>
  </si>
  <si>
    <t xml:space="preserve">Неучтёнка от MU наверное</t>
  </si>
  <si>
    <t xml:space="preserve">YL003MJR</t>
  </si>
  <si>
    <t xml:space="preserve">RUTL-YL003MJR</t>
  </si>
  <si>
    <t xml:space="preserve">Клименок Вероника Сергеевна</t>
  </si>
  <si>
    <t xml:space="preserve">Klimenok Veronica</t>
  </si>
  <si>
    <t xml:space="preserve">Специалист по подбору персонала</t>
  </si>
  <si>
    <t xml:space="preserve">HRD, REC, WC REC</t>
  </si>
  <si>
    <t xml:space="preserve">Laptop, mouse+Lan-USB</t>
  </si>
  <si>
    <t xml:space="preserve">00000019366(14)</t>
  </si>
  <si>
    <t xml:space="preserve">1-07 Третий этаж</t>
  </si>
  <si>
    <t xml:space="preserve">R90T947H</t>
  </si>
  <si>
    <t xml:space="preserve">T2NMK-6MYVB-67DTH-8W896-9KXTP</t>
  </si>
  <si>
    <t xml:space="preserve">Акт 20.11.2025</t>
  </si>
  <si>
    <t xml:space="preserve">2019</t>
  </si>
  <si>
    <t xml:space="preserve">утилизация после замены</t>
  </si>
  <si>
    <t xml:space="preserve">Акулиничев Андрей</t>
  </si>
  <si>
    <t xml:space="preserve">Display</t>
  </si>
  <si>
    <t xml:space="preserve">Xiaomi 24 Mi 1c</t>
  </si>
  <si>
    <t xml:space="preserve">Стоит на складе</t>
  </si>
  <si>
    <t xml:space="preserve">Dell P2419H</t>
  </si>
  <si>
    <t xml:space="preserve">CN-0X046X</t>
  </si>
  <si>
    <t xml:space="preserve">Wen Jinqiu</t>
  </si>
  <si>
    <t xml:space="preserve">Lenovo C24-20</t>
  </si>
  <si>
    <t xml:space="preserve">V5CGA557</t>
  </si>
  <si>
    <t xml:space="preserve">Фоменков В.А.</t>
  </si>
  <si>
    <t xml:space="preserve">Без акта 05.12.2025</t>
  </si>
  <si>
    <t xml:space="preserve">Земцова Анастасия</t>
  </si>
  <si>
    <t xml:space="preserve">Инженер-технолог (1 категории) MD, AS</t>
  </si>
  <si>
    <t xml:space="preserve">Lenovo 19" LT 1952p Black</t>
  </si>
  <si>
    <t xml:space="preserve">00000000329</t>
  </si>
  <si>
    <t xml:space="preserve">V9-VFRV1</t>
  </si>
  <si>
    <t xml:space="preserve">Комаров Дмитрий Александрович</t>
  </si>
  <si>
    <t xml:space="preserve">Komarov Dmitry</t>
  </si>
  <si>
    <t xml:space="preserve">Младший инженер по внедрению информационных систем 2 категории</t>
  </si>
  <si>
    <t xml:space="preserve">RDC, ISS, MSG</t>
  </si>
  <si>
    <t xml:space="preserve">AiO Acer Aspire C24-1800</t>
  </si>
  <si>
    <t xml:space="preserve">MES</t>
  </si>
  <si>
    <t xml:space="preserve">1-07 Второй этаж</t>
  </si>
  <si>
    <t xml:space="preserve">DQBKLCD001338014D13000</t>
  </si>
  <si>
    <t xml:space="preserve">LOCAL ADMIN</t>
  </si>
  <si>
    <t xml:space="preserve">Акт 06.03.2026</t>
  </si>
  <si>
    <t xml:space="preserve">Евсиков Константин</t>
  </si>
  <si>
    <t xml:space="preserve">SSD SATA 256</t>
  </si>
  <si>
    <t xml:space="preserve">Patrior</t>
  </si>
  <si>
    <t xml:space="preserve">будет 970</t>
  </si>
  <si>
    <t xml:space="preserve">было 622</t>
  </si>
  <si>
    <t xml:space="preserve">СУММА</t>
  </si>
  <si>
    <t xml:space="preserve">Итоговое по пк с 1 владельцем</t>
  </si>
  <si>
    <t xml:space="preserve">Итоговое по общим (92)</t>
  </si>
  <si>
    <t xml:space="preserve">Итоговое по техническим (52)</t>
  </si>
  <si>
    <t xml:space="preserve">Итоговое по складу</t>
  </si>
  <si>
    <t xml:space="preserve">Итоговое ЖМР(23)</t>
  </si>
  <si>
    <t xml:space="preserve">Итоговое RDD новое</t>
  </si>
  <si>
    <t xml:space="preserve">ИТОГО</t>
  </si>
  <si>
    <r>
      <rPr>
        <b val="true"/>
        <sz val="14"/>
        <color theme="1"/>
        <rFont val="Calibri"/>
        <family val="0"/>
        <charset val="1"/>
      </rPr>
      <t xml:space="preserve">5</t>
    </r>
    <r>
      <rPr>
        <sz val="14"/>
        <color theme="1"/>
        <rFont val="Calibri"/>
        <family val="0"/>
        <charset val="1"/>
      </rPr>
      <t xml:space="preserve">- </t>
    </r>
    <r>
      <rPr>
        <b val="true"/>
        <sz val="14"/>
        <color theme="1"/>
        <rFont val="Calibri"/>
        <family val="0"/>
        <charset val="1"/>
      </rPr>
      <t xml:space="preserve">write off</t>
    </r>
    <r>
      <rPr>
        <sz val="14"/>
        <color theme="1"/>
        <rFont val="Calibri"/>
        <family val="0"/>
        <charset val="1"/>
      </rPr>
      <t xml:space="preserve">/ 
</t>
    </r>
    <r>
      <rPr>
        <b val="true"/>
        <sz val="14"/>
        <color theme="1"/>
        <rFont val="Calibri"/>
        <family val="0"/>
        <charset val="1"/>
      </rPr>
      <t xml:space="preserve">8</t>
    </r>
    <r>
      <rPr>
        <sz val="14"/>
        <color theme="1"/>
        <rFont val="Calibri"/>
        <family val="0"/>
        <charset val="1"/>
      </rPr>
      <t xml:space="preserve">-</t>
    </r>
    <r>
      <rPr>
        <b val="true"/>
        <sz val="14"/>
        <color theme="1"/>
        <rFont val="Calibri"/>
        <family val="0"/>
        <charset val="1"/>
      </rPr>
      <t xml:space="preserve">неприкасаемый резерв</t>
    </r>
    <r>
      <rPr>
        <sz val="14"/>
        <color theme="1"/>
        <rFont val="Calibri"/>
        <family val="0"/>
        <charset val="1"/>
      </rPr>
      <t xml:space="preserve">/ 
</t>
    </r>
    <r>
      <rPr>
        <b val="true"/>
        <sz val="14"/>
        <color theme="1"/>
        <rFont val="Calibri"/>
        <family val="0"/>
        <charset val="1"/>
      </rPr>
      <t xml:space="preserve">3-стоят в подразделениях</t>
    </r>
    <r>
      <rPr>
        <sz val="14"/>
        <color theme="1"/>
        <rFont val="Calibri"/>
        <family val="0"/>
        <charset val="1"/>
      </rPr>
      <t xml:space="preserve"> /
</t>
    </r>
    <r>
      <rPr>
        <b val="true"/>
        <sz val="14"/>
        <color theme="1"/>
        <rFont val="Calibri"/>
        <family val="0"/>
        <charset val="1"/>
      </rPr>
      <t xml:space="preserve">14-ждут ремонт
</t>
    </r>
    <r>
      <rPr>
        <sz val="10"/>
        <color theme="1"/>
        <rFont val="Calibri"/>
        <family val="0"/>
        <charset val="1"/>
      </rPr>
      <t xml:space="preserve">
итого</t>
    </r>
  </si>
  <si>
    <t xml:space="preserve">20.11.2024 -645</t>
  </si>
  <si>
    <t xml:space="preserve">21.11.2024 -646</t>
  </si>
  <si>
    <t xml:space="preserve">22.11.2024 -649</t>
  </si>
  <si>
    <t xml:space="preserve">25.11.2024 -654</t>
  </si>
  <si>
    <t xml:space="preserve">25.11.2024 -655</t>
  </si>
  <si>
    <t xml:space="preserve">  </t>
  </si>
  <si>
    <t xml:space="preserve">26.11.2024 -655</t>
  </si>
  <si>
    <t xml:space="preserve">27.11.2024 -655</t>
  </si>
  <si>
    <t xml:space="preserve">28.11.2024 -656</t>
  </si>
  <si>
    <t xml:space="preserve">29.11.2024 -671</t>
  </si>
  <si>
    <t xml:space="preserve">03.12.2024 -678</t>
  </si>
  <si>
    <t xml:space="preserve">03.12.2024 -679</t>
  </si>
  <si>
    <t xml:space="preserve">06.12.2024 -683</t>
  </si>
  <si>
    <t xml:space="preserve">09.12.2024-692</t>
  </si>
  <si>
    <t xml:space="preserve">10.12.2024-694</t>
  </si>
  <si>
    <t xml:space="preserve">11.12.2024-696</t>
  </si>
  <si>
    <t xml:space="preserve">12.12.2024-701</t>
  </si>
  <si>
    <t xml:space="preserve">17.12.2024-709</t>
  </si>
  <si>
    <t xml:space="preserve">20.12.2024-709</t>
  </si>
  <si>
    <t xml:space="preserve">24.12.2024-712</t>
  </si>
  <si>
    <t xml:space="preserve">27.12.2024-714</t>
  </si>
  <si>
    <t xml:space="preserve">09.01.2025-715</t>
  </si>
  <si>
    <t xml:space="preserve">13.01.2025-716</t>
  </si>
  <si>
    <t xml:space="preserve">13.01.2025-722</t>
  </si>
  <si>
    <t xml:space="preserve">13.01.2025-725</t>
  </si>
  <si>
    <t xml:space="preserve">20.01.2025-726</t>
  </si>
  <si>
    <t xml:space="preserve">24.01.2025-729</t>
  </si>
  <si>
    <t xml:space="preserve">31.01.2025-730</t>
  </si>
  <si>
    <t xml:space="preserve">03.02.2025-730 (1 из 730 мы временно передали жмр)</t>
  </si>
  <si>
    <t xml:space="preserve">06.02.2025-733(3 из хмр для жмр)</t>
  </si>
  <si>
    <t xml:space="preserve">06.02.2025-734(3 из хмр для жмр)</t>
  </si>
  <si>
    <t xml:space="preserve">06.02.2025-735(3 из хмр для жмр)</t>
  </si>
  <si>
    <t xml:space="preserve">06.02.2025-736(3 из хмр для жмр)</t>
  </si>
  <si>
    <t xml:space="preserve">06.02.2025-738(3 из хмр для жмр)</t>
  </si>
  <si>
    <t xml:space="preserve">19.02.2025-739(3 из хмр для жмр)</t>
  </si>
  <si>
    <t xml:space="preserve">20.02.2025-744(8 из хмр для жмр)</t>
  </si>
  <si>
    <t xml:space="preserve">11.03.2025-782 (774 это наши +8 ЖМР)</t>
  </si>
  <si>
    <t xml:space="preserve">20.03.2025-800 (774+18 это наши +8ЖМР)</t>
  </si>
  <si>
    <t xml:space="preserve">17.04.2025-805 (792 это наши +13 ЖМР)</t>
  </si>
  <si>
    <t xml:space="preserve">17.04.2025-807 (792 это наши +13 ЖМР)+2 на списание по браку</t>
  </si>
  <si>
    <t xml:space="preserve">08.08.2025-822 (792+15 это наши +13 ЖМР+)+2 на списание по браку</t>
  </si>
  <si>
    <t xml:space="preserve">15-09-2025-827  (792+15 это наши +18 ЖМР+)+2 на списание по браку</t>
  </si>
  <si>
    <r>
      <rPr>
        <sz val="10"/>
        <color theme="1"/>
        <rFont val="Calibri"/>
        <family val="0"/>
        <charset val="1"/>
      </rPr>
      <t xml:space="preserve">17-10-2025</t>
    </r>
    <r>
      <rPr>
        <b val="true"/>
        <sz val="10"/>
        <color theme="1"/>
        <rFont val="Calibri"/>
        <family val="0"/>
        <charset val="1"/>
      </rPr>
      <t xml:space="preserve">-843  </t>
    </r>
    <r>
      <rPr>
        <sz val="10"/>
        <color theme="1"/>
        <rFont val="Calibri"/>
        <family val="0"/>
        <charset val="1"/>
      </rPr>
      <t xml:space="preserve">(791+15+16 это наши +19 ЖМР)+2 на списание по браку</t>
    </r>
  </si>
  <si>
    <r>
      <rPr>
        <sz val="10"/>
        <color theme="1"/>
        <rFont val="Calibri"/>
        <family val="0"/>
        <charset val="1"/>
      </rPr>
      <t xml:space="preserve">13-11-2025 -</t>
    </r>
    <r>
      <rPr>
        <b val="true"/>
        <sz val="10"/>
        <color theme="1"/>
        <rFont val="Calibri"/>
        <family val="0"/>
        <charset val="1"/>
      </rPr>
      <t xml:space="preserve">834</t>
    </r>
    <r>
      <rPr>
        <sz val="10"/>
        <color theme="1"/>
        <rFont val="Calibri"/>
        <family val="0"/>
        <charset val="1"/>
      </rPr>
      <t xml:space="preserve">(822 это наши +19 ЖМР+)+2 на списание по браку
погдготовлено/передано на утилизацию 9 ПК</t>
    </r>
  </si>
  <si>
    <r>
      <rPr>
        <sz val="10"/>
        <color theme="1"/>
        <rFont val="Calibri"/>
        <family val="0"/>
        <charset val="1"/>
      </rPr>
      <t xml:space="preserve">14-11-2025 -</t>
    </r>
    <r>
      <rPr>
        <sz val="19"/>
        <color theme="1"/>
        <rFont val="Calibri"/>
        <family val="0"/>
        <charset val="1"/>
      </rPr>
      <t xml:space="preserve">855</t>
    </r>
    <r>
      <rPr>
        <sz val="10"/>
        <color theme="1"/>
        <rFont val="Calibri"/>
        <family val="0"/>
        <charset val="1"/>
      </rPr>
      <t xml:space="preserve">(823+20(ср.закуп.) это наши +19 ЖМР+)+2 на списание по браку
09-12-2025 списано/передано на утилизацию 9 ПК</t>
    </r>
  </si>
  <si>
    <r>
      <rPr>
        <sz val="10"/>
        <color theme="1"/>
        <rFont val="Calibri"/>
        <family val="0"/>
        <charset val="1"/>
      </rPr>
      <t xml:space="preserve">28-11-2025 -</t>
    </r>
    <r>
      <rPr>
        <sz val="19"/>
        <color theme="1"/>
        <rFont val="Calibri"/>
        <family val="0"/>
        <charset val="1"/>
      </rPr>
      <t xml:space="preserve">896</t>
    </r>
    <r>
      <rPr>
        <sz val="10"/>
        <color theme="1"/>
        <rFont val="Calibri"/>
        <family val="0"/>
        <charset val="1"/>
      </rPr>
      <t xml:space="preserve">(823+20(ср.закуп.) это наши +23 ЖМР+)+2 на списание по браку+39 по тендеру  RDD
09-12-2025 списано/передано на утилизацию 9 ПК
</t>
    </r>
  </si>
  <si>
    <r>
      <rPr>
        <sz val="10"/>
        <color theme="1"/>
        <rFont val="Calibri"/>
        <family val="0"/>
        <charset val="1"/>
      </rPr>
      <t xml:space="preserve">09-12-2025 -</t>
    </r>
    <r>
      <rPr>
        <sz val="19"/>
        <color theme="1"/>
        <rFont val="Calibri"/>
        <family val="0"/>
        <charset val="1"/>
      </rPr>
      <t xml:space="preserve">887</t>
    </r>
    <r>
      <rPr>
        <sz val="10"/>
        <color theme="1"/>
        <rFont val="Calibri"/>
        <family val="0"/>
        <charset val="1"/>
      </rPr>
      <t xml:space="preserve">(823+20(ср.закуп.) это наши +23 ЖМР+)+2 на списание по браку+39 по тендеру  RDD
09-12-2025 списано/передано на утилизацию 9 ПК
12-12-2025 списано/передано на утилизацию 9 ПК</t>
    </r>
  </si>
  <si>
    <r>
      <rPr>
        <sz val="10"/>
        <color theme="1"/>
        <rFont val="Calibri"/>
        <family val="0"/>
        <charset val="1"/>
      </rPr>
      <t xml:space="preserve">19-12-2025 -</t>
    </r>
    <r>
      <rPr>
        <sz val="19"/>
        <color theme="1"/>
        <rFont val="Calibri"/>
        <family val="0"/>
        <charset val="1"/>
      </rPr>
      <t xml:space="preserve">946</t>
    </r>
    <r>
      <rPr>
        <sz val="10"/>
        <color theme="1"/>
        <rFont val="Calibri"/>
        <family val="0"/>
        <charset val="1"/>
      </rPr>
      <t xml:space="preserve">(823+20(ср.закуп.) это наши +23 ЖМР+)+2 на списание по браку+39+59 по тендеру  RDD
09-12-2025 списано/передано на утилизацию 9 ПК
12-12-2025 списано/передано на утилизацию 9 ПК</t>
    </r>
  </si>
  <si>
    <r>
      <rPr>
        <sz val="10"/>
        <color theme="1"/>
        <rFont val="Calibri"/>
        <family val="0"/>
        <charset val="1"/>
      </rPr>
      <t xml:space="preserve">19-12-2025 -</t>
    </r>
    <r>
      <rPr>
        <sz val="19"/>
        <color theme="1"/>
        <rFont val="Calibri"/>
        <family val="0"/>
        <charset val="1"/>
      </rPr>
      <t xml:space="preserve">932</t>
    </r>
    <r>
      <rPr>
        <sz val="10"/>
        <color theme="1"/>
        <rFont val="Calibri"/>
        <family val="0"/>
        <charset val="1"/>
      </rPr>
      <t xml:space="preserve">(823+20(ср.закуп.) это наши +23 ЖМР+)+2 на списание по браку+39+59 по тендеру  RDD
09-12-2025 списано/передано на утилизацию 9 ПК
12-12-2025 списано/передано на утилизацию 9 ПК
24-12-2025 списано/передано на утилизацию 14 ПК</t>
    </r>
  </si>
  <si>
    <r>
      <rPr>
        <sz val="10"/>
        <color theme="1"/>
        <rFont val="Calibri"/>
        <family val="0"/>
        <charset val="1"/>
      </rPr>
      <t xml:space="preserve">20-01-2026 -</t>
    </r>
    <r>
      <rPr>
        <sz val="19"/>
        <color theme="1"/>
        <rFont val="Calibri"/>
        <family val="0"/>
        <charset val="1"/>
      </rPr>
      <t xml:space="preserve">930</t>
    </r>
    <r>
      <rPr>
        <sz val="10"/>
        <color theme="1"/>
        <rFont val="Calibri"/>
        <family val="0"/>
        <charset val="1"/>
      </rPr>
      <t xml:space="preserve">(823+20(ср.закуп.) это наши +23 ЖМР+)-2 на списание по браку( легализовали сторно эйсеров от 01-04-25)+39+59 по тендеру  RDD
09-12-2025 списано/передано на утилизацию 9 ПК
12-12-2025 списано/передано на утилизацию 9 ПК
24-12-2025 списано/передано на утилизацию 14 ПК</t>
    </r>
  </si>
  <si>
    <r>
      <rPr>
        <sz val="10"/>
        <color theme="1"/>
        <rFont val="Calibri"/>
        <family val="0"/>
        <charset val="1"/>
      </rPr>
      <t xml:space="preserve">27-03-2026 -</t>
    </r>
    <r>
      <rPr>
        <sz val="19"/>
        <color theme="1"/>
        <rFont val="Calibri"/>
        <family val="0"/>
        <charset val="1"/>
      </rPr>
      <t xml:space="preserve">1021</t>
    </r>
    <r>
      <rPr>
        <sz val="10"/>
        <color theme="1"/>
        <rFont val="Calibri"/>
        <family val="0"/>
        <charset val="1"/>
      </rPr>
      <t xml:space="preserve">(843++39+59 по тендеру  RDD+53+38 по тендеру для новых цехов) это наши +23 ЖМР
2 на списание по браку( легализовали сторно эйсеров от 01-04-25)
09-12-2025 списано/передано на утилизацию 9 ПК
12-12-2025 списано/передано на утилизацию 9 ПК
24-12-2025 списано/передано на утилизацию 14 ПК
</t>
    </r>
  </si>
  <si>
    <r>
      <rPr>
        <sz val="10"/>
        <color theme="1"/>
        <rFont val="Calibri"/>
        <family val="0"/>
        <charset val="1"/>
      </rPr>
      <t xml:space="preserve">06-04-2026 -</t>
    </r>
    <r>
      <rPr>
        <sz val="19"/>
        <color theme="1"/>
        <rFont val="Calibri"/>
        <family val="0"/>
        <charset val="1"/>
      </rPr>
      <t xml:space="preserve">1110</t>
    </r>
    <r>
      <rPr>
        <sz val="10"/>
        <color theme="1"/>
        <rFont val="Calibri"/>
        <family val="0"/>
        <charset val="1"/>
      </rPr>
      <t xml:space="preserve">(843++39+59 по тендеру  RDD+53+38+89 по тендеру для новых цехов) это наши +23 ЖМР
2 на списание по браку( легализовали сторно эйсеров от 01-04-25)
09-12-2025 списано/передано на утилизацию 9 ПК
12-12-2025 списано/передано на утилизацию 9 ПК
24-12-2025 списано/передано на утилизацию 14 ПК
</t>
    </r>
  </si>
  <si>
    <t xml:space="preserve">Дата поступления информации </t>
  </si>
  <si>
    <t xml:space="preserve">Дата выдачи ПК</t>
  </si>
  <si>
    <t xml:space="preserve">Источник информации о потребности в пк</t>
  </si>
  <si>
    <t xml:space="preserve">Дата выхода сотрудника /дата  перевода сотрудника </t>
  </si>
  <si>
    <t xml:space="preserve">Приоритет выдачи (1 - высокий, 2 - средний, 3 - низкий)</t>
  </si>
  <si>
    <t xml:space="preserve">Тип потребности (новый/замена/перевод/промоушен/выход из декрета/временное совм. исп. с др.спец)</t>
  </si>
  <si>
    <t xml:space="preserve">Имя сотрудника</t>
  </si>
  <si>
    <t xml:space="preserve">ID</t>
  </si>
  <si>
    <t xml:space="preserve">Подразделение</t>
  </si>
  <si>
    <t xml:space="preserve">Руководитель</t>
  </si>
  <si>
    <t xml:space="preserve">Кто подал запрос?</t>
  </si>
  <si>
    <t xml:space="preserve">Тип ПК</t>
  </si>
  <si>
    <t xml:space="preserve">Какой решено (SN или чей)</t>
  </si>
  <si>
    <t xml:space="preserve">Потребность?
(подписанный документ)</t>
  </si>
  <si>
    <t xml:space="preserve">Служебная записка на сотрудника?</t>
  </si>
  <si>
    <t xml:space="preserve">Запрос в ITSM?</t>
  </si>
  <si>
    <t xml:space="preserve">Уведомление. от HR</t>
  </si>
  <si>
    <t xml:space="preserve">Другое</t>
  </si>
  <si>
    <t xml:space="preserve">Техника RDD</t>
  </si>
  <si>
    <t xml:space="preserve">потребность с запозданием 04-02-2026</t>
  </si>
  <si>
    <t xml:space="preserve">Новый_2026</t>
  </si>
  <si>
    <t xml:space="preserve">Железцов Артем</t>
  </si>
  <si>
    <t xml:space="preserve">Инженер технолог</t>
  </si>
  <si>
    <t xml:space="preserve">ES_QT</t>
  </si>
  <si>
    <t xml:space="preserve">L1</t>
  </si>
  <si>
    <t xml:space="preserve">ПРОЕКТОРЫ
</t>
  </si>
  <si>
    <t xml:space="preserve">ИНВ №</t>
  </si>
  <si>
    <t xml:space="preserve">s/n</t>
  </si>
  <si>
    <t xml:space="preserve">model</t>
  </si>
  <si>
    <t xml:space="preserve">location</t>
  </si>
  <si>
    <t xml:space="preserve">MRJU711001311004B05900</t>
  </si>
  <si>
    <t xml:space="preserve">Проектор Acer X1528i HDMI,Wifi</t>
  </si>
  <si>
    <t xml:space="preserve">2 этаж переговорка с поликомом</t>
  </si>
  <si>
    <t xml:space="preserve">1-09</t>
  </si>
  <si>
    <t xml:space="preserve">на учет</t>
  </si>
  <si>
    <t xml:space="preserve">MRJV811001432008D58410</t>
  </si>
  <si>
    <t xml:space="preserve">Проектор Acer X1529HK</t>
  </si>
  <si>
    <t xml:space="preserve">переговорная 1-07-2.1(большая переговорка GD )</t>
  </si>
  <si>
    <t xml:space="preserve">1-07</t>
  </si>
  <si>
    <t xml:space="preserve">PD49R01199000</t>
  </si>
  <si>
    <t xml:space="preserve">Проектор BenQ MH550</t>
  </si>
  <si>
    <t xml:space="preserve">1-07-2.2 Переговорка</t>
  </si>
  <si>
    <t xml:space="preserve">Проектор BenQ MW550</t>
  </si>
  <si>
    <t xml:space="preserve">Переговорная 4 этаж RD</t>
  </si>
  <si>
    <t xml:space="preserve">PDZAP01329000</t>
  </si>
  <si>
    <t xml:space="preserve">У Антона узнать серийный номер</t>
  </si>
  <si>
    <t xml:space="preserve">1-09 2 этаж</t>
  </si>
  <si>
    <t xml:space="preserve">PD49R01198000</t>
  </si>
  <si>
    <t xml:space="preserve">1-09 3 этаж переговорная</t>
  </si>
  <si>
    <t xml:space="preserve">1-09 3-й этаж</t>
  </si>
  <si>
    <t xml:space="preserve">Отдаём в 1-09 3 этаж</t>
  </si>
  <si>
    <t xml:space="preserve">Z000058/140000182</t>
  </si>
  <si>
    <t xml:space="preserve">Проектор Epson EB-980 W/2</t>
  </si>
  <si>
    <t xml:space="preserve">Переговорная 3 Уч класс</t>
  </si>
  <si>
    <t xml:space="preserve">Z000131/140000035</t>
  </si>
  <si>
    <t xml:space="preserve">Проектор Epson EB-965H</t>
  </si>
  <si>
    <t xml:space="preserve">Переговорная 3 эт FD</t>
  </si>
  <si>
    <t xml:space="preserve">Проектор Epson EH-TW610/1</t>
  </si>
  <si>
    <t xml:space="preserve">Hr общий</t>
  </si>
  <si>
    <t xml:space="preserve">21040(1)</t>
  </si>
  <si>
    <t xml:space="preserve">Проектор Epson EB-E001</t>
  </si>
  <si>
    <t xml:space="preserve">Переговорная 1  этаж</t>
  </si>
  <si>
    <t xml:space="preserve">21040(2)</t>
  </si>
  <si>
    <t xml:space="preserve">X7E69700849</t>
  </si>
  <si>
    <t xml:space="preserve">класс hse</t>
  </si>
  <si>
    <t xml:space="preserve">Цеха</t>
  </si>
  <si>
    <t xml:space="preserve">Проектор Epson EH-TW610/3</t>
  </si>
  <si>
    <t xml:space="preserve">SW  Уч класс</t>
  </si>
  <si>
    <t xml:space="preserve">01-02</t>
  </si>
  <si>
    <t xml:space="preserve">Z000034/140000181</t>
  </si>
  <si>
    <t xml:space="preserve">Проектор Epson EB-980 W/1</t>
  </si>
  <si>
    <t xml:space="preserve">ASSE  Уч класс</t>
  </si>
  <si>
    <t xml:space="preserve">01-04</t>
  </si>
  <si>
    <t xml:space="preserve">1-02 mu sw</t>
  </si>
  <si>
    <t xml:space="preserve">UTL Уч класс</t>
  </si>
  <si>
    <t xml:space="preserve">1-13</t>
  </si>
  <si>
    <t xml:space="preserve">QI Уч класс</t>
  </si>
  <si>
    <t xml:space="preserve">Проектор Epson EH-TW610/2</t>
  </si>
  <si>
    <t xml:space="preserve">PAINT Уч класс</t>
  </si>
  <si>
    <t xml:space="preserve">01-03</t>
  </si>
  <si>
    <t xml:space="preserve">Проектор Epson EB-970/1</t>
  </si>
  <si>
    <t xml:space="preserve">1-06 переговорная 2 этаж</t>
  </si>
  <si>
    <t xml:space="preserve">01-06</t>
  </si>
  <si>
    <t xml:space="preserve">Z000033/140000183</t>
  </si>
  <si>
    <t xml:space="preserve">x4zg8400031</t>
  </si>
  <si>
    <t xml:space="preserve">Проектор Epson EB-980 W/3</t>
  </si>
  <si>
    <t xml:space="preserve">Комната рядом с переговорной</t>
  </si>
  <si>
    <t xml:space="preserve">1-03</t>
  </si>
  <si>
    <t xml:space="preserve">Z000013/140000049</t>
  </si>
  <si>
    <t xml:space="preserve">VSBK6500207</t>
  </si>
  <si>
    <t xml:space="preserve">Цех двигателей в комнате обучения с Polycom (новый офис, который не офис, а склад раздевалка</t>
  </si>
  <si>
    <t xml:space="preserve">1-46 (Цех Двигаталей)</t>
  </si>
  <si>
    <t xml:space="preserve">на складе</t>
  </si>
  <si>
    <t xml:space="preserve">MRJU7110013110047A5900(13110047A5900)</t>
  </si>
  <si>
    <t xml:space="preserve">2 этаж переговорная с поликомом</t>
  </si>
  <si>
    <t xml:space="preserve">он на ремонте/списание через PD по корректировочной накладной</t>
  </si>
  <si>
    <t xml:space="preserve">СЛОМАН</t>
  </si>
  <si>
    <t xml:space="preserve">Проектор Epson EH-TW610</t>
  </si>
  <si>
    <t xml:space="preserve">лежит на складе</t>
  </si>
  <si>
    <t xml:space="preserve">Нужны линзы/подготовим доки на списание</t>
  </si>
  <si>
    <t xml:space="preserve">купили для QA</t>
  </si>
  <si>
    <t xml:space="preserve">ФОТО/Видео
</t>
  </si>
  <si>
    <t xml:space="preserve">1-07 3 этаж </t>
  </si>
  <si>
    <t xml:space="preserve">1-09 1 этаж</t>
  </si>
  <si>
    <t xml:space="preserve">выдан но не настроен</t>
  </si>
  <si>
    <t xml:space="preserve">Ягелова Татьяна Владимировна</t>
  </si>
  <si>
    <t xml:space="preserve">новый</t>
  </si>
  <si>
    <t xml:space="preserve">no domain</t>
  </si>
  <si>
    <t xml:space="preserve">Yagelova Tatiana</t>
  </si>
  <si>
    <t xml:space="preserve">Заместитель директора</t>
  </si>
  <si>
    <t xml:space="preserve">R&amp;D</t>
  </si>
  <si>
    <t xml:space="preserve">MSI Modern 15 F1MG-800XRU</t>
  </si>
  <si>
    <t xml:space="preserve">C2509N0008428</t>
  </si>
  <si>
    <t xml:space="preserve">Professional Plus 2019 / Активирован </t>
  </si>
  <si>
    <t xml:space="preserve">Windows 11</t>
  </si>
  <si>
    <t xml:space="preserve">не настроен</t>
  </si>
  <si>
    <t xml:space="preserve">C2509N0008430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</si>
</sst>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000000000"/>
    <numFmt numFmtId="167" formatCode="@"/>
    <numFmt numFmtId="168" formatCode="0"/>
    <numFmt numFmtId="169" formatCode="d\-m\-yyyy"/>
    <numFmt numFmtId="170" formatCode="dd\-mm\-yyyy"/>
    <numFmt numFmtId="171" formatCode="dd\.mm\.yyyy"/>
  </numFmts>
  <fonts count="80">
    <font>
      <sz val="10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413003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1"/>
      <color rgb="FF413003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6100"/>
      <name val="Times New Roman"/>
      <family val="0"/>
      <charset val="1"/>
    </font>
    <font>
      <b val="true"/>
      <sz val="12"/>
      <color rgb="FF0061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0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sz val="10"/>
      <name val="Arial"/>
      <family val="2"/>
      <charset val="204"/>
    </font>
    <font>
      <sz val="10"/>
      <color rgb="FF413003"/>
      <name val="Calibri"/>
      <family val="0"/>
      <charset val="1"/>
    </font>
    <font>
      <sz val="10"/>
      <color rgb="FF006100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sz val="10"/>
      <color rgb="FF000000"/>
      <name val="Times New Roman"/>
      <family val="0"/>
      <charset val="1"/>
    </font>
    <font>
      <u val="single"/>
      <sz val="10"/>
      <color rgb="FF0563C1"/>
      <name val="Calibri"/>
      <family val="0"/>
      <charset val="1"/>
    </font>
    <font>
      <sz val="10"/>
      <color rgb="FF000000"/>
      <name val="Comic Sans MS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sz val="10"/>
      <color rgb="FFFF0000"/>
      <name val="Calibri"/>
      <family val="0"/>
      <charset val="1"/>
    </font>
    <font>
      <sz val="10"/>
      <color rgb="FF000000"/>
      <name val="Arial"/>
      <family val="0"/>
      <charset val="1"/>
    </font>
    <font>
      <sz val="10"/>
      <color rgb="FF006100"/>
      <name val="Times New Roman"/>
      <family val="0"/>
      <charset val="1"/>
    </font>
    <font>
      <sz val="10"/>
      <color rgb="FF9C0006"/>
      <name val="Calibri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413003"/>
      <name val="Calibri"/>
      <family val="0"/>
      <charset val="1"/>
    </font>
    <font>
      <sz val="12"/>
      <color rgb="FF9C5700"/>
      <name val="Times New Roman"/>
      <family val="0"/>
      <charset val="1"/>
    </font>
    <font>
      <b val="true"/>
      <sz val="11"/>
      <color rgb="FF000000"/>
      <name val="Calibri"/>
      <family val="0"/>
      <charset val="1"/>
    </font>
    <font>
      <sz val="14"/>
      <color rgb="FF000000"/>
      <name val="Arial"/>
      <family val="0"/>
      <charset val="1"/>
    </font>
    <font>
      <b val="true"/>
      <sz val="14"/>
      <color rgb="FF006100"/>
      <name val="Calibri"/>
      <family val="0"/>
      <charset val="1"/>
    </font>
    <font>
      <sz val="10"/>
      <color rgb="FF9C5700"/>
      <name val="Calibri"/>
      <family val="0"/>
      <charset val="1"/>
    </font>
    <font>
      <sz val="14"/>
      <color rgb="FF000000"/>
      <name val="Calibri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0"/>
      <color rgb="FF000000"/>
      <name val="Calibri"/>
      <family val="0"/>
      <charset val="1"/>
    </font>
    <font>
      <u val="single"/>
      <sz val="10"/>
      <color rgb="FF000000"/>
      <name val="Calibri"/>
      <family val="0"/>
      <charset val="1"/>
    </font>
    <font>
      <sz val="12"/>
      <color theme="1"/>
      <name val="Times New Roman"/>
      <family val="0"/>
      <charset val="1"/>
    </font>
    <font>
      <u val="single"/>
      <sz val="10"/>
      <color rgb="FF0000FF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0"/>
      <color rgb="FF006100"/>
      <name val="Times New Roman"/>
      <family val="0"/>
      <charset val="1"/>
    </font>
    <font>
      <sz val="10"/>
      <color rgb="FF9C5700"/>
      <name val="Times New Roman"/>
      <family val="0"/>
      <charset val="1"/>
    </font>
    <font>
      <b val="true"/>
      <u val="single"/>
      <sz val="10"/>
      <color rgb="FF0000FF"/>
      <name val="Calibri"/>
      <family val="0"/>
      <charset val="1"/>
    </font>
    <font>
      <b val="true"/>
      <sz val="8"/>
      <color rgb="FF413003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0"/>
      <color rgb="FF413003"/>
      <name val="Calibri"/>
      <family val="0"/>
      <charset val="1"/>
    </font>
    <font>
      <b val="true"/>
      <sz val="12"/>
      <color rgb="FF413003"/>
      <name val="Calibri"/>
      <family val="0"/>
      <charset val="1"/>
    </font>
    <font>
      <sz val="10"/>
      <color theme="1"/>
      <name val="Times New Roman"/>
      <family val="0"/>
      <charset val="1"/>
    </font>
    <font>
      <sz val="10"/>
      <color rgb="FF413003"/>
      <name val="Comic Sans MS"/>
      <family val="0"/>
      <charset val="1"/>
    </font>
    <font>
      <sz val="12"/>
      <color rgb="FF413003"/>
      <name val="Calibri"/>
      <family val="0"/>
      <charset val="1"/>
    </font>
    <font>
      <sz val="14"/>
      <color rgb="FF413003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0061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rgb="FF006100"/>
      <name val="Calibri"/>
      <family val="0"/>
      <charset val="1"/>
    </font>
    <font>
      <sz val="8"/>
      <color rgb="FF000000"/>
      <name val="Calibri"/>
      <family val="0"/>
      <charset val="1"/>
    </font>
    <font>
      <sz val="11"/>
      <color rgb="FF006100"/>
      <name val="Calibri"/>
      <family val="0"/>
      <charset val="1"/>
    </font>
    <font>
      <sz val="11"/>
      <color rgb="FF000000"/>
      <name val="Calibri"/>
      <family val="0"/>
      <charset val="1"/>
    </font>
    <font>
      <sz val="12"/>
      <color rgb="FF000000"/>
      <name val="Comic Sans MS"/>
      <family val="0"/>
      <charset val="1"/>
    </font>
    <font>
      <sz val="11"/>
      <color rgb="FF9C5700"/>
      <name val="Calibri"/>
      <family val="0"/>
      <charset val="1"/>
    </font>
    <font>
      <sz val="11"/>
      <color rgb="FF000000"/>
      <name val="Comic Sans MS"/>
      <family val="0"/>
      <charset val="1"/>
    </font>
    <font>
      <b val="true"/>
      <sz val="11"/>
      <color theme="1"/>
      <name val="Calibri"/>
      <family val="0"/>
      <charset val="1"/>
    </font>
    <font>
      <sz val="8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sz val="11"/>
      <color rgb="FF9C0006"/>
      <name val="Calibri"/>
      <family val="0"/>
      <charset val="1"/>
    </font>
    <font>
      <sz val="11"/>
      <color rgb="FF006100"/>
      <name val="Times New Roman"/>
      <family val="0"/>
      <charset val="1"/>
    </font>
    <font>
      <sz val="11"/>
      <color theme="1"/>
      <name val="Comic Sans MS"/>
      <family val="0"/>
      <charset val="1"/>
    </font>
    <font>
      <sz val="22"/>
      <color rgb="FF9C5700"/>
      <name val="Times New Roman"/>
      <family val="0"/>
      <charset val="1"/>
    </font>
    <font>
      <sz val="22"/>
      <color rgb="FF000000"/>
      <name val="Times New Roman"/>
      <family val="0"/>
      <charset val="1"/>
    </font>
    <font>
      <sz val="15"/>
      <color theme="1"/>
      <name val="Calibri"/>
      <family val="0"/>
      <charset val="1"/>
    </font>
    <font>
      <b val="true"/>
      <sz val="25"/>
      <color theme="1"/>
      <name val="Calibri"/>
      <family val="0"/>
      <charset val="1"/>
    </font>
    <font>
      <b val="true"/>
      <sz val="40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4"/>
      <color theme="1"/>
      <name val="Calibri"/>
      <family val="0"/>
      <charset val="1"/>
    </font>
    <font>
      <sz val="19"/>
      <color theme="1"/>
      <name val="Calibri"/>
      <family val="0"/>
      <charset val="1"/>
    </font>
    <font>
      <sz val="9"/>
      <color theme="1"/>
      <name val="Calibri"/>
      <family val="0"/>
      <charset val="1"/>
    </font>
    <font>
      <sz val="11"/>
      <color theme="1"/>
      <name val="Times New Roman"/>
      <family val="0"/>
      <charset val="1"/>
    </font>
    <font>
      <b val="true"/>
      <sz val="15"/>
      <color theme="1"/>
      <name val="Times New Roman"/>
      <family val="0"/>
      <charset val="1"/>
    </font>
    <font>
      <sz val="8"/>
      <color theme="1"/>
      <name val="Times New Roman"/>
      <family val="0"/>
      <charset val="1"/>
    </font>
  </fonts>
  <fills count="40">
    <fill>
      <patternFill patternType="none"/>
    </fill>
    <fill>
      <patternFill patternType="gray125"/>
    </fill>
    <fill>
      <patternFill patternType="solid">
        <fgColor rgb="FFFFFBF0"/>
        <bgColor rgb="FFFFFFFF"/>
      </patternFill>
    </fill>
    <fill>
      <patternFill patternType="solid">
        <fgColor rgb="FFC2BC9F"/>
        <bgColor rgb="FFCCC0D9"/>
      </patternFill>
    </fill>
    <fill>
      <patternFill patternType="solid">
        <fgColor rgb="FFFF0000"/>
        <bgColor rgb="FFFF0066"/>
      </patternFill>
    </fill>
    <fill>
      <patternFill patternType="solid">
        <fgColor rgb="FF92D04F"/>
        <bgColor rgb="FF81D41A"/>
      </patternFill>
    </fill>
    <fill>
      <patternFill patternType="solid">
        <fgColor rgb="FFC6EFCE"/>
        <bgColor rgb="FFD9EAD3"/>
      </patternFill>
    </fill>
    <fill>
      <patternFill patternType="solid">
        <fgColor rgb="FFDBE5F1"/>
        <bgColor rgb="FFE1EAF5"/>
      </patternFill>
    </fill>
    <fill>
      <patternFill patternType="solid">
        <fgColor rgb="FFCCCCFF"/>
        <bgColor rgb="FFCCC0D9"/>
      </patternFill>
    </fill>
    <fill>
      <patternFill patternType="solid">
        <fgColor rgb="FFCCFF99"/>
        <bgColor rgb="FFC6EFCE"/>
      </patternFill>
    </fill>
    <fill>
      <patternFill patternType="solid">
        <fgColor rgb="FFFFFFFF"/>
        <bgColor rgb="FFFFFBF0"/>
      </patternFill>
    </fill>
    <fill>
      <patternFill patternType="solid">
        <fgColor rgb="FFFF6D6D"/>
        <bgColor rgb="FFFF9999"/>
      </patternFill>
    </fill>
    <fill>
      <patternFill patternType="solid">
        <fgColor rgb="FFFF00FF"/>
        <bgColor rgb="FFFF0066"/>
      </patternFill>
    </fill>
    <fill>
      <patternFill patternType="solid">
        <fgColor rgb="FFE0ADBB"/>
        <bgColor rgb="FFE5B5C0"/>
      </patternFill>
    </fill>
    <fill>
      <patternFill patternType="solid">
        <fgColor rgb="FFD9EAD3"/>
        <bgColor rgb="FFDBE5F1"/>
      </patternFill>
    </fill>
    <fill>
      <patternFill patternType="solid">
        <fgColor rgb="FFFFF2CC"/>
        <bgColor rgb="FFFFFBF0"/>
      </patternFill>
    </fill>
    <fill>
      <patternFill patternType="solid">
        <fgColor rgb="FFFFFF00"/>
        <bgColor rgb="FFFFC000"/>
      </patternFill>
    </fill>
    <fill>
      <patternFill patternType="solid">
        <fgColor rgb="FF427DEE"/>
        <bgColor rgb="FF4885E8"/>
      </patternFill>
    </fill>
    <fill>
      <patternFill patternType="solid">
        <fgColor rgb="FFE1EAF5"/>
        <bgColor rgb="FFDBE5F1"/>
      </patternFill>
    </fill>
    <fill>
      <patternFill patternType="solid">
        <fgColor rgb="FFFFFF9D"/>
        <bgColor rgb="FFFFEB9C"/>
      </patternFill>
    </fill>
    <fill>
      <patternFill patternType="solid">
        <fgColor rgb="FFFFC7CE"/>
        <bgColor rgb="FFF4CCCC"/>
      </patternFill>
    </fill>
    <fill>
      <patternFill patternType="solid">
        <fgColor rgb="FF4885E8"/>
        <bgColor rgb="FF427DEE"/>
      </patternFill>
    </fill>
    <fill>
      <patternFill patternType="solid">
        <fgColor rgb="FFFF9900"/>
        <bgColor rgb="FFFFC000"/>
      </patternFill>
    </fill>
    <fill>
      <patternFill patternType="solid">
        <fgColor rgb="FFF4CCCC"/>
        <bgColor rgb="FFFFC7CE"/>
      </patternFill>
    </fill>
    <fill>
      <patternFill patternType="solid">
        <fgColor rgb="FFFFEB9C"/>
        <bgColor rgb="FFFFFF9D"/>
      </patternFill>
    </fill>
    <fill>
      <patternFill patternType="solid">
        <fgColor rgb="FF69AB49"/>
        <bgColor rgb="FF57A84F"/>
      </patternFill>
    </fill>
    <fill>
      <patternFill patternType="solid">
        <fgColor rgb="FF00FF00"/>
        <bgColor rgb="FF81D41A"/>
      </patternFill>
    </fill>
    <fill>
      <patternFill patternType="solid">
        <fgColor rgb="FFFF9999"/>
        <bgColor rgb="FFEA9999"/>
      </patternFill>
    </fill>
    <fill>
      <patternFill patternType="solid">
        <fgColor rgb="FFFFC000"/>
        <bgColor rgb="FFFF9900"/>
      </patternFill>
    </fill>
    <fill>
      <patternFill patternType="solid">
        <fgColor rgb="FFF93A00"/>
        <bgColor rgb="FFCA3F00"/>
      </patternFill>
    </fill>
    <fill>
      <patternFill patternType="solid">
        <fgColor rgb="FFCCC0D9"/>
        <bgColor rgb="FFB4C7E7"/>
      </patternFill>
    </fill>
    <fill>
      <patternFill patternType="solid">
        <fgColor rgb="FFCA3F00"/>
        <bgColor rgb="FFF93A00"/>
      </patternFill>
    </fill>
    <fill>
      <patternFill patternType="solid">
        <fgColor rgb="FF99FFCC"/>
        <bgColor rgb="FFC6EFCE"/>
      </patternFill>
    </fill>
    <fill>
      <patternFill patternType="solid">
        <fgColor rgb="FFA593CC"/>
        <bgColor rgb="FFC2BC9F"/>
      </patternFill>
    </fill>
    <fill>
      <patternFill patternType="solid">
        <fgColor rgb="FFE5B5C0"/>
        <bgColor rgb="FFE0ADBB"/>
      </patternFill>
    </fill>
    <fill>
      <patternFill patternType="solid">
        <fgColor rgb="FF3366FF"/>
        <bgColor rgb="FF427DEE"/>
      </patternFill>
    </fill>
    <fill>
      <patternFill patternType="solid">
        <fgColor rgb="FFB4C7E7"/>
        <bgColor rgb="FFCCC0D9"/>
      </patternFill>
    </fill>
    <fill>
      <patternFill patternType="solid">
        <fgColor rgb="FF674EA7"/>
        <bgColor rgb="FF3366FF"/>
      </patternFill>
    </fill>
    <fill>
      <patternFill patternType="solid">
        <fgColor rgb="FFFF0066"/>
        <bgColor rgb="FFFF0000"/>
      </patternFill>
    </fill>
    <fill>
      <patternFill patternType="solid">
        <fgColor rgb="FF57A84F"/>
        <bgColor rgb="FF69AB4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9B4400"/>
      </left>
      <right style="thin">
        <color rgb="FF9B4400"/>
      </right>
      <top style="thin">
        <color rgb="FF9B4400"/>
      </top>
      <bottom style="thin">
        <color rgb="FF9B4400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23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3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3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3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6" fillId="1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8" fillId="2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9" fillId="2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2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2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2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2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32" fillId="2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9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29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2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" fillId="2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5" fillId="2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1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1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36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3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5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3" fillId="3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2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5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3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2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3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3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7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2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5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1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7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7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2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5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8" fillId="2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9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2" fillId="3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2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6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2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2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7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3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3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7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7" fillId="2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7" fillId="2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8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46">
    <dxf>
      <fill>
        <patternFill patternType="solid">
          <fgColor rgb="FFFFFB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13003"/>
          <bgColor rgb="FF000000"/>
        </patternFill>
      </fill>
    </dxf>
    <dxf>
      <fill>
        <patternFill patternType="solid">
          <fgColor rgb="FF92D04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DBE5F1"/>
          <bgColor rgb="FF000000"/>
        </patternFill>
      </fill>
    </dxf>
    <dxf>
      <fill>
        <patternFill patternType="solid">
          <fgColor rgb="FFC2BC9F"/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CCFF9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ill>
        <patternFill>
          <bgColor rgb="FFFF9900"/>
        </patternFill>
      </fill>
    </dxf>
    <dxf>
      <fill>
        <patternFill patternType="solid">
          <fgColor rgb="FFE0ADBB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color rgb="FF9C6500"/>
        <sz val="1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color rgb="FF9C6500"/>
        <sz val="1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ill>
        <patternFill>
          <bgColor rgb="FFFF99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99FFCC"/>
      <rgbColor rgb="FF9C0006"/>
      <rgbColor rgb="FF006100"/>
      <rgbColor rgb="FF000080"/>
      <rgbColor rgb="FF9C6500"/>
      <rgbColor rgb="FFFFC7CE"/>
      <rgbColor rgb="FF427DEE"/>
      <rgbColor rgb="FFCCC0D9"/>
      <rgbColor rgb="FF69AB49"/>
      <rgbColor rgb="FFA593CC"/>
      <rgbColor rgb="FF9C5700"/>
      <rgbColor rgb="FFFFF2CC"/>
      <rgbColor rgb="FFE1EAF5"/>
      <rgbColor rgb="FF660066"/>
      <rgbColor rgb="FFFF6D6D"/>
      <rgbColor rgb="FF0563C1"/>
      <rgbColor rgb="FFCCCCFF"/>
      <rgbColor rgb="FF000080"/>
      <rgbColor rgb="FFFF0066"/>
      <rgbColor rgb="FFFFEB9C"/>
      <rgbColor rgb="FFCCFF99"/>
      <rgbColor rgb="FFFFFBF0"/>
      <rgbColor rgb="FF800000"/>
      <rgbColor rgb="FF4885E8"/>
      <rgbColor rgb="FF0000FF"/>
      <rgbColor rgb="FFB7E1CD"/>
      <rgbColor rgb="FFDBE5F1"/>
      <rgbColor rgb="FFC6EFCE"/>
      <rgbColor rgb="FFFFFF9D"/>
      <rgbColor rgb="FFB4C7E7"/>
      <rgbColor rgb="FFFF9999"/>
      <rgbColor rgb="FFE0ADBB"/>
      <rgbColor rgb="FFF4CCCC"/>
      <rgbColor rgb="FF3366FF"/>
      <rgbColor rgb="FF92D04F"/>
      <rgbColor rgb="FF81D41A"/>
      <rgbColor rgb="FFFFC000"/>
      <rgbColor rgb="FFFF9900"/>
      <rgbColor rgb="FFF93A00"/>
      <rgbColor rgb="FF674EA7"/>
      <rgbColor rgb="FFC2BC9F"/>
      <rgbColor rgb="FFD9EAD3"/>
      <rgbColor rgb="FF57A84F"/>
      <rgbColor rgb="FF003300"/>
      <rgbColor rgb="FF413003"/>
      <rgbColor rgb="FF9B4400"/>
      <rgbColor rgb="FFCA3F00"/>
      <rgbColor rgb="FFEA9999"/>
      <rgbColor rgb="FFE5B5C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600840</xdr:colOff>
      <xdr:row>1</xdr:row>
      <xdr:rowOff>95400</xdr:rowOff>
    </xdr:from>
    <xdr:to>
      <xdr:col>4</xdr:col>
      <xdr:colOff>776520</xdr:colOff>
      <xdr:row>9</xdr:row>
      <xdr:rowOff>266040</xdr:rowOff>
    </xdr:to>
    <xdr:sp>
      <xdr:nvSpPr>
        <xdr:cNvPr id="0" name="Text Box 3" hidden="1"/>
        <xdr:cNvSpPr/>
      </xdr:nvSpPr>
      <xdr:spPr>
        <a:xfrm>
          <a:off x="600840" y="667080"/>
          <a:ext cx="7575840" cy="23230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/>
        </a:ln>
        <a:effectLst>
          <a:outerShdw algn="ctr" dir="2700000" dist="35638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rs-gwm.ru/record/employee/174744038495795418" TargetMode="External"/><Relationship Id="rId2" Type="http://schemas.openxmlformats.org/officeDocument/2006/relationships/hyperlink" Target="https://rs-gwm.ru/record/employee/170193301290684677" TargetMode="External"/><Relationship Id="rId3" Type="http://schemas.openxmlformats.org/officeDocument/2006/relationships/hyperlink" Target="https://rs-gwm.ru/record/c_sys_cmdb_ci_asset/173711696591913054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A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G30" activeCellId="0" sqref="G30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5.73"/>
    <col collapsed="false" customWidth="true" hidden="false" outlineLevel="0" max="2" min="2" style="1" width="17.42"/>
    <col collapsed="false" customWidth="true" hidden="false" outlineLevel="0" max="3" min="3" style="1" width="34.25"/>
    <col collapsed="false" customWidth="true" hidden="false" outlineLevel="0" max="4" min="4" style="1" width="38"/>
    <col collapsed="false" customWidth="true" hidden="false" outlineLevel="0" max="5" min="5" style="1" width="24.66"/>
    <col collapsed="false" customWidth="true" hidden="false" outlineLevel="0" max="6" min="6" style="1" width="37.51"/>
    <col collapsed="false" customWidth="true" hidden="false" outlineLevel="0" max="7" min="7" style="1" width="31.43"/>
    <col collapsed="false" customWidth="true" hidden="false" outlineLevel="0" max="8" min="8" style="1" width="23.59"/>
    <col collapsed="false" customWidth="true" hidden="false" outlineLevel="0" max="9" min="9" style="1" width="28.85"/>
    <col collapsed="false" customWidth="true" hidden="false" outlineLevel="0" max="10" min="10" style="1" width="34.85"/>
    <col collapsed="false" customWidth="true" hidden="false" outlineLevel="0" max="11" min="11" style="1" width="20.71"/>
    <col collapsed="false" customWidth="true" hidden="false" outlineLevel="0" max="12" min="12" style="1" width="38.93"/>
    <col collapsed="false" customWidth="true" hidden="false" outlineLevel="0" max="13" min="13" style="1" width="24.46"/>
    <col collapsed="false" customWidth="true" hidden="false" outlineLevel="0" max="14" min="14" style="1" width="22.71"/>
    <col collapsed="false" customWidth="true" hidden="false" outlineLevel="0" max="15" min="15" style="1" width="33"/>
    <col collapsed="false" customWidth="true" hidden="false" outlineLevel="0" max="17" min="16" style="1" width="20.57"/>
    <col collapsed="false" customWidth="true" hidden="false" outlineLevel="0" max="18" min="18" style="1" width="24.14"/>
    <col collapsed="false" customWidth="true" hidden="false" outlineLevel="0" max="19" min="19" style="1" width="30.72"/>
    <col collapsed="false" customWidth="true" hidden="false" outlineLevel="0" max="20" min="20" style="1" width="17.85"/>
    <col collapsed="false" customWidth="true" hidden="false" outlineLevel="0" max="21" min="21" style="1" width="47.57"/>
    <col collapsed="false" customWidth="true" hidden="false" outlineLevel="0" max="22" min="22" style="1" width="36.08"/>
    <col collapsed="false" customWidth="true" hidden="false" outlineLevel="0" max="23" min="23" style="1" width="37.91"/>
    <col collapsed="false" customWidth="true" hidden="false" outlineLevel="0" max="24" min="24" style="1" width="35.46"/>
    <col collapsed="false" customWidth="true" hidden="false" outlineLevel="0" max="25" min="25" style="1" width="40.16"/>
    <col collapsed="false" customWidth="true" hidden="false" outlineLevel="0" max="26" min="26" style="1" width="24.26"/>
    <col collapsed="false" customWidth="true" hidden="false" outlineLevel="0" max="27" min="27" style="1" width="29.29"/>
    <col collapsed="false" customWidth="true" hidden="false" outlineLevel="0" max="47" min="28" style="1" width="9.29"/>
  </cols>
  <sheetData>
    <row r="1" customFormat="false" ht="45" hidden="false" customHeight="tru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4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6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7" t="s">
        <v>24</v>
      </c>
      <c r="AA1" s="7" t="s">
        <v>25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</row>
    <row r="2" customFormat="false" ht="31.5" hidden="false" customHeight="true" outlineLevel="0" collapsed="false">
      <c r="A2" s="9" t="n">
        <f aca="false">A1+1</f>
        <v>1</v>
      </c>
      <c r="B2" s="10" t="n">
        <v>36</v>
      </c>
      <c r="C2" s="11" t="s">
        <v>26</v>
      </c>
      <c r="D2" s="12" t="s">
        <v>27</v>
      </c>
      <c r="E2" s="13" t="s">
        <v>28</v>
      </c>
      <c r="F2" s="14"/>
      <c r="G2" s="12" t="s">
        <v>29</v>
      </c>
      <c r="H2" s="15" t="s">
        <v>30</v>
      </c>
      <c r="I2" s="16" t="s">
        <v>31</v>
      </c>
      <c r="J2" s="16" t="s">
        <v>32</v>
      </c>
      <c r="K2" s="17"/>
      <c r="L2" s="18"/>
      <c r="M2" s="8"/>
      <c r="N2" s="19"/>
      <c r="O2" s="8" t="s">
        <v>33</v>
      </c>
      <c r="P2" s="20" t="str">
        <f aca="false">"RUTL-" &amp; RIGHT(O2,8)</f>
        <v>RUTL-PW0LW3V5</v>
      </c>
      <c r="Q2" s="21"/>
      <c r="R2" s="8" t="s">
        <v>34</v>
      </c>
      <c r="S2" s="8"/>
      <c r="T2" s="22" t="s">
        <v>35</v>
      </c>
      <c r="U2" s="22" t="s">
        <v>36</v>
      </c>
      <c r="V2" s="19" t="s">
        <v>37</v>
      </c>
      <c r="W2" s="23" t="s">
        <v>38</v>
      </c>
      <c r="X2" s="24" t="s">
        <v>39</v>
      </c>
      <c r="Y2" s="8"/>
      <c r="Z2" s="8"/>
      <c r="AA2" s="25" t="s">
        <v>40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</row>
    <row r="8" customFormat="false" ht="31.5" hidden="false" customHeight="true" outlineLevel="0" collapsed="false">
      <c r="A8" s="8"/>
      <c r="B8" s="8"/>
      <c r="C8" s="26"/>
      <c r="D8" s="27"/>
      <c r="E8" s="28"/>
      <c r="F8" s="8"/>
      <c r="G8" s="27"/>
      <c r="H8" s="29"/>
      <c r="I8" s="8"/>
      <c r="J8" s="8"/>
      <c r="K8" s="30"/>
      <c r="L8" s="8"/>
      <c r="M8" s="8"/>
      <c r="N8" s="27"/>
      <c r="O8" s="8"/>
      <c r="P8" s="31"/>
      <c r="Q8" s="8"/>
      <c r="R8" s="8"/>
      <c r="S8" s="8"/>
      <c r="T8" s="8"/>
      <c r="U8" s="8"/>
      <c r="V8" s="27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</row>
    <row r="9" customFormat="false" ht="31.5" hidden="false" customHeight="true" outlineLevel="0" collapsed="false">
      <c r="A9" s="8"/>
      <c r="B9" s="8"/>
      <c r="C9" s="26"/>
      <c r="D9" s="27"/>
      <c r="E9" s="28"/>
      <c r="F9" s="8"/>
      <c r="G9" s="27"/>
      <c r="H9" s="29"/>
      <c r="I9" s="8"/>
      <c r="J9" s="8"/>
      <c r="K9" s="30"/>
      <c r="L9" s="8"/>
      <c r="M9" s="8"/>
      <c r="N9" s="27"/>
      <c r="O9" s="8"/>
      <c r="P9" s="31"/>
      <c r="Q9" s="8"/>
      <c r="R9" s="8"/>
      <c r="S9" s="8"/>
      <c r="T9" s="8"/>
      <c r="U9" s="8"/>
      <c r="V9" s="27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</row>
    <row r="10" customFormat="false" ht="31.5" hidden="false" customHeight="true" outlineLevel="0" collapsed="false">
      <c r="A10" s="8"/>
      <c r="B10" s="8"/>
      <c r="C10" s="26"/>
      <c r="D10" s="27"/>
      <c r="E10" s="28"/>
      <c r="F10" s="8"/>
      <c r="G10" s="27"/>
      <c r="H10" s="29"/>
      <c r="I10" s="8"/>
      <c r="J10" s="8"/>
      <c r="K10" s="30"/>
      <c r="L10" s="8"/>
      <c r="M10" s="8"/>
      <c r="N10" s="27"/>
      <c r="O10" s="8"/>
      <c r="P10" s="31"/>
      <c r="Q10" s="8"/>
      <c r="R10" s="8"/>
      <c r="S10" s="8"/>
      <c r="T10" s="8"/>
      <c r="U10" s="8"/>
      <c r="V10" s="27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</row>
    <row r="11" customFormat="false" ht="31.5" hidden="false" customHeight="true" outlineLevel="0" collapsed="false">
      <c r="A11" s="8"/>
      <c r="B11" s="8"/>
      <c r="C11" s="26"/>
      <c r="D11" s="27"/>
      <c r="E11" s="28"/>
      <c r="F11" s="8"/>
      <c r="G11" s="27"/>
      <c r="H11" s="29"/>
      <c r="I11" s="8"/>
      <c r="J11" s="8"/>
      <c r="K11" s="30"/>
      <c r="L11" s="8"/>
      <c r="M11" s="8"/>
      <c r="N11" s="27"/>
      <c r="O11" s="8"/>
      <c r="P11" s="31"/>
      <c r="Q11" s="8"/>
      <c r="R11" s="8"/>
      <c r="S11" s="8"/>
      <c r="T11" s="8"/>
      <c r="U11" s="8"/>
      <c r="V11" s="27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</row>
    <row r="12" customFormat="false" ht="31.5" hidden="false" customHeight="true" outlineLevel="0" collapsed="false">
      <c r="A12" s="8"/>
      <c r="B12" s="8"/>
      <c r="C12" s="26"/>
      <c r="D12" s="27"/>
      <c r="E12" s="28"/>
      <c r="F12" s="8"/>
      <c r="G12" s="27"/>
      <c r="H12" s="29"/>
      <c r="I12" s="8"/>
      <c r="J12" s="8"/>
      <c r="K12" s="30"/>
      <c r="L12" s="8"/>
      <c r="M12" s="8"/>
      <c r="N12" s="27"/>
      <c r="O12" s="8"/>
      <c r="P12" s="31"/>
      <c r="Q12" s="8"/>
      <c r="R12" s="8"/>
      <c r="S12" s="8"/>
      <c r="T12" s="8"/>
      <c r="U12" s="8"/>
      <c r="V12" s="27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</row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DA2"/>
  <conditionalFormatting sqref="C8:C12">
    <cfRule type="cellIs" priority="2" operator="equal" aboveAverage="0" equalAverage="0" bottom="0" percent="0" rank="0" text="" dxfId="15">
      <formula>"C1:C774"</formula>
    </cfRule>
  </conditionalFormatting>
  <conditionalFormatting sqref="G16">
    <cfRule type="containsText" priority="3" operator="containsText" aboveAverage="0" equalAverage="0" bottom="0" percent="0" rank="0" text="да" dxfId="16">
      <formula>NOT(ISERROR(SEARCH("да",G16)))</formula>
    </cfRule>
  </conditionalFormatting>
  <conditionalFormatting sqref="C2 C16">
    <cfRule type="cellIs" priority="4" operator="equal" aboveAverage="0" equalAverage="0" bottom="0" percent="0" rank="0" text="" dxfId="17">
      <formula>"C1:C774"</formula>
    </cfRule>
  </conditionalFormatting>
  <conditionalFormatting sqref="X1:X2 X8:X12">
    <cfRule type="cellIs" priority="5" operator="equal" aboveAverage="0" equalAverage="0" bottom="0" percent="0" rank="0" text="" dxfId="18">
      <formula>"Кудрявцев Д."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A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3" ySplit="0" topLeftCell="K1" activePane="topRight" state="frozen"/>
      <selection pane="topLeft" activeCell="A1" activeCellId="0" sqref="A1"/>
      <selection pane="topRight" activeCell="G42" activeCellId="0" sqref="G4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3.14"/>
    <col collapsed="false" customWidth="true" hidden="false" outlineLevel="0" max="3" min="3" style="1" width="61.28"/>
    <col collapsed="false" customWidth="true" hidden="false" outlineLevel="0" max="4" min="4" style="1" width="55.65"/>
    <col collapsed="false" customWidth="true" hidden="false" outlineLevel="0" max="5" min="5" style="1" width="16.29"/>
    <col collapsed="false" customWidth="true" hidden="false" outlineLevel="0" max="7" min="6" style="1" width="48.41"/>
    <col collapsed="false" customWidth="true" hidden="false" outlineLevel="0" max="8" min="8" style="1" width="24.85"/>
    <col collapsed="false" customWidth="true" hidden="false" outlineLevel="0" max="9" min="9" style="1" width="51.85"/>
    <col collapsed="false" customWidth="true" hidden="false" outlineLevel="0" max="10" min="10" style="1" width="29.29"/>
    <col collapsed="false" customWidth="true" hidden="false" outlineLevel="0" max="11" min="11" style="1" width="28.14"/>
    <col collapsed="false" customWidth="true" hidden="false" outlineLevel="0" max="12" min="12" style="1" width="28.58"/>
    <col collapsed="false" customWidth="true" hidden="false" outlineLevel="0" max="13" min="13" style="1" width="29.85"/>
    <col collapsed="false" customWidth="true" hidden="false" outlineLevel="0" max="14" min="14" style="1" width="38.71"/>
    <col collapsed="false" customWidth="true" hidden="false" outlineLevel="0" max="15" min="15" style="1" width="38.57"/>
    <col collapsed="false" customWidth="true" hidden="false" outlineLevel="0" max="16" min="16" style="1" width="46.27"/>
    <col collapsed="false" customWidth="true" hidden="false" outlineLevel="0" max="17" min="17" style="1" width="22.58"/>
    <col collapsed="false" customWidth="true" hidden="false" outlineLevel="0" max="18" min="18" style="1" width="25.85"/>
    <col collapsed="false" customWidth="true" hidden="false" outlineLevel="0" max="19" min="19" style="1" width="35.58"/>
    <col collapsed="false" customWidth="true" hidden="false" outlineLevel="0" max="20" min="20" style="1" width="25.29"/>
    <col collapsed="false" customWidth="true" hidden="false" outlineLevel="0" max="21" min="21" style="1" width="41.58"/>
    <col collapsed="false" customWidth="true" hidden="false" outlineLevel="0" max="22" min="22" style="1" width="41.99"/>
    <col collapsed="false" customWidth="true" hidden="false" outlineLevel="0" max="23" min="23" style="1" width="34.86"/>
    <col collapsed="false" customWidth="true" hidden="false" outlineLevel="0" max="24" min="24" style="1" width="41.85"/>
    <col collapsed="false" customWidth="true" hidden="false" outlineLevel="0" max="25" min="25" style="1" width="38.85"/>
    <col collapsed="false" customWidth="true" hidden="false" outlineLevel="0" max="27" min="27" style="1" width="21.71"/>
  </cols>
  <sheetData>
    <row r="1" customFormat="false" ht="91.5" hidden="false" customHeight="true" outlineLevel="0" collapsed="false">
      <c r="A1" s="32" t="s">
        <v>41</v>
      </c>
      <c r="B1" s="32" t="s">
        <v>0</v>
      </c>
      <c r="C1" s="2" t="s">
        <v>1</v>
      </c>
      <c r="D1" s="33" t="s">
        <v>42</v>
      </c>
      <c r="E1" s="33" t="s">
        <v>3</v>
      </c>
      <c r="F1" s="33" t="s">
        <v>4</v>
      </c>
      <c r="G1" s="33" t="s">
        <v>5</v>
      </c>
      <c r="H1" s="32" t="s">
        <v>6</v>
      </c>
      <c r="I1" s="32" t="s">
        <v>7</v>
      </c>
      <c r="J1" s="32" t="s">
        <v>8</v>
      </c>
      <c r="K1" s="32" t="s">
        <v>9</v>
      </c>
      <c r="L1" s="33" t="s">
        <v>10</v>
      </c>
      <c r="M1" s="33" t="s">
        <v>11</v>
      </c>
      <c r="N1" s="32" t="s">
        <v>43</v>
      </c>
      <c r="O1" s="34" t="s">
        <v>13</v>
      </c>
      <c r="P1" s="32" t="s">
        <v>14</v>
      </c>
      <c r="Q1" s="32" t="s">
        <v>44</v>
      </c>
      <c r="R1" s="32" t="s">
        <v>16</v>
      </c>
      <c r="S1" s="32" t="s">
        <v>17</v>
      </c>
      <c r="T1" s="32" t="s">
        <v>18</v>
      </c>
      <c r="U1" s="32" t="s">
        <v>19</v>
      </c>
      <c r="V1" s="32" t="s">
        <v>20</v>
      </c>
      <c r="W1" s="32" t="s">
        <v>21</v>
      </c>
      <c r="X1" s="32" t="s">
        <v>22</v>
      </c>
      <c r="Y1" s="32" t="s">
        <v>23</v>
      </c>
      <c r="Z1" s="35" t="s">
        <v>24</v>
      </c>
      <c r="AA1" s="36" t="s">
        <v>25</v>
      </c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</row>
    <row r="2" customFormat="false" ht="57.7" hidden="false" customHeight="true" outlineLevel="0" collapsed="false">
      <c r="A2" s="38" t="n">
        <v>1</v>
      </c>
      <c r="B2" s="39" t="s">
        <v>45</v>
      </c>
      <c r="C2" s="11" t="s">
        <v>46</v>
      </c>
      <c r="D2" s="40" t="s">
        <v>27</v>
      </c>
      <c r="E2" s="41" t="s">
        <v>28</v>
      </c>
      <c r="F2" s="42" t="s">
        <v>47</v>
      </c>
      <c r="G2" s="40" t="s">
        <v>48</v>
      </c>
      <c r="H2" s="43" t="s">
        <v>49</v>
      </c>
      <c r="I2" s="16" t="s">
        <v>50</v>
      </c>
      <c r="J2" s="16" t="s">
        <v>51</v>
      </c>
      <c r="K2" s="44" t="s">
        <v>52</v>
      </c>
      <c r="L2" s="45" t="s">
        <v>53</v>
      </c>
      <c r="M2" s="38"/>
      <c r="N2" s="46" t="s">
        <v>54</v>
      </c>
      <c r="O2" s="47" t="s">
        <v>55</v>
      </c>
      <c r="P2" s="48" t="str">
        <f aca="false">"RUTL-" &amp; RIGHT(O2,8)</f>
        <v>RUTL-PC0MYXTZ</v>
      </c>
      <c r="Q2" s="49" t="s">
        <v>56</v>
      </c>
      <c r="R2" s="50"/>
      <c r="S2" s="50"/>
      <c r="T2" s="51" t="s">
        <v>57</v>
      </c>
      <c r="U2" s="50"/>
      <c r="V2" s="46" t="s">
        <v>37</v>
      </c>
      <c r="W2" s="52" t="s">
        <v>58</v>
      </c>
      <c r="X2" s="53" t="s">
        <v>59</v>
      </c>
      <c r="Y2" s="46" t="s">
        <v>60</v>
      </c>
      <c r="Z2" s="47"/>
      <c r="AA2" s="4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</row>
    <row r="3" customFormat="false" ht="88.55" hidden="false" customHeight="true" outlineLevel="0" collapsed="false">
      <c r="A3" s="38" t="n">
        <f aca="false">1+A2</f>
        <v>2</v>
      </c>
      <c r="B3" s="39" t="s">
        <v>61</v>
      </c>
      <c r="C3" s="54" t="s">
        <v>62</v>
      </c>
      <c r="D3" s="40" t="s">
        <v>27</v>
      </c>
      <c r="E3" s="41" t="s">
        <v>28</v>
      </c>
      <c r="F3" s="42" t="s">
        <v>63</v>
      </c>
      <c r="G3" s="40" t="s">
        <v>64</v>
      </c>
      <c r="H3" s="43" t="s">
        <v>49</v>
      </c>
      <c r="I3" s="16" t="s">
        <v>50</v>
      </c>
      <c r="J3" s="16" t="s">
        <v>51</v>
      </c>
      <c r="K3" s="55" t="s">
        <v>65</v>
      </c>
      <c r="L3" s="45" t="s">
        <v>53</v>
      </c>
      <c r="M3" s="38"/>
      <c r="N3" s="46" t="s">
        <v>54</v>
      </c>
      <c r="O3" s="47" t="s">
        <v>66</v>
      </c>
      <c r="P3" s="48" t="str">
        <f aca="false">"RUTL-" &amp; RIGHT(O3,8)</f>
        <v>RUTL-S4FM3331</v>
      </c>
      <c r="Q3" s="56" t="s">
        <v>56</v>
      </c>
      <c r="R3" s="47" t="s">
        <v>67</v>
      </c>
      <c r="S3" s="47"/>
      <c r="T3" s="57" t="s">
        <v>57</v>
      </c>
      <c r="U3" s="47" t="s">
        <v>68</v>
      </c>
      <c r="V3" s="46" t="s">
        <v>37</v>
      </c>
      <c r="W3" s="52" t="s">
        <v>58</v>
      </c>
      <c r="X3" s="58" t="s">
        <v>69</v>
      </c>
      <c r="Y3" s="38" t="s">
        <v>70</v>
      </c>
      <c r="Z3" s="47"/>
      <c r="AA3" s="4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</row>
    <row r="4" customFormat="false" ht="15.75" hidden="false" customHeight="true" outlineLevel="0" collapsed="false">
      <c r="A4" s="37"/>
      <c r="B4" s="37"/>
      <c r="C4" s="8"/>
      <c r="D4" s="59"/>
      <c r="E4" s="59"/>
      <c r="F4" s="59"/>
      <c r="G4" s="59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</row>
    <row r="5" customFormat="false" ht="15.75" hidden="false" customHeight="true" outlineLevel="0" collapsed="false">
      <c r="A5" s="37"/>
      <c r="B5" s="37"/>
      <c r="C5" s="8"/>
      <c r="D5" s="59"/>
      <c r="E5" s="59"/>
      <c r="F5" s="59"/>
      <c r="G5" s="59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</row>
    <row r="6" customFormat="false" ht="15.75" hidden="false" customHeight="true" outlineLevel="0" collapsed="false">
      <c r="A6" s="37"/>
      <c r="B6" s="37"/>
      <c r="C6" s="8"/>
      <c r="D6" s="59"/>
      <c r="E6" s="59"/>
      <c r="F6" s="59"/>
      <c r="G6" s="59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</row>
    <row r="7" customFormat="false" ht="15.75" hidden="false" customHeight="true" outlineLevel="0" collapsed="false">
      <c r="A7" s="37"/>
      <c r="B7" s="37"/>
      <c r="C7" s="8"/>
      <c r="D7" s="59"/>
      <c r="E7" s="59"/>
      <c r="F7" s="59"/>
      <c r="G7" s="59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</row>
    <row r="8" customFormat="false" ht="15.75" hidden="false" customHeight="true" outlineLevel="0" collapsed="false">
      <c r="A8" s="37"/>
      <c r="B8" s="37"/>
      <c r="C8" s="8"/>
      <c r="D8" s="59"/>
      <c r="E8" s="59"/>
      <c r="F8" s="59"/>
      <c r="G8" s="59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</row>
    <row r="9" customFormat="false" ht="15.75" hidden="false" customHeight="true" outlineLevel="0" collapsed="false">
      <c r="A9" s="37"/>
      <c r="B9" s="37"/>
      <c r="C9" s="8"/>
      <c r="D9" s="59"/>
      <c r="E9" s="59"/>
      <c r="F9" s="59"/>
      <c r="G9" s="59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</row>
    <row r="10" customFormat="false" ht="15.75" hidden="false" customHeight="true" outlineLevel="0" collapsed="false">
      <c r="A10" s="37"/>
      <c r="B10" s="37"/>
      <c r="C10" s="8"/>
      <c r="D10" s="59"/>
      <c r="E10" s="59"/>
      <c r="F10" s="59"/>
      <c r="G10" s="59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</row>
    <row r="11" customFormat="false" ht="15.75" hidden="false" customHeight="true" outlineLevel="0" collapsed="false">
      <c r="A11" s="37"/>
      <c r="B11" s="37"/>
      <c r="C11" s="8"/>
      <c r="D11" s="59"/>
      <c r="E11" s="59"/>
      <c r="F11" s="59"/>
      <c r="G11" s="59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</row>
    <row r="12" customFormat="false" ht="15.75" hidden="false" customHeight="true" outlineLevel="0" collapsed="false">
      <c r="A12" s="37"/>
      <c r="B12" s="37"/>
      <c r="C12" s="8"/>
      <c r="D12" s="59"/>
      <c r="E12" s="59"/>
      <c r="F12" s="59"/>
      <c r="G12" s="59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</row>
    <row r="13" customFormat="false" ht="15.75" hidden="false" customHeight="true" outlineLevel="0" collapsed="false">
      <c r="A13" s="37"/>
      <c r="B13" s="37"/>
      <c r="C13" s="8"/>
      <c r="D13" s="59"/>
      <c r="E13" s="59"/>
      <c r="F13" s="59"/>
      <c r="G13" s="59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</row>
    <row r="14" customFormat="false" ht="15.75" hidden="false" customHeight="true" outlineLevel="0" collapsed="false">
      <c r="A14" s="37"/>
      <c r="B14" s="37"/>
      <c r="C14" s="8"/>
      <c r="D14" s="59"/>
      <c r="E14" s="59"/>
      <c r="F14" s="59"/>
      <c r="G14" s="59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</row>
    <row r="15" customFormat="false" ht="15.75" hidden="false" customHeight="true" outlineLevel="0" collapsed="false">
      <c r="A15" s="37"/>
      <c r="B15" s="37"/>
      <c r="C15" s="8"/>
      <c r="D15" s="59"/>
      <c r="E15" s="59"/>
      <c r="F15" s="59"/>
      <c r="G15" s="59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</row>
    <row r="16" customFormat="false" ht="15.75" hidden="false" customHeight="true" outlineLevel="0" collapsed="false">
      <c r="A16" s="37"/>
      <c r="B16" s="37"/>
      <c r="C16" s="8"/>
      <c r="D16" s="59"/>
      <c r="E16" s="59"/>
      <c r="F16" s="59"/>
      <c r="G16" s="59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</row>
    <row r="17" customFormat="false" ht="15.75" hidden="false" customHeight="true" outlineLevel="0" collapsed="false">
      <c r="A17" s="37"/>
      <c r="B17" s="37"/>
      <c r="C17" s="8"/>
      <c r="D17" s="59"/>
      <c r="E17" s="59"/>
      <c r="F17" s="59"/>
      <c r="G17" s="59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</row>
    <row r="18" customFormat="false" ht="15.75" hidden="false" customHeight="true" outlineLevel="0" collapsed="false">
      <c r="A18" s="37"/>
      <c r="B18" s="37"/>
      <c r="C18" s="8"/>
      <c r="D18" s="59"/>
      <c r="E18" s="59"/>
      <c r="F18" s="59"/>
      <c r="G18" s="59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</row>
    <row r="19" customFormat="false" ht="15.75" hidden="false" customHeight="true" outlineLevel="0" collapsed="false">
      <c r="A19" s="37"/>
      <c r="B19" s="37"/>
      <c r="C19" s="8"/>
      <c r="D19" s="59"/>
      <c r="E19" s="59"/>
      <c r="F19" s="59"/>
      <c r="G19" s="59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</row>
    <row r="20" customFormat="false" ht="15.75" hidden="false" customHeight="true" outlineLevel="0" collapsed="false">
      <c r="A20" s="37"/>
      <c r="B20" s="37"/>
      <c r="C20" s="8"/>
      <c r="D20" s="59"/>
      <c r="E20" s="59"/>
      <c r="F20" s="59"/>
      <c r="G20" s="59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</row>
    <row r="21" customFormat="false" ht="15.75" hidden="false" customHeight="true" outlineLevel="0" collapsed="false">
      <c r="A21" s="37"/>
      <c r="B21" s="37"/>
      <c r="C21" s="8"/>
      <c r="D21" s="59"/>
      <c r="E21" s="59"/>
      <c r="F21" s="59"/>
      <c r="G21" s="59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</row>
    <row r="22" customFormat="false" ht="15.75" hidden="false" customHeight="true" outlineLevel="0" collapsed="false">
      <c r="A22" s="37"/>
      <c r="B22" s="37"/>
      <c r="C22" s="8"/>
      <c r="D22" s="59"/>
      <c r="E22" s="59"/>
      <c r="F22" s="59"/>
      <c r="G22" s="59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</row>
    <row r="23" customFormat="false" ht="15.75" hidden="false" customHeight="true" outlineLevel="0" collapsed="false">
      <c r="A23" s="37"/>
      <c r="B23" s="37"/>
      <c r="C23" s="8"/>
      <c r="D23" s="59"/>
      <c r="E23" s="59"/>
      <c r="F23" s="59"/>
      <c r="G23" s="59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</row>
    <row r="24" customFormat="false" ht="15.75" hidden="false" customHeight="true" outlineLevel="0" collapsed="false">
      <c r="A24" s="37"/>
      <c r="B24" s="37"/>
      <c r="C24" s="8"/>
      <c r="D24" s="59"/>
      <c r="E24" s="59"/>
      <c r="F24" s="59"/>
      <c r="G24" s="59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</row>
    <row r="25" customFormat="false" ht="15.75" hidden="false" customHeight="true" outlineLevel="0" collapsed="false">
      <c r="A25" s="37"/>
      <c r="B25" s="37"/>
      <c r="C25" s="8"/>
      <c r="D25" s="59"/>
      <c r="E25" s="59"/>
      <c r="F25" s="59"/>
      <c r="G25" s="59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</row>
    <row r="26" customFormat="false" ht="15.75" hidden="false" customHeight="true" outlineLevel="0" collapsed="false">
      <c r="A26" s="37"/>
      <c r="B26" s="37"/>
      <c r="C26" s="8"/>
      <c r="D26" s="59"/>
      <c r="E26" s="59"/>
      <c r="F26" s="59"/>
      <c r="G26" s="59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</row>
    <row r="27" customFormat="false" ht="15.75" hidden="false" customHeight="true" outlineLevel="0" collapsed="false">
      <c r="A27" s="37"/>
      <c r="B27" s="37"/>
      <c r="C27" s="8"/>
      <c r="D27" s="59"/>
      <c r="E27" s="59"/>
      <c r="F27" s="59"/>
      <c r="G27" s="59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</row>
    <row r="28" customFormat="false" ht="15.75" hidden="false" customHeight="true" outlineLevel="0" collapsed="false">
      <c r="A28" s="37"/>
      <c r="B28" s="37"/>
      <c r="C28" s="8"/>
      <c r="D28" s="59"/>
      <c r="E28" s="59"/>
      <c r="F28" s="59"/>
      <c r="G28" s="59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</row>
    <row r="29" customFormat="false" ht="15.75" hidden="false" customHeight="true" outlineLevel="0" collapsed="false">
      <c r="A29" s="37"/>
      <c r="B29" s="37"/>
      <c r="C29" s="8"/>
      <c r="D29" s="59"/>
      <c r="E29" s="59"/>
      <c r="F29" s="59"/>
      <c r="G29" s="59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</row>
    <row r="30" customFormat="false" ht="15.75" hidden="false" customHeight="true" outlineLevel="0" collapsed="false">
      <c r="A30" s="37"/>
      <c r="B30" s="37"/>
      <c r="C30" s="8"/>
      <c r="D30" s="59"/>
      <c r="E30" s="59"/>
      <c r="F30" s="59"/>
      <c r="G30" s="59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</row>
    <row r="31" customFormat="false" ht="15.75" hidden="false" customHeight="true" outlineLevel="0" collapsed="false">
      <c r="A31" s="37"/>
      <c r="B31" s="37"/>
      <c r="C31" s="8"/>
      <c r="D31" s="59"/>
      <c r="E31" s="59"/>
      <c r="F31" s="59"/>
      <c r="G31" s="59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</row>
    <row r="32" customFormat="false" ht="15.75" hidden="false" customHeight="true" outlineLevel="0" collapsed="false">
      <c r="A32" s="37"/>
      <c r="B32" s="37"/>
      <c r="C32" s="8"/>
      <c r="D32" s="59"/>
      <c r="E32" s="59"/>
      <c r="F32" s="59"/>
      <c r="G32" s="59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</row>
    <row r="33" customFormat="false" ht="15.75" hidden="false" customHeight="true" outlineLevel="0" collapsed="false">
      <c r="A33" s="37"/>
      <c r="B33" s="37"/>
      <c r="C33" s="8"/>
      <c r="D33" s="59"/>
      <c r="E33" s="59"/>
      <c r="F33" s="59"/>
      <c r="G33" s="59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</row>
    <row r="34" customFormat="false" ht="15.75" hidden="false" customHeight="true" outlineLevel="0" collapsed="false">
      <c r="A34" s="37"/>
      <c r="B34" s="37"/>
      <c r="C34" s="8"/>
      <c r="D34" s="59"/>
      <c r="E34" s="59"/>
      <c r="F34" s="59"/>
      <c r="G34" s="59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</row>
    <row r="35" customFormat="false" ht="15.75" hidden="false" customHeight="true" outlineLevel="0" collapsed="false">
      <c r="A35" s="37"/>
      <c r="B35" s="37"/>
      <c r="C35" s="8"/>
      <c r="D35" s="59"/>
      <c r="E35" s="59"/>
      <c r="F35" s="59"/>
      <c r="G35" s="59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</row>
    <row r="36" customFormat="false" ht="15.75" hidden="false" customHeight="true" outlineLevel="0" collapsed="false">
      <c r="A36" s="37"/>
      <c r="B36" s="37"/>
      <c r="C36" s="8"/>
      <c r="D36" s="59"/>
      <c r="E36" s="59"/>
      <c r="F36" s="59"/>
      <c r="G36" s="59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</row>
    <row r="37" customFormat="false" ht="15.75" hidden="false" customHeight="true" outlineLevel="0" collapsed="false">
      <c r="A37" s="37"/>
      <c r="B37" s="37"/>
      <c r="C37" s="8"/>
      <c r="D37" s="59"/>
      <c r="E37" s="59"/>
      <c r="F37" s="59"/>
      <c r="G37" s="59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</row>
    <row r="38" customFormat="false" ht="15.75" hidden="false" customHeight="true" outlineLevel="0" collapsed="false">
      <c r="A38" s="37"/>
      <c r="B38" s="37"/>
      <c r="C38" s="8"/>
      <c r="D38" s="59"/>
      <c r="E38" s="59"/>
      <c r="F38" s="59"/>
      <c r="G38" s="59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</row>
    <row r="39" customFormat="false" ht="15.75" hidden="false" customHeight="true" outlineLevel="0" collapsed="false">
      <c r="A39" s="37"/>
      <c r="B39" s="37"/>
      <c r="C39" s="8"/>
      <c r="D39" s="59"/>
      <c r="E39" s="59"/>
      <c r="F39" s="59"/>
      <c r="G39" s="59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</row>
    <row r="40" customFormat="false" ht="15.75" hidden="false" customHeight="true" outlineLevel="0" collapsed="false">
      <c r="A40" s="37"/>
      <c r="B40" s="37"/>
      <c r="C40" s="8"/>
      <c r="D40" s="59"/>
      <c r="E40" s="59"/>
      <c r="F40" s="59"/>
      <c r="G40" s="59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</row>
    <row r="41" customFormat="false" ht="15.75" hidden="false" customHeight="true" outlineLevel="0" collapsed="false">
      <c r="A41" s="37"/>
      <c r="B41" s="37"/>
      <c r="C41" s="8"/>
      <c r="D41" s="59"/>
      <c r="E41" s="59"/>
      <c r="F41" s="59"/>
      <c r="G41" s="59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</row>
    <row r="42" customFormat="false" ht="15.75" hidden="false" customHeight="true" outlineLevel="0" collapsed="false">
      <c r="A42" s="37"/>
      <c r="B42" s="37"/>
      <c r="C42" s="8"/>
      <c r="D42" s="59"/>
      <c r="E42" s="59"/>
      <c r="F42" s="59"/>
      <c r="G42" s="59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</row>
    <row r="43" customFormat="false" ht="15.75" hidden="false" customHeight="true" outlineLevel="0" collapsed="false">
      <c r="A43" s="37"/>
      <c r="B43" s="37"/>
      <c r="C43" s="8"/>
      <c r="D43" s="59"/>
      <c r="E43" s="59"/>
      <c r="F43" s="59"/>
      <c r="G43" s="59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</row>
    <row r="44" customFormat="false" ht="15.75" hidden="false" customHeight="true" outlineLevel="0" collapsed="false">
      <c r="A44" s="37"/>
      <c r="B44" s="37"/>
      <c r="C44" s="8"/>
      <c r="D44" s="59"/>
      <c r="E44" s="59"/>
      <c r="F44" s="59"/>
      <c r="G44" s="59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</row>
    <row r="45" customFormat="false" ht="15.75" hidden="false" customHeight="true" outlineLevel="0" collapsed="false">
      <c r="A45" s="37"/>
      <c r="B45" s="37"/>
      <c r="C45" s="8"/>
      <c r="D45" s="59"/>
      <c r="E45" s="59"/>
      <c r="F45" s="59"/>
      <c r="G45" s="59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</row>
    <row r="46" customFormat="false" ht="15.75" hidden="false" customHeight="true" outlineLevel="0" collapsed="false">
      <c r="A46" s="37"/>
      <c r="B46" s="37"/>
      <c r="C46" s="8"/>
      <c r="D46" s="59"/>
      <c r="E46" s="59"/>
      <c r="F46" s="59"/>
      <c r="G46" s="59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</row>
    <row r="47" customFormat="false" ht="15.75" hidden="false" customHeight="true" outlineLevel="0" collapsed="false">
      <c r="A47" s="37"/>
      <c r="B47" s="37"/>
      <c r="C47" s="8"/>
      <c r="D47" s="59"/>
      <c r="E47" s="59"/>
      <c r="F47" s="59"/>
      <c r="G47" s="59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</row>
    <row r="48" customFormat="false" ht="15.75" hidden="false" customHeight="true" outlineLevel="0" collapsed="false">
      <c r="A48" s="37"/>
      <c r="B48" s="37"/>
      <c r="C48" s="8"/>
      <c r="D48" s="59"/>
      <c r="E48" s="59"/>
      <c r="F48" s="59"/>
      <c r="G48" s="59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</row>
    <row r="49" customFormat="false" ht="15.75" hidden="false" customHeight="true" outlineLevel="0" collapsed="false">
      <c r="A49" s="37"/>
      <c r="B49" s="37"/>
      <c r="C49" s="8"/>
      <c r="D49" s="59"/>
      <c r="E49" s="59"/>
      <c r="F49" s="59"/>
      <c r="G49" s="59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</row>
    <row r="50" customFormat="false" ht="15.75" hidden="false" customHeight="true" outlineLevel="0" collapsed="false">
      <c r="A50" s="37"/>
      <c r="B50" s="37"/>
      <c r="C50" s="8"/>
      <c r="D50" s="59"/>
      <c r="E50" s="59"/>
      <c r="F50" s="59"/>
      <c r="G50" s="59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</row>
    <row r="51" customFormat="false" ht="15.75" hidden="false" customHeight="true" outlineLevel="0" collapsed="false">
      <c r="A51" s="37"/>
      <c r="B51" s="37"/>
      <c r="C51" s="8"/>
      <c r="D51" s="59"/>
      <c r="E51" s="59"/>
      <c r="F51" s="59"/>
      <c r="G51" s="59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</row>
    <row r="52" customFormat="false" ht="15.75" hidden="false" customHeight="true" outlineLevel="0" collapsed="false">
      <c r="A52" s="37"/>
      <c r="B52" s="37"/>
      <c r="C52" s="8"/>
      <c r="D52" s="59"/>
      <c r="E52" s="59"/>
      <c r="F52" s="59"/>
      <c r="G52" s="59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</row>
    <row r="53" customFormat="false" ht="15.75" hidden="false" customHeight="true" outlineLevel="0" collapsed="false">
      <c r="A53" s="37"/>
      <c r="B53" s="37"/>
      <c r="C53" s="8"/>
      <c r="D53" s="59"/>
      <c r="E53" s="59"/>
      <c r="F53" s="59"/>
      <c r="G53" s="59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</row>
    <row r="54" customFormat="false" ht="15.75" hidden="false" customHeight="true" outlineLevel="0" collapsed="false">
      <c r="A54" s="37"/>
      <c r="B54" s="37"/>
      <c r="C54" s="8"/>
      <c r="D54" s="59"/>
      <c r="E54" s="59"/>
      <c r="F54" s="59"/>
      <c r="G54" s="59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</row>
    <row r="55" customFormat="false" ht="15.75" hidden="false" customHeight="true" outlineLevel="0" collapsed="false">
      <c r="A55" s="37"/>
      <c r="B55" s="37"/>
      <c r="C55" s="8"/>
      <c r="D55" s="59"/>
      <c r="E55" s="59"/>
      <c r="F55" s="59"/>
      <c r="G55" s="59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</row>
    <row r="56" customFormat="false" ht="15.75" hidden="false" customHeight="true" outlineLevel="0" collapsed="false">
      <c r="A56" s="37"/>
      <c r="B56" s="37"/>
      <c r="C56" s="8"/>
      <c r="D56" s="59"/>
      <c r="E56" s="59"/>
      <c r="F56" s="59"/>
      <c r="G56" s="59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</row>
    <row r="57" customFormat="false" ht="15.75" hidden="false" customHeight="true" outlineLevel="0" collapsed="false">
      <c r="A57" s="37"/>
      <c r="B57" s="37"/>
      <c r="C57" s="8"/>
      <c r="D57" s="59"/>
      <c r="E57" s="59"/>
      <c r="F57" s="59"/>
      <c r="G57" s="59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</row>
    <row r="58" customFormat="false" ht="15.75" hidden="false" customHeight="true" outlineLevel="0" collapsed="false">
      <c r="A58" s="37"/>
      <c r="B58" s="37"/>
      <c r="C58" s="8"/>
      <c r="D58" s="59"/>
      <c r="E58" s="59"/>
      <c r="F58" s="59"/>
      <c r="G58" s="59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</row>
    <row r="59" customFormat="false" ht="15.75" hidden="false" customHeight="true" outlineLevel="0" collapsed="false">
      <c r="A59" s="37"/>
      <c r="B59" s="37"/>
      <c r="C59" s="8"/>
      <c r="D59" s="59"/>
      <c r="E59" s="59"/>
      <c r="F59" s="59"/>
      <c r="G59" s="59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</row>
    <row r="60" customFormat="false" ht="15.75" hidden="false" customHeight="true" outlineLevel="0" collapsed="false">
      <c r="A60" s="37"/>
      <c r="B60" s="37"/>
      <c r="C60" s="8"/>
      <c r="D60" s="59"/>
      <c r="E60" s="59"/>
      <c r="F60" s="59"/>
      <c r="G60" s="59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</row>
    <row r="61" customFormat="false" ht="15.75" hidden="false" customHeight="true" outlineLevel="0" collapsed="false">
      <c r="A61" s="37"/>
      <c r="B61" s="37"/>
      <c r="C61" s="8"/>
      <c r="D61" s="59"/>
      <c r="E61" s="59"/>
      <c r="F61" s="59"/>
      <c r="G61" s="59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</row>
    <row r="62" customFormat="false" ht="15.75" hidden="false" customHeight="true" outlineLevel="0" collapsed="false">
      <c r="A62" s="37"/>
      <c r="B62" s="37"/>
      <c r="C62" s="8"/>
      <c r="D62" s="59"/>
      <c r="E62" s="59"/>
      <c r="F62" s="59"/>
      <c r="G62" s="59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</row>
    <row r="63" customFormat="false" ht="15.75" hidden="false" customHeight="true" outlineLevel="0" collapsed="false">
      <c r="A63" s="37"/>
      <c r="B63" s="37"/>
      <c r="C63" s="8"/>
      <c r="D63" s="59"/>
      <c r="E63" s="59"/>
      <c r="F63" s="59"/>
      <c r="G63" s="59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</row>
    <row r="64" customFormat="false" ht="15.75" hidden="false" customHeight="true" outlineLevel="0" collapsed="false">
      <c r="A64" s="37"/>
      <c r="B64" s="37"/>
      <c r="C64" s="8"/>
      <c r="D64" s="59"/>
      <c r="E64" s="59"/>
      <c r="F64" s="59"/>
      <c r="G64" s="59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</row>
    <row r="65" customFormat="false" ht="15.75" hidden="false" customHeight="true" outlineLevel="0" collapsed="false">
      <c r="A65" s="37"/>
      <c r="B65" s="37"/>
      <c r="C65" s="8"/>
      <c r="D65" s="59"/>
      <c r="E65" s="59"/>
      <c r="F65" s="59"/>
      <c r="G65" s="59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</row>
    <row r="66" customFormat="false" ht="15.75" hidden="false" customHeight="true" outlineLevel="0" collapsed="false">
      <c r="A66" s="37"/>
      <c r="B66" s="37"/>
      <c r="C66" s="8"/>
      <c r="D66" s="59"/>
      <c r="E66" s="59"/>
      <c r="F66" s="59"/>
      <c r="G66" s="59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</row>
    <row r="67" customFormat="false" ht="15.75" hidden="false" customHeight="true" outlineLevel="0" collapsed="false">
      <c r="A67" s="37"/>
      <c r="B67" s="37"/>
      <c r="C67" s="8"/>
      <c r="D67" s="59"/>
      <c r="E67" s="59"/>
      <c r="F67" s="59"/>
      <c r="G67" s="59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</row>
    <row r="68" customFormat="false" ht="15.75" hidden="false" customHeight="true" outlineLevel="0" collapsed="false">
      <c r="A68" s="37"/>
      <c r="B68" s="37"/>
      <c r="C68" s="8"/>
      <c r="D68" s="59"/>
      <c r="E68" s="59"/>
      <c r="F68" s="59"/>
      <c r="G68" s="59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</row>
    <row r="69" customFormat="false" ht="15.75" hidden="false" customHeight="true" outlineLevel="0" collapsed="false">
      <c r="A69" s="37"/>
      <c r="B69" s="37"/>
      <c r="C69" s="8"/>
      <c r="D69" s="59"/>
      <c r="E69" s="59"/>
      <c r="F69" s="59"/>
      <c r="G69" s="59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</row>
    <row r="70" customFormat="false" ht="15.75" hidden="false" customHeight="true" outlineLevel="0" collapsed="false">
      <c r="A70" s="37"/>
      <c r="B70" s="37"/>
      <c r="C70" s="8"/>
      <c r="D70" s="59"/>
      <c r="E70" s="59"/>
      <c r="F70" s="59"/>
      <c r="G70" s="59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</row>
    <row r="71" customFormat="false" ht="15.75" hidden="false" customHeight="true" outlineLevel="0" collapsed="false">
      <c r="A71" s="37"/>
      <c r="B71" s="37"/>
      <c r="C71" s="8"/>
      <c r="D71" s="59"/>
      <c r="E71" s="59"/>
      <c r="F71" s="59"/>
      <c r="G71" s="59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</row>
    <row r="72" customFormat="false" ht="15.75" hidden="false" customHeight="true" outlineLevel="0" collapsed="false">
      <c r="A72" s="37"/>
      <c r="B72" s="37"/>
      <c r="C72" s="8"/>
      <c r="D72" s="59"/>
      <c r="E72" s="59"/>
      <c r="F72" s="59"/>
      <c r="G72" s="59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</row>
    <row r="73" customFormat="false" ht="15.75" hidden="false" customHeight="true" outlineLevel="0" collapsed="false">
      <c r="A73" s="37"/>
      <c r="B73" s="37"/>
      <c r="C73" s="8"/>
      <c r="D73" s="59"/>
      <c r="E73" s="59"/>
      <c r="F73" s="59"/>
      <c r="G73" s="59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</row>
    <row r="74" customFormat="false" ht="15.75" hidden="false" customHeight="true" outlineLevel="0" collapsed="false">
      <c r="A74" s="37"/>
      <c r="B74" s="37"/>
      <c r="C74" s="8"/>
      <c r="D74" s="59"/>
      <c r="E74" s="59"/>
      <c r="F74" s="59"/>
      <c r="G74" s="59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</row>
    <row r="75" customFormat="false" ht="15.75" hidden="false" customHeight="true" outlineLevel="0" collapsed="false">
      <c r="A75" s="37"/>
      <c r="B75" s="37"/>
      <c r="C75" s="8"/>
      <c r="D75" s="59"/>
      <c r="E75" s="59"/>
      <c r="F75" s="59"/>
      <c r="G75" s="59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</row>
    <row r="76" customFormat="false" ht="15.75" hidden="false" customHeight="true" outlineLevel="0" collapsed="false">
      <c r="A76" s="37"/>
      <c r="B76" s="37"/>
      <c r="C76" s="8"/>
      <c r="D76" s="59"/>
      <c r="E76" s="59"/>
      <c r="F76" s="59"/>
      <c r="G76" s="59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</row>
    <row r="77" customFormat="false" ht="15.75" hidden="false" customHeight="true" outlineLevel="0" collapsed="false">
      <c r="A77" s="37"/>
      <c r="B77" s="37"/>
      <c r="C77" s="8"/>
      <c r="D77" s="59"/>
      <c r="E77" s="59"/>
      <c r="F77" s="59"/>
      <c r="G77" s="59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</row>
    <row r="78" customFormat="false" ht="15.75" hidden="false" customHeight="true" outlineLevel="0" collapsed="false">
      <c r="A78" s="37"/>
      <c r="B78" s="37"/>
      <c r="C78" s="8"/>
      <c r="D78" s="59"/>
      <c r="E78" s="59"/>
      <c r="F78" s="59"/>
      <c r="G78" s="59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</row>
    <row r="79" customFormat="false" ht="15.75" hidden="false" customHeight="true" outlineLevel="0" collapsed="false">
      <c r="A79" s="37"/>
      <c r="B79" s="37"/>
      <c r="C79" s="8"/>
      <c r="D79" s="59"/>
      <c r="E79" s="59"/>
      <c r="F79" s="59"/>
      <c r="G79" s="59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</row>
    <row r="80" customFormat="false" ht="15.75" hidden="false" customHeight="true" outlineLevel="0" collapsed="false">
      <c r="A80" s="37"/>
      <c r="B80" s="37"/>
      <c r="C80" s="8"/>
      <c r="D80" s="59"/>
      <c r="E80" s="59"/>
      <c r="F80" s="59"/>
      <c r="G80" s="59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</row>
    <row r="81" customFormat="false" ht="15.75" hidden="false" customHeight="true" outlineLevel="0" collapsed="false">
      <c r="A81" s="37"/>
      <c r="B81" s="37"/>
      <c r="C81" s="8"/>
      <c r="D81" s="59"/>
      <c r="E81" s="59"/>
      <c r="F81" s="59"/>
      <c r="G81" s="59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</row>
    <row r="82" customFormat="false" ht="15.75" hidden="false" customHeight="true" outlineLevel="0" collapsed="false">
      <c r="A82" s="37"/>
      <c r="B82" s="37"/>
      <c r="C82" s="8"/>
      <c r="D82" s="59"/>
      <c r="E82" s="59"/>
      <c r="F82" s="59"/>
      <c r="G82" s="59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</row>
    <row r="83" customFormat="false" ht="15.75" hidden="false" customHeight="true" outlineLevel="0" collapsed="false">
      <c r="A83" s="37"/>
      <c r="B83" s="37"/>
      <c r="C83" s="8"/>
      <c r="D83" s="59"/>
      <c r="E83" s="59"/>
      <c r="F83" s="59"/>
      <c r="G83" s="59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</row>
    <row r="84" customFormat="false" ht="15.75" hidden="false" customHeight="true" outlineLevel="0" collapsed="false">
      <c r="A84" s="37"/>
      <c r="B84" s="37"/>
      <c r="C84" s="8"/>
      <c r="D84" s="59"/>
      <c r="E84" s="59"/>
      <c r="F84" s="59"/>
      <c r="G84" s="59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</row>
    <row r="85" customFormat="false" ht="15.75" hidden="false" customHeight="true" outlineLevel="0" collapsed="false">
      <c r="A85" s="37"/>
      <c r="B85" s="37"/>
      <c r="C85" s="8"/>
      <c r="D85" s="59"/>
      <c r="E85" s="59"/>
      <c r="F85" s="59"/>
      <c r="G85" s="59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</row>
    <row r="86" customFormat="false" ht="15.75" hidden="false" customHeight="true" outlineLevel="0" collapsed="false">
      <c r="A86" s="37"/>
      <c r="B86" s="37"/>
      <c r="C86" s="8"/>
      <c r="D86" s="59"/>
      <c r="E86" s="59"/>
      <c r="F86" s="59"/>
      <c r="G86" s="59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</row>
    <row r="87" customFormat="false" ht="15.75" hidden="false" customHeight="true" outlineLevel="0" collapsed="false">
      <c r="A87" s="37"/>
      <c r="B87" s="37"/>
      <c r="C87" s="8"/>
      <c r="D87" s="59"/>
      <c r="E87" s="59"/>
      <c r="F87" s="59"/>
      <c r="G87" s="59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</row>
    <row r="88" customFormat="false" ht="15.75" hidden="false" customHeight="true" outlineLevel="0" collapsed="false">
      <c r="A88" s="37"/>
      <c r="B88" s="37"/>
      <c r="C88" s="8"/>
      <c r="D88" s="59"/>
      <c r="E88" s="59"/>
      <c r="F88" s="59"/>
      <c r="G88" s="59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</row>
    <row r="89" customFormat="false" ht="15.75" hidden="false" customHeight="true" outlineLevel="0" collapsed="false">
      <c r="A89" s="37"/>
      <c r="B89" s="37"/>
      <c r="C89" s="8"/>
      <c r="D89" s="59"/>
      <c r="E89" s="59"/>
      <c r="F89" s="59"/>
      <c r="G89" s="59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</row>
    <row r="90" customFormat="false" ht="15.75" hidden="false" customHeight="true" outlineLevel="0" collapsed="false">
      <c r="A90" s="37"/>
      <c r="B90" s="37"/>
      <c r="C90" s="8"/>
      <c r="D90" s="59"/>
      <c r="E90" s="59"/>
      <c r="F90" s="59"/>
      <c r="G90" s="59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</row>
    <row r="91" customFormat="false" ht="15.75" hidden="false" customHeight="true" outlineLevel="0" collapsed="false">
      <c r="A91" s="37"/>
      <c r="B91" s="37"/>
      <c r="C91" s="8"/>
      <c r="D91" s="59"/>
      <c r="E91" s="59"/>
      <c r="F91" s="59"/>
      <c r="G91" s="59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</row>
    <row r="92" customFormat="false" ht="15.75" hidden="false" customHeight="true" outlineLevel="0" collapsed="false">
      <c r="A92" s="37"/>
      <c r="B92" s="37"/>
      <c r="C92" s="8"/>
      <c r="D92" s="59"/>
      <c r="E92" s="59"/>
      <c r="F92" s="59"/>
      <c r="G92" s="59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</row>
    <row r="93" customFormat="false" ht="15.75" hidden="false" customHeight="true" outlineLevel="0" collapsed="false">
      <c r="A93" s="37"/>
      <c r="B93" s="37"/>
      <c r="C93" s="8"/>
      <c r="D93" s="59"/>
      <c r="E93" s="59"/>
      <c r="F93" s="59"/>
      <c r="G93" s="59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</row>
    <row r="94" customFormat="false" ht="15.75" hidden="false" customHeight="true" outlineLevel="0" collapsed="false">
      <c r="A94" s="37"/>
      <c r="B94" s="37"/>
      <c r="C94" s="8"/>
      <c r="D94" s="59"/>
      <c r="E94" s="59"/>
      <c r="F94" s="59"/>
      <c r="G94" s="59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</row>
    <row r="95" customFormat="false" ht="15.75" hidden="false" customHeight="true" outlineLevel="0" collapsed="false">
      <c r="A95" s="37"/>
      <c r="B95" s="37"/>
      <c r="C95" s="8"/>
      <c r="D95" s="59"/>
      <c r="E95" s="59"/>
      <c r="F95" s="59"/>
      <c r="G95" s="59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</row>
    <row r="96" customFormat="false" ht="15.75" hidden="false" customHeight="true" outlineLevel="0" collapsed="false">
      <c r="A96" s="37"/>
      <c r="B96" s="37"/>
      <c r="C96" s="8"/>
      <c r="D96" s="59"/>
      <c r="E96" s="59"/>
      <c r="F96" s="59"/>
      <c r="G96" s="59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</row>
    <row r="97" customFormat="false" ht="15.75" hidden="false" customHeight="true" outlineLevel="0" collapsed="false">
      <c r="A97" s="37"/>
      <c r="B97" s="37"/>
      <c r="C97" s="8"/>
      <c r="D97" s="59"/>
      <c r="E97" s="59"/>
      <c r="F97" s="59"/>
      <c r="G97" s="59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</row>
    <row r="98" customFormat="false" ht="15.75" hidden="false" customHeight="true" outlineLevel="0" collapsed="false">
      <c r="A98" s="37"/>
      <c r="B98" s="37"/>
      <c r="C98" s="8"/>
      <c r="D98" s="59"/>
      <c r="E98" s="59"/>
      <c r="F98" s="59"/>
      <c r="G98" s="59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</row>
    <row r="99" customFormat="false" ht="15.75" hidden="false" customHeight="true" outlineLevel="0" collapsed="false">
      <c r="A99" s="37"/>
      <c r="B99" s="37"/>
      <c r="C99" s="8"/>
      <c r="D99" s="59"/>
      <c r="E99" s="59"/>
      <c r="F99" s="59"/>
      <c r="G99" s="59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</row>
    <row r="100" customFormat="false" ht="15.75" hidden="false" customHeight="true" outlineLevel="0" collapsed="false">
      <c r="A100" s="37"/>
      <c r="B100" s="37"/>
      <c r="C100" s="8"/>
      <c r="D100" s="59"/>
      <c r="E100" s="59"/>
      <c r="F100" s="59"/>
      <c r="G100" s="59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</row>
    <row r="101" customFormat="false" ht="15.75" hidden="false" customHeight="true" outlineLevel="0" collapsed="false">
      <c r="A101" s="37"/>
      <c r="B101" s="37"/>
      <c r="C101" s="8"/>
      <c r="D101" s="59"/>
      <c r="E101" s="59"/>
      <c r="F101" s="59"/>
      <c r="G101" s="59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</row>
    <row r="102" customFormat="false" ht="15.75" hidden="false" customHeight="true" outlineLevel="0" collapsed="false">
      <c r="A102" s="37"/>
      <c r="B102" s="37"/>
      <c r="C102" s="8"/>
      <c r="D102" s="59"/>
      <c r="E102" s="59"/>
      <c r="F102" s="59"/>
      <c r="G102" s="59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</row>
    <row r="103" customFormat="false" ht="15.75" hidden="false" customHeight="true" outlineLevel="0" collapsed="false">
      <c r="A103" s="37"/>
      <c r="B103" s="37"/>
      <c r="C103" s="8"/>
      <c r="D103" s="59"/>
      <c r="E103" s="59"/>
      <c r="F103" s="59"/>
      <c r="G103" s="59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</row>
    <row r="104" customFormat="false" ht="15.75" hidden="false" customHeight="true" outlineLevel="0" collapsed="false">
      <c r="A104" s="37"/>
      <c r="B104" s="37"/>
      <c r="C104" s="8"/>
      <c r="D104" s="59"/>
      <c r="E104" s="59"/>
      <c r="F104" s="59"/>
      <c r="G104" s="59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</row>
    <row r="105" customFormat="false" ht="15.75" hidden="false" customHeight="true" outlineLevel="0" collapsed="false">
      <c r="A105" s="37"/>
      <c r="B105" s="37"/>
      <c r="C105" s="8"/>
      <c r="D105" s="59"/>
      <c r="E105" s="59"/>
      <c r="F105" s="59"/>
      <c r="G105" s="59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</row>
    <row r="106" customFormat="false" ht="15.75" hidden="false" customHeight="true" outlineLevel="0" collapsed="false">
      <c r="A106" s="37"/>
      <c r="B106" s="37"/>
      <c r="C106" s="8"/>
      <c r="D106" s="59"/>
      <c r="E106" s="59"/>
      <c r="F106" s="59"/>
      <c r="G106" s="59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</row>
    <row r="107" customFormat="false" ht="15.75" hidden="false" customHeight="true" outlineLevel="0" collapsed="false">
      <c r="A107" s="37"/>
      <c r="B107" s="37"/>
      <c r="C107" s="8"/>
      <c r="D107" s="59"/>
      <c r="E107" s="59"/>
      <c r="F107" s="59"/>
      <c r="G107" s="59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</row>
    <row r="108" customFormat="false" ht="15.75" hidden="false" customHeight="true" outlineLevel="0" collapsed="false">
      <c r="A108" s="37"/>
      <c r="B108" s="37"/>
      <c r="C108" s="8"/>
      <c r="D108" s="59"/>
      <c r="E108" s="59"/>
      <c r="F108" s="59"/>
      <c r="G108" s="59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</row>
    <row r="109" customFormat="false" ht="15.75" hidden="false" customHeight="true" outlineLevel="0" collapsed="false">
      <c r="A109" s="37"/>
      <c r="B109" s="37"/>
      <c r="C109" s="8"/>
      <c r="D109" s="59"/>
      <c r="E109" s="59"/>
      <c r="F109" s="59"/>
      <c r="G109" s="59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</row>
    <row r="110" customFormat="false" ht="15.75" hidden="false" customHeight="true" outlineLevel="0" collapsed="false">
      <c r="A110" s="37"/>
      <c r="B110" s="37"/>
      <c r="C110" s="8"/>
      <c r="D110" s="59"/>
      <c r="E110" s="59"/>
      <c r="F110" s="59"/>
      <c r="G110" s="59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</row>
    <row r="111" customFormat="false" ht="15.75" hidden="false" customHeight="true" outlineLevel="0" collapsed="false">
      <c r="A111" s="37"/>
      <c r="B111" s="37"/>
      <c r="C111" s="8"/>
      <c r="D111" s="59"/>
      <c r="E111" s="59"/>
      <c r="F111" s="59"/>
      <c r="G111" s="59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</row>
    <row r="112" customFormat="false" ht="15.75" hidden="false" customHeight="true" outlineLevel="0" collapsed="false">
      <c r="A112" s="37"/>
      <c r="B112" s="37"/>
      <c r="C112" s="8"/>
      <c r="D112" s="59"/>
      <c r="E112" s="59"/>
      <c r="F112" s="59"/>
      <c r="G112" s="59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</row>
    <row r="113" customFormat="false" ht="15.75" hidden="false" customHeight="true" outlineLevel="0" collapsed="false">
      <c r="A113" s="37"/>
      <c r="B113" s="37"/>
      <c r="C113" s="8"/>
      <c r="D113" s="59"/>
      <c r="E113" s="59"/>
      <c r="F113" s="59"/>
      <c r="G113" s="59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</row>
    <row r="114" customFormat="false" ht="15.75" hidden="false" customHeight="true" outlineLevel="0" collapsed="false">
      <c r="A114" s="37"/>
      <c r="B114" s="37"/>
      <c r="C114" s="8"/>
      <c r="D114" s="59"/>
      <c r="E114" s="59"/>
      <c r="F114" s="59"/>
      <c r="G114" s="59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</row>
    <row r="115" customFormat="false" ht="15.75" hidden="false" customHeight="true" outlineLevel="0" collapsed="false">
      <c r="A115" s="37"/>
      <c r="B115" s="37"/>
      <c r="C115" s="8"/>
      <c r="D115" s="59"/>
      <c r="E115" s="59"/>
      <c r="F115" s="59"/>
      <c r="G115" s="59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</row>
    <row r="116" customFormat="false" ht="15.75" hidden="false" customHeight="true" outlineLevel="0" collapsed="false">
      <c r="A116" s="37"/>
      <c r="B116" s="37"/>
      <c r="C116" s="8"/>
      <c r="D116" s="59"/>
      <c r="E116" s="59"/>
      <c r="F116" s="59"/>
      <c r="G116" s="59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</row>
    <row r="117" customFormat="false" ht="15.75" hidden="false" customHeight="true" outlineLevel="0" collapsed="false">
      <c r="A117" s="37"/>
      <c r="B117" s="37"/>
      <c r="C117" s="8"/>
      <c r="D117" s="59"/>
      <c r="E117" s="59"/>
      <c r="F117" s="59"/>
      <c r="G117" s="59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</row>
    <row r="118" customFormat="false" ht="15.75" hidden="false" customHeight="true" outlineLevel="0" collapsed="false">
      <c r="A118" s="37"/>
      <c r="B118" s="37"/>
      <c r="C118" s="8"/>
      <c r="D118" s="59"/>
      <c r="E118" s="59"/>
      <c r="F118" s="59"/>
      <c r="G118" s="59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</row>
    <row r="119" customFormat="false" ht="15.75" hidden="false" customHeight="true" outlineLevel="0" collapsed="false">
      <c r="A119" s="37"/>
      <c r="B119" s="37"/>
      <c r="C119" s="8"/>
      <c r="D119" s="59"/>
      <c r="E119" s="59"/>
      <c r="F119" s="59"/>
      <c r="G119" s="59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</row>
    <row r="120" customFormat="false" ht="15.75" hidden="false" customHeight="true" outlineLevel="0" collapsed="false">
      <c r="A120" s="37"/>
      <c r="B120" s="37"/>
      <c r="C120" s="8"/>
      <c r="D120" s="59"/>
      <c r="E120" s="59"/>
      <c r="F120" s="59"/>
      <c r="G120" s="59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</row>
    <row r="121" customFormat="false" ht="15.75" hidden="false" customHeight="true" outlineLevel="0" collapsed="false">
      <c r="A121" s="37"/>
      <c r="B121" s="37"/>
      <c r="C121" s="8"/>
      <c r="D121" s="59"/>
      <c r="E121" s="59"/>
      <c r="F121" s="59"/>
      <c r="G121" s="59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</row>
    <row r="122" customFormat="false" ht="15.75" hidden="false" customHeight="true" outlineLevel="0" collapsed="false">
      <c r="A122" s="37"/>
      <c r="B122" s="37"/>
      <c r="C122" s="8"/>
      <c r="D122" s="59"/>
      <c r="E122" s="59"/>
      <c r="F122" s="59"/>
      <c r="G122" s="59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</row>
    <row r="123" customFormat="false" ht="15.75" hidden="false" customHeight="true" outlineLevel="0" collapsed="false">
      <c r="A123" s="37"/>
      <c r="B123" s="37"/>
      <c r="C123" s="8"/>
      <c r="D123" s="59"/>
      <c r="E123" s="59"/>
      <c r="F123" s="59"/>
      <c r="G123" s="59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</row>
    <row r="124" customFormat="false" ht="15.75" hidden="false" customHeight="true" outlineLevel="0" collapsed="false">
      <c r="A124" s="37"/>
      <c r="B124" s="37"/>
      <c r="C124" s="8"/>
      <c r="D124" s="59"/>
      <c r="E124" s="59"/>
      <c r="F124" s="59"/>
      <c r="G124" s="59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</row>
    <row r="125" customFormat="false" ht="15.75" hidden="false" customHeight="true" outlineLevel="0" collapsed="false">
      <c r="A125" s="37"/>
      <c r="B125" s="37"/>
      <c r="C125" s="8"/>
      <c r="D125" s="59"/>
      <c r="E125" s="59"/>
      <c r="F125" s="59"/>
      <c r="G125" s="59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</row>
    <row r="126" customFormat="false" ht="15.75" hidden="false" customHeight="true" outlineLevel="0" collapsed="false">
      <c r="A126" s="37"/>
      <c r="B126" s="37"/>
      <c r="C126" s="8"/>
      <c r="D126" s="59"/>
      <c r="E126" s="59"/>
      <c r="F126" s="59"/>
      <c r="G126" s="59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</row>
    <row r="127" customFormat="false" ht="15.75" hidden="false" customHeight="true" outlineLevel="0" collapsed="false">
      <c r="A127" s="37"/>
      <c r="B127" s="37"/>
      <c r="C127" s="8"/>
      <c r="D127" s="59"/>
      <c r="E127" s="59"/>
      <c r="F127" s="59"/>
      <c r="G127" s="59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</row>
    <row r="128" customFormat="false" ht="15.75" hidden="false" customHeight="true" outlineLevel="0" collapsed="false">
      <c r="A128" s="37"/>
      <c r="B128" s="37"/>
      <c r="C128" s="8"/>
      <c r="D128" s="59"/>
      <c r="E128" s="59"/>
      <c r="F128" s="59"/>
      <c r="G128" s="59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</row>
    <row r="129" customFormat="false" ht="15.75" hidden="false" customHeight="true" outlineLevel="0" collapsed="false">
      <c r="A129" s="37"/>
      <c r="B129" s="37"/>
      <c r="C129" s="8"/>
      <c r="D129" s="59"/>
      <c r="E129" s="59"/>
      <c r="F129" s="59"/>
      <c r="G129" s="59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</row>
    <row r="130" customFormat="false" ht="15.75" hidden="false" customHeight="true" outlineLevel="0" collapsed="false">
      <c r="A130" s="37"/>
      <c r="B130" s="37"/>
      <c r="C130" s="8"/>
      <c r="D130" s="59"/>
      <c r="E130" s="59"/>
      <c r="F130" s="59"/>
      <c r="G130" s="59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</row>
    <row r="131" customFormat="false" ht="15.75" hidden="false" customHeight="true" outlineLevel="0" collapsed="false">
      <c r="A131" s="37"/>
      <c r="B131" s="37"/>
      <c r="C131" s="8"/>
      <c r="D131" s="59"/>
      <c r="E131" s="59"/>
      <c r="F131" s="59"/>
      <c r="G131" s="59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</row>
    <row r="132" customFormat="false" ht="15.75" hidden="false" customHeight="true" outlineLevel="0" collapsed="false">
      <c r="A132" s="37"/>
      <c r="B132" s="37"/>
      <c r="C132" s="8"/>
      <c r="D132" s="59"/>
      <c r="E132" s="59"/>
      <c r="F132" s="59"/>
      <c r="G132" s="59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</row>
    <row r="133" customFormat="false" ht="15.75" hidden="false" customHeight="true" outlineLevel="0" collapsed="false">
      <c r="A133" s="37"/>
      <c r="B133" s="37"/>
      <c r="C133" s="8"/>
      <c r="D133" s="59"/>
      <c r="E133" s="59"/>
      <c r="F133" s="59"/>
      <c r="G133" s="59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</row>
    <row r="134" customFormat="false" ht="15.75" hidden="false" customHeight="true" outlineLevel="0" collapsed="false">
      <c r="A134" s="37"/>
      <c r="B134" s="37"/>
      <c r="C134" s="8"/>
      <c r="D134" s="59"/>
      <c r="E134" s="59"/>
      <c r="F134" s="59"/>
      <c r="G134" s="59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</row>
    <row r="135" customFormat="false" ht="15.75" hidden="false" customHeight="true" outlineLevel="0" collapsed="false">
      <c r="A135" s="37"/>
      <c r="B135" s="37"/>
      <c r="C135" s="8"/>
      <c r="D135" s="59"/>
      <c r="E135" s="59"/>
      <c r="F135" s="59"/>
      <c r="G135" s="59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</row>
    <row r="136" customFormat="false" ht="15.75" hidden="false" customHeight="true" outlineLevel="0" collapsed="false">
      <c r="A136" s="37"/>
      <c r="B136" s="37"/>
      <c r="C136" s="8"/>
      <c r="D136" s="59"/>
      <c r="E136" s="59"/>
      <c r="F136" s="59"/>
      <c r="G136" s="59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</row>
    <row r="137" customFormat="false" ht="15.75" hidden="false" customHeight="true" outlineLevel="0" collapsed="false">
      <c r="A137" s="37"/>
      <c r="B137" s="37"/>
      <c r="C137" s="8"/>
      <c r="D137" s="59"/>
      <c r="E137" s="59"/>
      <c r="F137" s="59"/>
      <c r="G137" s="59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</row>
    <row r="138" customFormat="false" ht="15.75" hidden="false" customHeight="true" outlineLevel="0" collapsed="false">
      <c r="A138" s="37"/>
      <c r="B138" s="37"/>
      <c r="C138" s="8"/>
      <c r="D138" s="59"/>
      <c r="E138" s="59"/>
      <c r="F138" s="59"/>
      <c r="G138" s="59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</row>
    <row r="139" customFormat="false" ht="15.75" hidden="false" customHeight="true" outlineLevel="0" collapsed="false">
      <c r="A139" s="37"/>
      <c r="B139" s="37"/>
      <c r="C139" s="8"/>
      <c r="D139" s="59"/>
      <c r="E139" s="59"/>
      <c r="F139" s="59"/>
      <c r="G139" s="59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</row>
    <row r="140" customFormat="false" ht="15.75" hidden="false" customHeight="true" outlineLevel="0" collapsed="false">
      <c r="A140" s="37"/>
      <c r="B140" s="37"/>
      <c r="C140" s="8"/>
      <c r="D140" s="59"/>
      <c r="E140" s="59"/>
      <c r="F140" s="59"/>
      <c r="G140" s="59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</row>
    <row r="141" customFormat="false" ht="15.75" hidden="false" customHeight="true" outlineLevel="0" collapsed="false">
      <c r="A141" s="37"/>
      <c r="B141" s="37"/>
      <c r="C141" s="8"/>
      <c r="D141" s="59"/>
      <c r="E141" s="59"/>
      <c r="F141" s="59"/>
      <c r="G141" s="59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</row>
    <row r="142" customFormat="false" ht="15.75" hidden="false" customHeight="true" outlineLevel="0" collapsed="false">
      <c r="A142" s="37"/>
      <c r="B142" s="37"/>
      <c r="C142" s="8"/>
      <c r="D142" s="59"/>
      <c r="E142" s="59"/>
      <c r="F142" s="59"/>
      <c r="G142" s="59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</row>
    <row r="143" customFormat="false" ht="15.75" hidden="false" customHeight="true" outlineLevel="0" collapsed="false">
      <c r="A143" s="37"/>
      <c r="B143" s="37"/>
      <c r="C143" s="8"/>
      <c r="D143" s="59"/>
      <c r="E143" s="59"/>
      <c r="F143" s="59"/>
      <c r="G143" s="59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</row>
    <row r="144" customFormat="false" ht="15.75" hidden="false" customHeight="true" outlineLevel="0" collapsed="false">
      <c r="A144" s="37"/>
      <c r="B144" s="37"/>
      <c r="C144" s="8"/>
      <c r="D144" s="59"/>
      <c r="E144" s="59"/>
      <c r="F144" s="59"/>
      <c r="G144" s="59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</row>
    <row r="145" customFormat="false" ht="15.75" hidden="false" customHeight="true" outlineLevel="0" collapsed="false">
      <c r="A145" s="37"/>
      <c r="B145" s="37"/>
      <c r="C145" s="8"/>
      <c r="D145" s="59"/>
      <c r="E145" s="59"/>
      <c r="F145" s="59"/>
      <c r="G145" s="59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</row>
    <row r="146" customFormat="false" ht="15.75" hidden="false" customHeight="true" outlineLevel="0" collapsed="false">
      <c r="A146" s="37"/>
      <c r="B146" s="37"/>
      <c r="C146" s="8"/>
      <c r="D146" s="59"/>
      <c r="E146" s="59"/>
      <c r="F146" s="59"/>
      <c r="G146" s="59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</row>
    <row r="147" customFormat="false" ht="15.75" hidden="false" customHeight="true" outlineLevel="0" collapsed="false">
      <c r="A147" s="37"/>
      <c r="B147" s="37"/>
      <c r="C147" s="8"/>
      <c r="D147" s="59"/>
      <c r="E147" s="59"/>
      <c r="F147" s="59"/>
      <c r="G147" s="59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</row>
    <row r="148" customFormat="false" ht="15.75" hidden="false" customHeight="true" outlineLevel="0" collapsed="false">
      <c r="A148" s="37"/>
      <c r="B148" s="37"/>
      <c r="C148" s="8"/>
      <c r="D148" s="59"/>
      <c r="E148" s="59"/>
      <c r="F148" s="59"/>
      <c r="G148" s="59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</row>
    <row r="149" customFormat="false" ht="15.75" hidden="false" customHeight="true" outlineLevel="0" collapsed="false">
      <c r="A149" s="37"/>
      <c r="B149" s="37"/>
      <c r="C149" s="8"/>
      <c r="D149" s="59"/>
      <c r="E149" s="59"/>
      <c r="F149" s="59"/>
      <c r="G149" s="59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</row>
    <row r="150" customFormat="false" ht="15.75" hidden="false" customHeight="true" outlineLevel="0" collapsed="false">
      <c r="A150" s="37"/>
      <c r="B150" s="37"/>
      <c r="C150" s="8"/>
      <c r="D150" s="59"/>
      <c r="E150" s="59"/>
      <c r="F150" s="59"/>
      <c r="G150" s="59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</row>
    <row r="151" customFormat="false" ht="15.75" hidden="false" customHeight="true" outlineLevel="0" collapsed="false">
      <c r="A151" s="37"/>
      <c r="B151" s="37"/>
      <c r="C151" s="8"/>
      <c r="D151" s="59"/>
      <c r="E151" s="59"/>
      <c r="F151" s="59"/>
      <c r="G151" s="59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</row>
    <row r="152" customFormat="false" ht="15.75" hidden="false" customHeight="true" outlineLevel="0" collapsed="false">
      <c r="A152" s="37"/>
      <c r="B152" s="37"/>
      <c r="C152" s="8"/>
      <c r="D152" s="59"/>
      <c r="E152" s="59"/>
      <c r="F152" s="59"/>
      <c r="G152" s="59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</row>
    <row r="153" customFormat="false" ht="15.75" hidden="false" customHeight="true" outlineLevel="0" collapsed="false">
      <c r="A153" s="37"/>
      <c r="B153" s="37"/>
      <c r="C153" s="8"/>
      <c r="D153" s="59"/>
      <c r="E153" s="59"/>
      <c r="F153" s="59"/>
      <c r="G153" s="59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</row>
    <row r="154" customFormat="false" ht="15.75" hidden="false" customHeight="true" outlineLevel="0" collapsed="false">
      <c r="A154" s="37"/>
      <c r="B154" s="37"/>
      <c r="C154" s="8"/>
      <c r="D154" s="59"/>
      <c r="E154" s="59"/>
      <c r="F154" s="59"/>
      <c r="G154" s="59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</row>
    <row r="155" customFormat="false" ht="15.75" hidden="false" customHeight="true" outlineLevel="0" collapsed="false">
      <c r="A155" s="37"/>
      <c r="B155" s="37"/>
      <c r="C155" s="8"/>
      <c r="D155" s="59"/>
      <c r="E155" s="59"/>
      <c r="F155" s="59"/>
      <c r="G155" s="59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</row>
    <row r="156" customFormat="false" ht="15.75" hidden="false" customHeight="true" outlineLevel="0" collapsed="false">
      <c r="A156" s="37"/>
      <c r="B156" s="37"/>
      <c r="C156" s="8"/>
      <c r="D156" s="59"/>
      <c r="E156" s="59"/>
      <c r="F156" s="59"/>
      <c r="G156" s="59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</row>
    <row r="157" customFormat="false" ht="15.75" hidden="false" customHeight="true" outlineLevel="0" collapsed="false">
      <c r="A157" s="37"/>
      <c r="B157" s="37"/>
      <c r="C157" s="8"/>
      <c r="D157" s="59"/>
      <c r="E157" s="59"/>
      <c r="F157" s="59"/>
      <c r="G157" s="59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</row>
    <row r="158" customFormat="false" ht="15.75" hidden="false" customHeight="true" outlineLevel="0" collapsed="false">
      <c r="A158" s="37"/>
      <c r="B158" s="37"/>
      <c r="C158" s="8"/>
      <c r="D158" s="59"/>
      <c r="E158" s="59"/>
      <c r="F158" s="59"/>
      <c r="G158" s="59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</row>
    <row r="159" customFormat="false" ht="15.75" hidden="false" customHeight="true" outlineLevel="0" collapsed="false">
      <c r="A159" s="37"/>
      <c r="B159" s="37"/>
      <c r="C159" s="8"/>
      <c r="D159" s="59"/>
      <c r="E159" s="59"/>
      <c r="F159" s="59"/>
      <c r="G159" s="59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</row>
    <row r="160" customFormat="false" ht="15.75" hidden="false" customHeight="true" outlineLevel="0" collapsed="false">
      <c r="A160" s="37"/>
      <c r="B160" s="37"/>
      <c r="C160" s="8"/>
      <c r="D160" s="59"/>
      <c r="E160" s="59"/>
      <c r="F160" s="59"/>
      <c r="G160" s="59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</row>
    <row r="161" customFormat="false" ht="15.75" hidden="false" customHeight="true" outlineLevel="0" collapsed="false">
      <c r="A161" s="37"/>
      <c r="B161" s="37"/>
      <c r="C161" s="8"/>
      <c r="D161" s="59"/>
      <c r="E161" s="59"/>
      <c r="F161" s="59"/>
      <c r="G161" s="59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</row>
    <row r="162" customFormat="false" ht="15.75" hidden="false" customHeight="true" outlineLevel="0" collapsed="false">
      <c r="A162" s="37"/>
      <c r="B162" s="37"/>
      <c r="C162" s="8"/>
      <c r="D162" s="59"/>
      <c r="E162" s="59"/>
      <c r="F162" s="59"/>
      <c r="G162" s="59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</row>
    <row r="163" customFormat="false" ht="15.75" hidden="false" customHeight="true" outlineLevel="0" collapsed="false">
      <c r="A163" s="37"/>
      <c r="B163" s="37"/>
      <c r="C163" s="8"/>
      <c r="D163" s="59"/>
      <c r="E163" s="59"/>
      <c r="F163" s="59"/>
      <c r="G163" s="59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</row>
    <row r="164" customFormat="false" ht="15.75" hidden="false" customHeight="true" outlineLevel="0" collapsed="false">
      <c r="A164" s="37"/>
      <c r="B164" s="37"/>
      <c r="C164" s="8"/>
      <c r="D164" s="59"/>
      <c r="E164" s="59"/>
      <c r="F164" s="59"/>
      <c r="G164" s="59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</row>
    <row r="165" customFormat="false" ht="15.75" hidden="false" customHeight="true" outlineLevel="0" collapsed="false">
      <c r="A165" s="37"/>
      <c r="B165" s="37"/>
      <c r="C165" s="8"/>
      <c r="D165" s="59"/>
      <c r="E165" s="59"/>
      <c r="F165" s="59"/>
      <c r="G165" s="59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</row>
    <row r="166" customFormat="false" ht="15.75" hidden="false" customHeight="true" outlineLevel="0" collapsed="false">
      <c r="A166" s="37"/>
      <c r="B166" s="37"/>
      <c r="C166" s="8"/>
      <c r="D166" s="59"/>
      <c r="E166" s="59"/>
      <c r="F166" s="59"/>
      <c r="G166" s="59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</row>
    <row r="167" customFormat="false" ht="15.75" hidden="false" customHeight="true" outlineLevel="0" collapsed="false">
      <c r="A167" s="37"/>
      <c r="B167" s="37"/>
      <c r="C167" s="8"/>
      <c r="D167" s="59"/>
      <c r="E167" s="59"/>
      <c r="F167" s="59"/>
      <c r="G167" s="59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</row>
    <row r="168" customFormat="false" ht="15.75" hidden="false" customHeight="true" outlineLevel="0" collapsed="false">
      <c r="A168" s="37"/>
      <c r="B168" s="37"/>
      <c r="C168" s="8"/>
      <c r="D168" s="59"/>
      <c r="E168" s="59"/>
      <c r="F168" s="59"/>
      <c r="G168" s="59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</row>
    <row r="169" customFormat="false" ht="15.75" hidden="false" customHeight="true" outlineLevel="0" collapsed="false">
      <c r="A169" s="37"/>
      <c r="B169" s="37"/>
      <c r="C169" s="8"/>
      <c r="D169" s="59"/>
      <c r="E169" s="59"/>
      <c r="F169" s="59"/>
      <c r="G169" s="59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</row>
    <row r="170" customFormat="false" ht="15.75" hidden="false" customHeight="true" outlineLevel="0" collapsed="false">
      <c r="A170" s="37"/>
      <c r="B170" s="37"/>
      <c r="C170" s="8"/>
      <c r="D170" s="59"/>
      <c r="E170" s="59"/>
      <c r="F170" s="59"/>
      <c r="G170" s="59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</row>
    <row r="171" customFormat="false" ht="15.75" hidden="false" customHeight="true" outlineLevel="0" collapsed="false">
      <c r="A171" s="37"/>
      <c r="B171" s="37"/>
      <c r="C171" s="8"/>
      <c r="D171" s="59"/>
      <c r="E171" s="59"/>
      <c r="F171" s="59"/>
      <c r="G171" s="59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</row>
    <row r="172" customFormat="false" ht="15.75" hidden="false" customHeight="true" outlineLevel="0" collapsed="false">
      <c r="A172" s="37"/>
      <c r="B172" s="37"/>
      <c r="C172" s="8"/>
      <c r="D172" s="59"/>
      <c r="E172" s="59"/>
      <c r="F172" s="59"/>
      <c r="G172" s="59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</row>
    <row r="173" customFormat="false" ht="15.75" hidden="false" customHeight="true" outlineLevel="0" collapsed="false">
      <c r="A173" s="37"/>
      <c r="B173" s="37"/>
      <c r="C173" s="8"/>
      <c r="D173" s="59"/>
      <c r="E173" s="59"/>
      <c r="F173" s="59"/>
      <c r="G173" s="59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</row>
    <row r="174" customFormat="false" ht="15.75" hidden="false" customHeight="true" outlineLevel="0" collapsed="false">
      <c r="A174" s="37"/>
      <c r="B174" s="37"/>
      <c r="C174" s="8"/>
      <c r="D174" s="59"/>
      <c r="E174" s="59"/>
      <c r="F174" s="59"/>
      <c r="G174" s="59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</row>
    <row r="175" customFormat="false" ht="15.75" hidden="false" customHeight="true" outlineLevel="0" collapsed="false">
      <c r="A175" s="37"/>
      <c r="B175" s="37"/>
      <c r="C175" s="8"/>
      <c r="D175" s="59"/>
      <c r="E175" s="59"/>
      <c r="F175" s="59"/>
      <c r="G175" s="59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</row>
    <row r="176" customFormat="false" ht="15.75" hidden="false" customHeight="true" outlineLevel="0" collapsed="false">
      <c r="A176" s="37"/>
      <c r="B176" s="37"/>
      <c r="C176" s="8"/>
      <c r="D176" s="59"/>
      <c r="E176" s="59"/>
      <c r="F176" s="59"/>
      <c r="G176" s="59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</row>
    <row r="177" customFormat="false" ht="15.75" hidden="false" customHeight="true" outlineLevel="0" collapsed="false">
      <c r="A177" s="37"/>
      <c r="B177" s="37"/>
      <c r="C177" s="8"/>
      <c r="D177" s="59"/>
      <c r="E177" s="59"/>
      <c r="F177" s="59"/>
      <c r="G177" s="59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</row>
    <row r="178" customFormat="false" ht="15.75" hidden="false" customHeight="true" outlineLevel="0" collapsed="false">
      <c r="A178" s="37"/>
      <c r="B178" s="37"/>
      <c r="C178" s="8"/>
      <c r="D178" s="59"/>
      <c r="E178" s="59"/>
      <c r="F178" s="59"/>
      <c r="G178" s="59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</row>
    <row r="179" customFormat="false" ht="15.75" hidden="false" customHeight="true" outlineLevel="0" collapsed="false">
      <c r="A179" s="37"/>
      <c r="B179" s="37"/>
      <c r="C179" s="8"/>
      <c r="D179" s="59"/>
      <c r="E179" s="59"/>
      <c r="F179" s="59"/>
      <c r="G179" s="59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</row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A3"/>
  <conditionalFormatting sqref="E2:E3">
    <cfRule type="containsText" priority="2" operator="containsText" aboveAverage="0" equalAverage="0" bottom="0" percent="0" rank="0" text="rus" dxfId="23">
      <formula>NOT(ISERROR(SEARCH("rus",E2)))</formula>
    </cfRule>
    <cfRule type="containsText" priority="3" operator="containsText" aboveAverage="0" equalAverage="0" bottom="0" percent="0" rank="0" text="0" dxfId="24">
      <formula>NOT(ISERROR(SEARCH("0",E2)))</formula>
    </cfRule>
    <cfRule type="containsText" priority="4" operator="containsText" aboveAverage="0" equalAverage="0" bottom="0" percent="0" rank="0" text="rus" dxfId="25">
      <formula>NOT(ISERROR(SEARCH("rus",E2)))</formula>
    </cfRule>
    <cfRule type="containsText" priority="5" operator="containsText" aboveAverage="0" equalAverage="0" bottom="0" percent="0" rank="0" text="rus" dxfId="26">
      <formula>NOT(ISERROR(SEARCH("rus",E2)))</formula>
    </cfRule>
    <cfRule type="containsText" priority="6" operator="containsText" aboveAverage="0" equalAverage="0" bottom="0" percent="0" rank="0" text="rus" dxfId="27">
      <formula>NOT(ISERROR(SEARCH("rus",E2)))</formula>
    </cfRule>
    <cfRule type="containsText" priority="7" operator="containsText" aboveAverage="0" equalAverage="0" bottom="0" percent="0" rank="0" text="rus" dxfId="28">
      <formula>NOT(ISERROR(SEARCH("rus",E2)))</formula>
    </cfRule>
    <cfRule type="containsText" priority="8" operator="containsText" aboveAverage="0" equalAverage="0" bottom="0" percent="0" rank="0" text="rus" dxfId="29">
      <formula>NOT(ISERROR(SEARCH("rus",E2)))</formula>
    </cfRule>
  </conditionalFormatting>
  <conditionalFormatting sqref="L3:M3">
    <cfRule type="containsText" priority="9" operator="containsText" aboveAverage="0" equalAverage="0" bottom="0" percent="0" rank="0" text="наклеен" dxfId="30">
      <formula>NOT(ISERROR(SEARCH("наклеен",L3)))</formula>
    </cfRule>
  </conditionalFormatting>
  <conditionalFormatting sqref="E3">
    <cfRule type="containsText" priority="10" operator="containsText" aboveAverage="0" equalAverage="0" bottom="0" percent="0" rank="0" text="rus" dxfId="31">
      <formula>NOT(ISERROR(SEARCH("rus",E3)))</formula>
    </cfRule>
    <cfRule type="containsText" priority="11" operator="containsText" aboveAverage="0" equalAverage="0" bottom="0" percent="0" rank="0" text="rus" dxfId="32">
      <formula>NOT(ISERROR(SEARCH("rus",E3)))</formula>
    </cfRule>
  </conditionalFormatting>
  <conditionalFormatting sqref="C3">
    <cfRule type="cellIs" priority="12" operator="equal" aboveAverage="0" equalAverage="0" bottom="0" percent="0" rank="0" text="" dxfId="33">
      <formula>"C1:C774"</formula>
    </cfRule>
  </conditionalFormatting>
  <conditionalFormatting sqref="L2:M2">
    <cfRule type="containsText" priority="13" operator="containsText" aboveAverage="0" equalAverage="0" bottom="0" percent="0" rank="0" text="наклеен" dxfId="34">
      <formula>NOT(ISERROR(SEARCH("наклеен",L2)))</formula>
    </cfRule>
  </conditionalFormatting>
  <conditionalFormatting sqref="E2">
    <cfRule type="containsText" priority="14" operator="containsText" aboveAverage="0" equalAverage="0" bottom="0" percent="0" rank="0" text="rus" dxfId="35">
      <formula>NOT(ISERROR(SEARCH("rus",E2)))</formula>
    </cfRule>
  </conditionalFormatting>
  <conditionalFormatting sqref="E2">
    <cfRule type="containsText" priority="15" operator="containsText" aboveAverage="0" equalAverage="0" bottom="0" percent="0" rank="0" text="rus" dxfId="36">
      <formula>NOT(ISERROR(SEARCH("rus",E2)))</formula>
    </cfRule>
  </conditionalFormatting>
  <conditionalFormatting sqref="L2:M2">
    <cfRule type="containsText" priority="16" operator="containsText" aboveAverage="0" equalAverage="0" bottom="0" percent="0" rank="0" text="наклеен" dxfId="37">
      <formula>NOT(ISERROR(SEARCH("наклеен",L2)))</formula>
    </cfRule>
  </conditionalFormatting>
  <conditionalFormatting sqref="E2">
    <cfRule type="containsText" priority="17" operator="containsText" aboveAverage="0" equalAverage="0" bottom="0" percent="0" rank="0" text="rus" dxfId="38">
      <formula>NOT(ISERROR(SEARCH("rus",E2)))</formula>
    </cfRule>
    <cfRule type="containsText" priority="18" operator="containsText" aboveAverage="0" equalAverage="0" bottom="0" percent="0" rank="0" text="rus" dxfId="39">
      <formula>NOT(ISERROR(SEARCH("rus",E2)))</formula>
    </cfRule>
    <cfRule type="containsText" priority="19" operator="containsText" aboveAverage="0" equalAverage="0" bottom="0" percent="0" rank="0" text="rus" dxfId="40">
      <formula>NOT(ISERROR(SEARCH("rus",E2)))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A1048576"/>
  <sheetViews>
    <sheetView showFormulas="false" showGridLines="true" showRowColHeaders="true" showZeros="true" rightToLeft="false" tabSelected="false" showOutlineSymbols="true" defaultGridColor="true" view="normal" topLeftCell="N1" colorId="64" zoomScale="75" zoomScaleNormal="75" zoomScalePageLayoutView="100" workbookViewId="0">
      <selection pane="topLeft" activeCell="A5" activeCellId="0" sqref="A5"/>
    </sheetView>
  </sheetViews>
  <sheetFormatPr defaultColWidth="14.4296875" defaultRowHeight="15" zeroHeight="false" outlineLevelRow="0" outlineLevelCol="0"/>
  <cols>
    <col collapsed="false" customWidth="true" hidden="false" outlineLevel="0" max="2" min="2" style="1" width="27"/>
    <col collapsed="false" customWidth="true" hidden="false" outlineLevel="0" max="3" min="3" style="1" width="39.71"/>
    <col collapsed="false" customWidth="true" hidden="false" outlineLevel="0" max="4" min="4" style="1" width="35.58"/>
    <col collapsed="false" customWidth="true" hidden="false" outlineLevel="0" max="5" min="5" style="1" width="12.71"/>
    <col collapsed="false" customWidth="true" hidden="false" outlineLevel="0" max="6" min="6" style="1" width="29.42"/>
    <col collapsed="false" customWidth="true" hidden="false" outlineLevel="0" max="7" min="7" style="1" width="25.85"/>
    <col collapsed="false" customWidth="true" hidden="false" outlineLevel="0" max="8" min="8" style="1" width="27"/>
    <col collapsed="false" customWidth="true" hidden="false" outlineLevel="0" max="9" min="9" style="1" width="39.29"/>
    <col collapsed="false" customWidth="true" hidden="false" outlineLevel="0" max="11" min="10" style="1" width="34.58"/>
    <col collapsed="false" customWidth="true" hidden="false" outlineLevel="0" max="12" min="12" style="1" width="44"/>
    <col collapsed="false" customWidth="true" hidden="false" outlineLevel="0" max="13" min="13" style="1" width="33.85"/>
    <col collapsed="false" customWidth="true" hidden="false" outlineLevel="0" max="14" min="14" style="1" width="25.43"/>
    <col collapsed="false" customWidth="true" hidden="false" outlineLevel="0" max="15" min="15" style="1" width="15.85"/>
    <col collapsed="false" customWidth="true" hidden="false" outlineLevel="0" max="16" min="16" style="1" width="25.14"/>
    <col collapsed="false" customWidth="true" hidden="false" outlineLevel="0" max="17" min="17" style="1" width="32"/>
    <col collapsed="false" customWidth="true" hidden="false" outlineLevel="0" max="18" min="18" style="1" width="29"/>
    <col collapsed="false" customWidth="true" hidden="false" outlineLevel="0" max="19" min="19" style="1" width="37"/>
    <col collapsed="false" customWidth="true" hidden="false" outlineLevel="0" max="21" min="21" style="1" width="32.85"/>
    <col collapsed="false" customWidth="true" hidden="false" outlineLevel="0" max="24" min="24" style="1" width="19"/>
    <col collapsed="false" customWidth="true" hidden="false" outlineLevel="0" max="27" min="27" style="1" width="22.29"/>
  </cols>
  <sheetData>
    <row r="1" customFormat="false" ht="15.75" hidden="false" customHeight="true" outlineLevel="0" collapsed="false">
      <c r="A1" s="60" t="s">
        <v>71</v>
      </c>
      <c r="B1" s="61" t="s">
        <v>72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</row>
    <row r="2" customFormat="false" ht="15.75" hidden="false" customHeight="true" outlineLevel="0" collapsed="false">
      <c r="A2" s="62"/>
      <c r="B2" s="63" t="s">
        <v>0</v>
      </c>
      <c r="C2" s="63" t="s">
        <v>1</v>
      </c>
      <c r="D2" s="63" t="s">
        <v>42</v>
      </c>
      <c r="E2" s="63" t="s">
        <v>3</v>
      </c>
      <c r="F2" s="63" t="s">
        <v>4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43</v>
      </c>
      <c r="O2" s="64" t="s">
        <v>13</v>
      </c>
      <c r="P2" s="63" t="s">
        <v>14</v>
      </c>
      <c r="Q2" s="63" t="s">
        <v>44</v>
      </c>
      <c r="R2" s="63" t="s">
        <v>16</v>
      </c>
      <c r="S2" s="63" t="s">
        <v>17</v>
      </c>
      <c r="T2" s="63" t="s">
        <v>18</v>
      </c>
      <c r="U2" s="63" t="s">
        <v>19</v>
      </c>
      <c r="V2" s="63" t="s">
        <v>20</v>
      </c>
      <c r="W2" s="63" t="s">
        <v>21</v>
      </c>
      <c r="X2" s="63" t="s">
        <v>22</v>
      </c>
      <c r="Y2" s="63" t="s">
        <v>23</v>
      </c>
      <c r="Z2" s="65" t="s">
        <v>24</v>
      </c>
      <c r="AA2" s="65" t="s">
        <v>25</v>
      </c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</row>
    <row r="3" customFormat="false" ht="15.75" hidden="false" customHeight="true" outlineLevel="0" collapsed="false">
      <c r="A3" s="66" t="s">
        <v>73</v>
      </c>
      <c r="B3" s="67"/>
      <c r="C3" s="68" t="s">
        <v>74</v>
      </c>
      <c r="D3" s="69" t="s">
        <v>75</v>
      </c>
      <c r="E3" s="41" t="s">
        <v>28</v>
      </c>
      <c r="F3" s="38"/>
      <c r="G3" s="38"/>
      <c r="H3" s="70" t="s">
        <v>76</v>
      </c>
      <c r="I3" s="16" t="s">
        <v>77</v>
      </c>
      <c r="J3" s="16" t="s">
        <v>78</v>
      </c>
      <c r="K3" s="71" t="s">
        <v>79</v>
      </c>
      <c r="L3" s="72" t="s">
        <v>80</v>
      </c>
      <c r="M3" s="38"/>
      <c r="N3" s="73" t="s">
        <v>81</v>
      </c>
      <c r="O3" s="9" t="s">
        <v>82</v>
      </c>
      <c r="P3" s="74" t="str">
        <f aca="false">"RUTL-" &amp; RIGHT(O3,8)</f>
        <v>RUTL-P901FSPN</v>
      </c>
      <c r="Q3" s="38"/>
      <c r="R3" s="38"/>
      <c r="S3" s="38"/>
      <c r="T3" s="38"/>
      <c r="U3" s="38"/>
      <c r="V3" s="38"/>
      <c r="W3" s="38"/>
      <c r="X3" s="38" t="s">
        <v>83</v>
      </c>
      <c r="Y3" s="38" t="s">
        <v>84</v>
      </c>
      <c r="Z3" s="38"/>
      <c r="AA3" s="38" t="s">
        <v>85</v>
      </c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</row>
    <row r="4" customFormat="false" ht="31.5" hidden="false" customHeight="true" outlineLevel="0" collapsed="false">
      <c r="A4" s="66" t="s">
        <v>86</v>
      </c>
      <c r="B4" s="67"/>
      <c r="C4" s="68" t="s">
        <v>87</v>
      </c>
      <c r="D4" s="75" t="s">
        <v>88</v>
      </c>
      <c r="E4" s="41" t="s">
        <v>28</v>
      </c>
      <c r="F4" s="38"/>
      <c r="G4" s="38"/>
      <c r="H4" s="70" t="s">
        <v>89</v>
      </c>
      <c r="I4" s="16" t="s">
        <v>90</v>
      </c>
      <c r="J4" s="16" t="s">
        <v>91</v>
      </c>
      <c r="K4" s="71" t="s">
        <v>92</v>
      </c>
      <c r="L4" s="76" t="s">
        <v>80</v>
      </c>
      <c r="M4" s="38"/>
      <c r="N4" s="40" t="s">
        <v>93</v>
      </c>
      <c r="O4" s="9" t="s">
        <v>94</v>
      </c>
      <c r="P4" s="74" t="str">
        <f aca="false">"RUTL-" &amp; RIGHT(O4,8)</f>
        <v>RUTL-PC017TGV</v>
      </c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</row>
    <row r="5" customFormat="false" ht="15.75" hidden="false" customHeight="true" outlineLevel="0" collapsed="false"/>
    <row r="6" customFormat="false" ht="15.75" hidden="false" customHeight="true" outlineLevel="0" collapsed="false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</row>
    <row r="7" customFormat="false" ht="15.75" hidden="false" customHeight="true" outlineLevel="0" collapsed="false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</row>
    <row r="8" customFormat="false" ht="15.75" hidden="false" customHeight="true" outlineLevel="0" collapsed="false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</row>
    <row r="9" customFormat="false" ht="15.75" hidden="false" customHeight="true" outlineLevel="0" collapsed="false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</row>
    <row r="10" customFormat="false" ht="15.75" hidden="false" customHeight="true" outlineLevel="0" collapsed="false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</row>
    <row r="11" customFormat="false" ht="15.75" hidden="false" customHeight="true" outlineLevel="0" collapsed="false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</row>
    <row r="12" customFormat="false" ht="15.75" hidden="false" customHeight="true" outlineLevel="0" collapsed="false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</row>
    <row r="13" customFormat="false" ht="15.75" hidden="false" customHeight="true" outlineLevel="0" collapsed="false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</row>
    <row r="14" customFormat="false" ht="15.75" hidden="false" customHeight="true" outlineLevel="0" collapsed="false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</row>
    <row r="15" customFormat="false" ht="15.75" hidden="false" customHeight="true" outlineLevel="0" collapsed="false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</row>
    <row r="16" customFormat="false" ht="15.75" hidden="false" customHeight="true" outlineLevel="0" collapsed="false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</row>
    <row r="17" customFormat="false" ht="15.75" hidden="false" customHeight="true" outlineLevel="0" collapsed="false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</row>
    <row r="18" customFormat="false" ht="15.75" hidden="false" customHeight="true" outlineLevel="0" collapsed="false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</row>
    <row r="19" customFormat="false" ht="15.75" hidden="false" customHeight="true" outlineLevel="0" collapsed="false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</row>
    <row r="20" customFormat="false" ht="15.75" hidden="false" customHeight="true" outlineLevel="0" collapsed="false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</row>
    <row r="21" customFormat="false" ht="15.75" hidden="false" customHeight="true" outlineLevel="0" collapsed="false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</row>
    <row r="22" customFormat="false" ht="15.75" hidden="false" customHeight="true" outlineLevel="0" collapsed="false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</row>
    <row r="23" customFormat="false" ht="15.75" hidden="false" customHeight="true" outlineLevel="0" collapsed="false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</row>
    <row r="24" customFormat="false" ht="15.75" hidden="false" customHeight="true" outlineLevel="0" collapsed="false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</row>
    <row r="25" customFormat="false" ht="15.75" hidden="false" customHeight="true" outlineLevel="0" collapsed="false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</row>
    <row r="26" customFormat="false" ht="15.75" hidden="false" customHeight="true" outlineLevel="0" collapsed="false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</row>
    <row r="27" customFormat="false" ht="15.75" hidden="false" customHeight="true" outlineLevel="0" collapsed="false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</row>
    <row r="28" customFormat="false" ht="15.75" hidden="false" customHeight="true" outlineLevel="0" collapsed="false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</row>
    <row r="29" customFormat="false" ht="15.75" hidden="false" customHeight="true" outlineLevel="0" collapsed="false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</row>
    <row r="30" customFormat="false" ht="15.75" hidden="false" customHeight="true" outlineLevel="0" collapsed="false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</row>
    <row r="31" customFormat="false" ht="15.75" hidden="false" customHeight="true" outlineLevel="0" collapsed="false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</row>
    <row r="32" customFormat="false" ht="15.75" hidden="false" customHeight="true" outlineLevel="0" collapsed="false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</row>
    <row r="33" customFormat="false" ht="15.75" hidden="false" customHeight="true" outlineLevel="0" collapsed="false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</row>
    <row r="34" customFormat="false" ht="15.75" hidden="false" customHeight="true" outlineLevel="0" collapsed="false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</row>
    <row r="35" customFormat="false" ht="15.75" hidden="false" customHeight="true" outlineLevel="0" collapsed="false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</row>
    <row r="36" customFormat="false" ht="15.75" hidden="false" customHeight="true" outlineLevel="0" collapsed="false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</row>
    <row r="37" customFormat="false" ht="15.75" hidden="false" customHeight="true" outlineLevel="0" collapsed="false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</row>
    <row r="38" customFormat="false" ht="15.75" hidden="false" customHeight="true" outlineLevel="0" collapsed="false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</row>
    <row r="39" customFormat="false" ht="15.75" hidden="false" customHeight="true" outlineLevel="0" collapsed="false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</row>
    <row r="40" customFormat="false" ht="15.75" hidden="false" customHeight="true" outlineLevel="0" collapsed="false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</row>
    <row r="41" customFormat="false" ht="15.75" hidden="false" customHeight="true" outlineLevel="0" collapsed="false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</row>
    <row r="42" customFormat="false" ht="15.75" hidden="false" customHeight="true" outlineLevel="0" collapsed="false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</row>
    <row r="43" customFormat="false" ht="15.75" hidden="false" customHeight="true" outlineLevel="0" collapsed="false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</row>
    <row r="44" customFormat="false" ht="15.75" hidden="false" customHeight="true" outlineLevel="0" collapsed="false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</row>
    <row r="45" customFormat="false" ht="15.75" hidden="false" customHeight="true" outlineLevel="0" collapsed="false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</row>
    <row r="46" customFormat="false" ht="15.75" hidden="false" customHeight="true" outlineLevel="0" collapsed="false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</row>
    <row r="47" customFormat="false" ht="15.75" hidden="false" customHeight="true" outlineLevel="0" collapsed="false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</row>
    <row r="48" customFormat="false" ht="15.75" hidden="false" customHeight="true" outlineLevel="0" collapsed="false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</row>
    <row r="49" customFormat="false" ht="15.75" hidden="false" customHeight="true" outlineLevel="0" collapsed="false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</row>
    <row r="50" customFormat="false" ht="15.75" hidden="false" customHeight="true" outlineLevel="0" collapsed="false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</row>
    <row r="51" customFormat="false" ht="15.75" hidden="false" customHeight="true" outlineLevel="0" collapsed="false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</row>
    <row r="52" customFormat="false" ht="15.75" hidden="false" customHeight="true" outlineLevel="0" collapsed="false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</row>
    <row r="53" customFormat="false" ht="15.75" hidden="false" customHeight="true" outlineLevel="0" collapsed="false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</row>
    <row r="54" customFormat="false" ht="15.75" hidden="false" customHeight="true" outlineLevel="0" collapsed="false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</row>
    <row r="55" customFormat="false" ht="15.75" hidden="false" customHeight="true" outlineLevel="0" collapsed="false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</row>
    <row r="56" customFormat="false" ht="15.75" hidden="false" customHeight="true" outlineLevel="0" collapsed="false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</row>
    <row r="57" customFormat="false" ht="15.75" hidden="false" customHeight="true" outlineLevel="0" collapsed="false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</row>
    <row r="58" customFormat="false" ht="15.75" hidden="false" customHeight="true" outlineLevel="0" collapsed="false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</row>
    <row r="59" customFormat="false" ht="15.75" hidden="false" customHeight="true" outlineLevel="0" collapsed="false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</row>
    <row r="60" customFormat="false" ht="15.75" hidden="false" customHeight="true" outlineLevel="0" collapsed="false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</row>
    <row r="61" customFormat="false" ht="15.75" hidden="false" customHeight="true" outlineLevel="0" collapsed="false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</row>
    <row r="62" customFormat="false" ht="15.75" hidden="false" customHeight="true" outlineLevel="0" collapsed="false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</row>
    <row r="63" customFormat="false" ht="15.75" hidden="false" customHeight="true" outlineLevel="0" collapsed="false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</row>
    <row r="64" customFormat="false" ht="15.75" hidden="false" customHeight="true" outlineLevel="0" collapsed="false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</row>
    <row r="65" customFormat="false" ht="15.75" hidden="false" customHeight="true" outlineLevel="0" collapsed="false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</row>
    <row r="66" customFormat="false" ht="15.75" hidden="false" customHeight="true" outlineLevel="0" collapsed="false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</row>
    <row r="67" customFormat="false" ht="15.75" hidden="false" customHeight="true" outlineLevel="0" collapsed="false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</row>
    <row r="68" customFormat="false" ht="15.75" hidden="false" customHeight="true" outlineLevel="0" collapsed="false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</row>
    <row r="69" customFormat="false" ht="15.75" hidden="false" customHeight="true" outlineLevel="0" collapsed="false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</row>
    <row r="70" customFormat="false" ht="15.75" hidden="false" customHeight="true" outlineLevel="0" collapsed="false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</row>
    <row r="71" customFormat="false" ht="15.75" hidden="false" customHeight="true" outlineLevel="0" collapsed="false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</row>
    <row r="72" customFormat="false" ht="15.75" hidden="false" customHeight="true" outlineLevel="0" collapsed="false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</row>
    <row r="73" customFormat="false" ht="15.75" hidden="false" customHeight="true" outlineLevel="0" collapsed="false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</row>
    <row r="74" customFormat="false" ht="15.75" hidden="false" customHeight="true" outlineLevel="0" collapsed="false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</row>
    <row r="75" customFormat="false" ht="15.75" hidden="false" customHeight="true" outlineLevel="0" collapsed="false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</row>
    <row r="76" customFormat="false" ht="15.75" hidden="false" customHeight="true" outlineLevel="0" collapsed="false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</row>
    <row r="77" customFormat="false" ht="15.75" hidden="false" customHeight="true" outlineLevel="0" collapsed="false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</row>
    <row r="78" customFormat="false" ht="15.75" hidden="false" customHeight="true" outlineLevel="0" collapsed="false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</row>
    <row r="79" customFormat="false" ht="15.75" hidden="false" customHeight="true" outlineLevel="0" collapsed="false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</row>
    <row r="80" customFormat="false" ht="15.75" hidden="false" customHeight="true" outlineLevel="0" collapsed="false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</row>
    <row r="81" customFormat="false" ht="15.75" hidden="false" customHeight="true" outlineLevel="0" collapsed="false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</row>
    <row r="82" customFormat="false" ht="15.75" hidden="false" customHeight="true" outlineLevel="0" collapsed="false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</row>
    <row r="83" customFormat="false" ht="15.75" hidden="false" customHeight="true" outlineLevel="0" collapsed="false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</row>
    <row r="84" customFormat="false" ht="15.75" hidden="false" customHeight="true" outlineLevel="0" collapsed="false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</row>
    <row r="85" customFormat="false" ht="15.75" hidden="false" customHeight="true" outlineLevel="0" collapsed="false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</row>
    <row r="86" customFormat="false" ht="15.75" hidden="false" customHeight="true" outlineLevel="0" collapsed="false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</row>
    <row r="87" customFormat="false" ht="15.75" hidden="false" customHeight="true" outlineLevel="0" collapsed="false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</row>
    <row r="88" customFormat="false" ht="15.75" hidden="false" customHeight="true" outlineLevel="0" collapsed="false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</row>
    <row r="89" customFormat="false" ht="15.75" hidden="false" customHeight="true" outlineLevel="0" collapsed="false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</row>
    <row r="90" customFormat="false" ht="15.75" hidden="false" customHeight="true" outlineLevel="0" collapsed="false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</row>
    <row r="91" customFormat="false" ht="15.75" hidden="false" customHeight="true" outlineLevel="0" collapsed="false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</row>
    <row r="92" customFormat="false" ht="15.75" hidden="false" customHeight="true" outlineLevel="0" collapsed="false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</row>
    <row r="93" customFormat="false" ht="15.75" hidden="false" customHeight="true" outlineLevel="0" collapsed="false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</row>
    <row r="94" customFormat="false" ht="15.75" hidden="false" customHeight="true" outlineLevel="0" collapsed="false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</row>
    <row r="95" customFormat="false" ht="15.75" hidden="false" customHeight="true" outlineLevel="0" collapsed="false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</row>
    <row r="96" customFormat="false" ht="15.75" hidden="false" customHeight="true" outlineLevel="0" collapsed="false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/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</row>
    <row r="97" customFormat="false" ht="15.75" hidden="false" customHeight="true" outlineLevel="0" collapsed="false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</row>
    <row r="98" customFormat="false" ht="15.75" hidden="false" customHeight="true" outlineLevel="0" collapsed="false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</row>
    <row r="99" customFormat="false" ht="15.75" hidden="false" customHeight="true" outlineLevel="0" collapsed="false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</row>
    <row r="100" customFormat="false" ht="15.75" hidden="false" customHeight="true" outlineLevel="0" collapsed="false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</row>
    <row r="101" customFormat="false" ht="15.75" hidden="false" customHeight="true" outlineLevel="0" collapsed="false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</row>
    <row r="102" customFormat="false" ht="15.75" hidden="false" customHeight="true" outlineLevel="0" collapsed="false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  <c r="CL102" s="59"/>
      <c r="CM102" s="59"/>
      <c r="CN102" s="59"/>
      <c r="CO102" s="59"/>
      <c r="CP102" s="59"/>
      <c r="CQ102" s="59"/>
      <c r="CR102" s="59"/>
      <c r="CS102" s="59"/>
      <c r="CT102" s="59"/>
      <c r="CU102" s="59"/>
      <c r="CV102" s="59"/>
      <c r="CW102" s="59"/>
      <c r="CX102" s="59"/>
      <c r="CY102" s="59"/>
      <c r="CZ102" s="59"/>
      <c r="DA102" s="59"/>
    </row>
    <row r="103" customFormat="false" ht="15.75" hidden="false" customHeight="true" outlineLevel="0" collapsed="false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  <c r="CK103" s="59"/>
      <c r="CL103" s="59"/>
      <c r="CM103" s="59"/>
      <c r="CN103" s="59"/>
      <c r="CO103" s="59"/>
      <c r="CP103" s="59"/>
      <c r="CQ103" s="59"/>
      <c r="CR103" s="59"/>
      <c r="CS103" s="59"/>
      <c r="CT103" s="59"/>
      <c r="CU103" s="59"/>
      <c r="CV103" s="59"/>
      <c r="CW103" s="59"/>
      <c r="CX103" s="59"/>
      <c r="CY103" s="59"/>
      <c r="CZ103" s="59"/>
      <c r="DA103" s="59"/>
    </row>
    <row r="104" customFormat="false" ht="15.75" hidden="false" customHeight="true" outlineLevel="0" collapsed="false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  <c r="CH104" s="59"/>
      <c r="CI104" s="59"/>
      <c r="CJ104" s="59"/>
      <c r="CK104" s="59"/>
      <c r="CL104" s="59"/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</row>
    <row r="105" customFormat="false" ht="15.75" hidden="false" customHeight="true" outlineLevel="0" collapsed="false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</row>
    <row r="106" customFormat="false" ht="15.75" hidden="false" customHeight="true" outlineLevel="0" collapsed="false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  <c r="CL106" s="59"/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</row>
    <row r="107" customFormat="false" ht="15.75" hidden="false" customHeight="true" outlineLevel="0" collapsed="false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  <c r="CL107" s="59"/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</row>
    <row r="108" customFormat="false" ht="15.75" hidden="false" customHeight="true" outlineLevel="0" collapsed="false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</row>
    <row r="109" customFormat="false" ht="15.75" hidden="false" customHeight="true" outlineLevel="0" collapsed="false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</row>
    <row r="110" customFormat="false" ht="15.75" hidden="false" customHeight="true" outlineLevel="0" collapsed="false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</row>
    <row r="111" customFormat="false" ht="15.75" hidden="false" customHeight="true" outlineLevel="0" collapsed="false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</row>
    <row r="112" customFormat="false" ht="15.75" hidden="false" customHeight="true" outlineLevel="0" collapsed="false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</row>
    <row r="113" customFormat="false" ht="15.75" hidden="false" customHeight="true" outlineLevel="0" collapsed="false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  <c r="CH113" s="59"/>
      <c r="CI113" s="59"/>
      <c r="CJ113" s="59"/>
      <c r="CK113" s="59"/>
      <c r="CL113" s="59"/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</row>
    <row r="114" customFormat="false" ht="15.75" hidden="false" customHeight="true" outlineLevel="0" collapsed="false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  <c r="CH114" s="59"/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</row>
    <row r="115" customFormat="false" ht="15.75" hidden="false" customHeight="true" outlineLevel="0" collapsed="false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59"/>
      <c r="CG115" s="59"/>
      <c r="CH115" s="59"/>
      <c r="CI115" s="59"/>
      <c r="CJ115" s="59"/>
      <c r="CK115" s="59"/>
      <c r="CL115" s="59"/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59"/>
      <c r="CZ115" s="59"/>
      <c r="DA115" s="59"/>
    </row>
    <row r="116" customFormat="false" ht="15.75" hidden="false" customHeight="true" outlineLevel="0" collapsed="false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G116" s="59"/>
      <c r="CH116" s="59"/>
      <c r="CI116" s="59"/>
      <c r="CJ116" s="59"/>
      <c r="CK116" s="59"/>
      <c r="CL116" s="59"/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</row>
    <row r="117" customFormat="false" ht="15.75" hidden="false" customHeight="true" outlineLevel="0" collapsed="false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</row>
    <row r="118" customFormat="false" ht="15.75" hidden="false" customHeight="true" outlineLevel="0" collapsed="false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  <c r="CL118" s="59"/>
      <c r="CM118" s="59"/>
      <c r="CN118" s="59"/>
      <c r="CO118" s="59"/>
      <c r="CP118" s="59"/>
      <c r="CQ118" s="59"/>
      <c r="CR118" s="59"/>
      <c r="CS118" s="59"/>
      <c r="CT118" s="59"/>
      <c r="CU118" s="59"/>
      <c r="CV118" s="59"/>
      <c r="CW118" s="59"/>
      <c r="CX118" s="59"/>
      <c r="CY118" s="59"/>
      <c r="CZ118" s="59"/>
      <c r="DA118" s="59"/>
    </row>
    <row r="119" customFormat="false" ht="15.75" hidden="false" customHeight="true" outlineLevel="0" collapsed="false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  <c r="CL119" s="59"/>
      <c r="CM119" s="59"/>
      <c r="CN119" s="59"/>
      <c r="CO119" s="59"/>
      <c r="CP119" s="59"/>
      <c r="CQ119" s="59"/>
      <c r="CR119" s="59"/>
      <c r="CS119" s="59"/>
      <c r="CT119" s="59"/>
      <c r="CU119" s="59"/>
      <c r="CV119" s="59"/>
      <c r="CW119" s="59"/>
      <c r="CX119" s="59"/>
      <c r="CY119" s="59"/>
      <c r="CZ119" s="59"/>
      <c r="DA119" s="59"/>
    </row>
    <row r="120" customFormat="false" ht="15.75" hidden="false" customHeight="true" outlineLevel="0" collapsed="false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</row>
    <row r="121" customFormat="false" ht="15.75" hidden="false" customHeight="true" outlineLevel="0" collapsed="false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</row>
    <row r="122" customFormat="false" ht="15.75" hidden="false" customHeight="true" outlineLevel="0" collapsed="false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CZ122" s="59"/>
      <c r="DA122" s="59"/>
    </row>
    <row r="123" customFormat="false" ht="15.75" hidden="false" customHeight="true" outlineLevel="0" collapsed="false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59"/>
      <c r="CG123" s="59"/>
      <c r="CH123" s="59"/>
      <c r="CI123" s="59"/>
      <c r="CJ123" s="59"/>
      <c r="CK123" s="59"/>
      <c r="CL123" s="59"/>
      <c r="CM123" s="59"/>
      <c r="CN123" s="59"/>
      <c r="CO123" s="59"/>
      <c r="CP123" s="59"/>
      <c r="CQ123" s="59"/>
      <c r="CR123" s="59"/>
      <c r="CS123" s="59"/>
      <c r="CT123" s="59"/>
      <c r="CU123" s="59"/>
      <c r="CV123" s="59"/>
      <c r="CW123" s="59"/>
      <c r="CX123" s="59"/>
      <c r="CY123" s="59"/>
      <c r="CZ123" s="59"/>
      <c r="DA123" s="59"/>
    </row>
    <row r="124" customFormat="false" ht="15.75" hidden="false" customHeight="true" outlineLevel="0" collapsed="false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  <c r="CK124" s="59"/>
      <c r="CL124" s="59"/>
      <c r="CM124" s="59"/>
      <c r="CN124" s="59"/>
      <c r="CO124" s="59"/>
      <c r="CP124" s="59"/>
      <c r="CQ124" s="59"/>
      <c r="CR124" s="59"/>
      <c r="CS124" s="59"/>
      <c r="CT124" s="59"/>
      <c r="CU124" s="59"/>
      <c r="CV124" s="59"/>
      <c r="CW124" s="59"/>
      <c r="CX124" s="59"/>
      <c r="CY124" s="59"/>
      <c r="CZ124" s="59"/>
      <c r="DA124" s="59"/>
    </row>
    <row r="125" customFormat="false" ht="15.75" hidden="false" customHeight="true" outlineLevel="0" collapsed="false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59"/>
      <c r="CG125" s="59"/>
      <c r="CH125" s="59"/>
      <c r="CI125" s="59"/>
      <c r="CJ125" s="59"/>
      <c r="CK125" s="59"/>
      <c r="CL125" s="59"/>
      <c r="CM125" s="59"/>
      <c r="CN125" s="59"/>
      <c r="CO125" s="59"/>
      <c r="CP125" s="59"/>
      <c r="CQ125" s="59"/>
      <c r="CR125" s="59"/>
      <c r="CS125" s="59"/>
      <c r="CT125" s="59"/>
      <c r="CU125" s="59"/>
      <c r="CV125" s="59"/>
      <c r="CW125" s="59"/>
      <c r="CX125" s="59"/>
      <c r="CY125" s="59"/>
      <c r="CZ125" s="59"/>
      <c r="DA125" s="59"/>
    </row>
    <row r="126" customFormat="false" ht="15.75" hidden="false" customHeight="true" outlineLevel="0" collapsed="false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</row>
    <row r="127" customFormat="false" ht="15.75" hidden="false" customHeight="true" outlineLevel="0" collapsed="false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  <c r="CH127" s="59"/>
      <c r="CI127" s="59"/>
      <c r="CJ127" s="59"/>
      <c r="CK127" s="59"/>
      <c r="CL127" s="59"/>
      <c r="CM127" s="59"/>
      <c r="CN127" s="59"/>
      <c r="CO127" s="59"/>
      <c r="CP127" s="59"/>
      <c r="CQ127" s="59"/>
      <c r="CR127" s="59"/>
      <c r="CS127" s="59"/>
      <c r="CT127" s="59"/>
      <c r="CU127" s="59"/>
      <c r="CV127" s="59"/>
      <c r="CW127" s="59"/>
      <c r="CX127" s="59"/>
      <c r="CY127" s="59"/>
      <c r="CZ127" s="59"/>
      <c r="DA127" s="59"/>
    </row>
    <row r="128" customFormat="false" ht="15.75" hidden="false" customHeight="true" outlineLevel="0" collapsed="false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  <c r="CL128" s="59"/>
      <c r="CM128" s="59"/>
      <c r="CN128" s="59"/>
      <c r="CO128" s="59"/>
      <c r="CP128" s="59"/>
      <c r="CQ128" s="59"/>
      <c r="CR128" s="59"/>
      <c r="CS128" s="59"/>
      <c r="CT128" s="59"/>
      <c r="CU128" s="59"/>
      <c r="CV128" s="59"/>
      <c r="CW128" s="59"/>
      <c r="CX128" s="59"/>
      <c r="CY128" s="59"/>
      <c r="CZ128" s="59"/>
      <c r="DA128" s="59"/>
    </row>
    <row r="129" customFormat="false" ht="15.75" hidden="false" customHeight="true" outlineLevel="0" collapsed="false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  <c r="CH129" s="59"/>
      <c r="CI129" s="59"/>
      <c r="CJ129" s="59"/>
      <c r="CK129" s="59"/>
      <c r="CL129" s="59"/>
      <c r="CM129" s="59"/>
      <c r="CN129" s="59"/>
      <c r="CO129" s="59"/>
      <c r="CP129" s="59"/>
      <c r="CQ129" s="59"/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</row>
    <row r="130" customFormat="false" ht="15.75" hidden="false" customHeight="true" outlineLevel="0" collapsed="false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  <c r="CH130" s="59"/>
      <c r="CI130" s="59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59"/>
      <c r="CZ130" s="59"/>
      <c r="DA130" s="59"/>
    </row>
    <row r="131" customFormat="false" ht="15.75" hidden="false" customHeight="true" outlineLevel="0" collapsed="false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  <c r="CH131" s="59"/>
      <c r="CI131" s="59"/>
      <c r="CJ131" s="59"/>
      <c r="CK131" s="59"/>
      <c r="CL131" s="59"/>
      <c r="CM131" s="59"/>
      <c r="CN131" s="59"/>
      <c r="CO131" s="59"/>
      <c r="CP131" s="59"/>
      <c r="CQ131" s="59"/>
      <c r="CR131" s="59"/>
      <c r="CS131" s="59"/>
      <c r="CT131" s="59"/>
      <c r="CU131" s="59"/>
      <c r="CV131" s="59"/>
      <c r="CW131" s="59"/>
      <c r="CX131" s="59"/>
      <c r="CY131" s="59"/>
      <c r="CZ131" s="59"/>
      <c r="DA131" s="59"/>
    </row>
    <row r="132" customFormat="false" ht="15.75" hidden="false" customHeight="true" outlineLevel="0" collapsed="false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  <c r="CL132" s="59"/>
      <c r="CM132" s="59"/>
      <c r="CN132" s="59"/>
      <c r="CO132" s="59"/>
      <c r="CP132" s="59"/>
      <c r="CQ132" s="59"/>
      <c r="CR132" s="59"/>
      <c r="CS132" s="59"/>
      <c r="CT132" s="59"/>
      <c r="CU132" s="59"/>
      <c r="CV132" s="59"/>
      <c r="CW132" s="59"/>
      <c r="CX132" s="59"/>
      <c r="CY132" s="59"/>
      <c r="CZ132" s="59"/>
      <c r="DA132" s="59"/>
    </row>
    <row r="133" customFormat="false" ht="15.75" hidden="false" customHeight="true" outlineLevel="0" collapsed="false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  <c r="CH133" s="59"/>
      <c r="CI133" s="59"/>
      <c r="CJ133" s="59"/>
      <c r="CK133" s="59"/>
      <c r="CL133" s="59"/>
      <c r="CM133" s="59"/>
      <c r="CN133" s="59"/>
      <c r="CO133" s="59"/>
      <c r="CP133" s="59"/>
      <c r="CQ133" s="59"/>
      <c r="CR133" s="59"/>
      <c r="CS133" s="59"/>
      <c r="CT133" s="59"/>
      <c r="CU133" s="59"/>
      <c r="CV133" s="59"/>
      <c r="CW133" s="59"/>
      <c r="CX133" s="59"/>
      <c r="CY133" s="59"/>
      <c r="CZ133" s="59"/>
      <c r="DA133" s="59"/>
    </row>
    <row r="134" customFormat="false" ht="15.75" hidden="false" customHeight="true" outlineLevel="0" collapsed="false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  <c r="CH134" s="59"/>
      <c r="CI134" s="59"/>
      <c r="CJ134" s="59"/>
      <c r="CK134" s="59"/>
      <c r="CL134" s="59"/>
      <c r="CM134" s="59"/>
      <c r="CN134" s="59"/>
      <c r="CO134" s="59"/>
      <c r="CP134" s="59"/>
      <c r="CQ134" s="59"/>
      <c r="CR134" s="59"/>
      <c r="CS134" s="59"/>
      <c r="CT134" s="59"/>
      <c r="CU134" s="59"/>
      <c r="CV134" s="59"/>
      <c r="CW134" s="59"/>
      <c r="CX134" s="59"/>
      <c r="CY134" s="59"/>
      <c r="CZ134" s="59"/>
      <c r="DA134" s="59"/>
    </row>
    <row r="135" customFormat="false" ht="15.75" hidden="false" customHeight="true" outlineLevel="0" collapsed="false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  <c r="CH135" s="59"/>
      <c r="CI135" s="59"/>
      <c r="CJ135" s="59"/>
      <c r="CK135" s="59"/>
      <c r="CL135" s="59"/>
      <c r="CM135" s="59"/>
      <c r="CN135" s="59"/>
      <c r="CO135" s="59"/>
      <c r="CP135" s="59"/>
      <c r="CQ135" s="59"/>
      <c r="CR135" s="59"/>
      <c r="CS135" s="59"/>
      <c r="CT135" s="59"/>
      <c r="CU135" s="59"/>
      <c r="CV135" s="59"/>
      <c r="CW135" s="59"/>
      <c r="CX135" s="59"/>
      <c r="CY135" s="59"/>
      <c r="CZ135" s="59"/>
      <c r="DA135" s="59"/>
    </row>
    <row r="136" customFormat="false" ht="15.75" hidden="false" customHeight="true" outlineLevel="0" collapsed="false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  <c r="CL136" s="59"/>
      <c r="CM136" s="59"/>
      <c r="CN136" s="59"/>
      <c r="CO136" s="59"/>
      <c r="CP136" s="59"/>
      <c r="CQ136" s="59"/>
      <c r="CR136" s="59"/>
      <c r="CS136" s="59"/>
      <c r="CT136" s="59"/>
      <c r="CU136" s="59"/>
      <c r="CV136" s="59"/>
      <c r="CW136" s="59"/>
      <c r="CX136" s="59"/>
      <c r="CY136" s="59"/>
      <c r="CZ136" s="59"/>
      <c r="DA136" s="59"/>
    </row>
    <row r="137" customFormat="false" ht="15.75" hidden="false" customHeight="true" outlineLevel="0" collapsed="false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/>
      <c r="CT137" s="59"/>
      <c r="CU137" s="59"/>
      <c r="CV137" s="59"/>
      <c r="CW137" s="59"/>
      <c r="CX137" s="59"/>
      <c r="CY137" s="59"/>
      <c r="CZ137" s="59"/>
      <c r="DA137" s="59"/>
    </row>
    <row r="138" customFormat="false" ht="15.75" hidden="false" customHeight="true" outlineLevel="0" collapsed="false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/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</row>
    <row r="139" customFormat="false" ht="15.75" hidden="false" customHeight="true" outlineLevel="0" collapsed="false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</row>
    <row r="140" customFormat="false" ht="15.75" hidden="false" customHeight="true" outlineLevel="0" collapsed="false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</row>
    <row r="141" customFormat="false" ht="15.75" hidden="false" customHeight="true" outlineLevel="0" collapsed="false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</row>
    <row r="142" customFormat="false" ht="15.75" hidden="false" customHeight="true" outlineLevel="0" collapsed="false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</row>
    <row r="143" customFormat="false" ht="15.75" hidden="false" customHeight="true" outlineLevel="0" collapsed="false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</row>
    <row r="144" customFormat="false" ht="15.75" hidden="false" customHeight="true" outlineLevel="0" collapsed="false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  <c r="CL144" s="59"/>
      <c r="CM144" s="59"/>
      <c r="CN144" s="59"/>
      <c r="CO144" s="59"/>
      <c r="CP144" s="59"/>
      <c r="CQ144" s="59"/>
      <c r="CR144" s="59"/>
      <c r="CS144" s="59"/>
      <c r="CT144" s="59"/>
      <c r="CU144" s="59"/>
      <c r="CV144" s="59"/>
      <c r="CW144" s="59"/>
      <c r="CX144" s="59"/>
      <c r="CY144" s="59"/>
      <c r="CZ144" s="59"/>
      <c r="DA144" s="59"/>
    </row>
    <row r="145" customFormat="false" ht="15.75" hidden="false" customHeight="true" outlineLevel="0" collapsed="false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  <c r="CL145" s="59"/>
      <c r="CM145" s="59"/>
      <c r="CN145" s="59"/>
      <c r="CO145" s="59"/>
      <c r="CP145" s="59"/>
      <c r="CQ145" s="59"/>
      <c r="CR145" s="59"/>
      <c r="CS145" s="59"/>
      <c r="CT145" s="59"/>
      <c r="CU145" s="59"/>
      <c r="CV145" s="59"/>
      <c r="CW145" s="59"/>
      <c r="CX145" s="59"/>
      <c r="CY145" s="59"/>
      <c r="CZ145" s="59"/>
      <c r="DA145" s="59"/>
    </row>
    <row r="146" customFormat="false" ht="15.75" hidden="false" customHeight="true" outlineLevel="0" collapsed="false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  <c r="CW146" s="59"/>
      <c r="CX146" s="59"/>
      <c r="CY146" s="59"/>
      <c r="CZ146" s="59"/>
      <c r="DA146" s="59"/>
    </row>
    <row r="147" customFormat="false" ht="15.75" hidden="false" customHeight="true" outlineLevel="0" collapsed="false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  <c r="CL147" s="59"/>
      <c r="CM147" s="59"/>
      <c r="CN147" s="59"/>
      <c r="CO147" s="59"/>
      <c r="CP147" s="59"/>
      <c r="CQ147" s="59"/>
      <c r="CR147" s="59"/>
      <c r="CS147" s="59"/>
      <c r="CT147" s="59"/>
      <c r="CU147" s="59"/>
      <c r="CV147" s="59"/>
      <c r="CW147" s="59"/>
      <c r="CX147" s="59"/>
      <c r="CY147" s="59"/>
      <c r="CZ147" s="59"/>
      <c r="DA147" s="59"/>
    </row>
    <row r="148" customFormat="false" ht="15.75" hidden="false" customHeight="true" outlineLevel="0" collapsed="false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</row>
    <row r="149" customFormat="false" ht="15.75" hidden="false" customHeight="true" outlineLevel="0" collapsed="false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</row>
    <row r="150" customFormat="false" ht="15.75" hidden="false" customHeight="true" outlineLevel="0" collapsed="false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  <c r="CL150" s="59"/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</row>
    <row r="151" customFormat="false" ht="15.75" hidden="false" customHeight="true" outlineLevel="0" collapsed="false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</row>
    <row r="152" customFormat="false" ht="15.75" hidden="false" customHeight="true" outlineLevel="0" collapsed="false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</row>
    <row r="153" customFormat="false" ht="15.75" hidden="false" customHeight="true" outlineLevel="0" collapsed="false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</row>
    <row r="154" customFormat="false" ht="15.75" hidden="false" customHeight="true" outlineLevel="0" collapsed="false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</row>
    <row r="155" customFormat="false" ht="15.75" hidden="false" customHeight="true" outlineLevel="0" collapsed="false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</row>
    <row r="156" customFormat="false" ht="15.75" hidden="false" customHeight="true" outlineLevel="0" collapsed="false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</row>
    <row r="157" customFormat="false" ht="15.75" hidden="false" customHeight="true" outlineLevel="0" collapsed="false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</row>
    <row r="158" customFormat="false" ht="15.75" hidden="false" customHeight="true" outlineLevel="0" collapsed="false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</row>
    <row r="159" customFormat="false" ht="15.75" hidden="false" customHeight="true" outlineLevel="0" collapsed="false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</row>
    <row r="160" customFormat="false" ht="15.75" hidden="false" customHeight="true" outlineLevel="0" collapsed="false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59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</row>
    <row r="161" customFormat="false" ht="15.75" hidden="false" customHeight="true" outlineLevel="0" collapsed="false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59"/>
      <c r="CG161" s="59"/>
      <c r="CH161" s="59"/>
      <c r="CI161" s="59"/>
      <c r="CJ161" s="59"/>
      <c r="CK161" s="59"/>
      <c r="CL161" s="59"/>
      <c r="CM161" s="59"/>
      <c r="CN161" s="59"/>
      <c r="CO161" s="59"/>
      <c r="CP161" s="59"/>
      <c r="CQ161" s="59"/>
      <c r="CR161" s="59"/>
      <c r="CS161" s="59"/>
      <c r="CT161" s="59"/>
      <c r="CU161" s="59"/>
      <c r="CV161" s="59"/>
      <c r="CW161" s="59"/>
      <c r="CX161" s="59"/>
      <c r="CY161" s="59"/>
      <c r="CZ161" s="59"/>
      <c r="DA161" s="59"/>
    </row>
    <row r="162" customFormat="false" ht="15.75" hidden="false" customHeight="true" outlineLevel="0" collapsed="false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/>
      <c r="CJ162" s="59"/>
      <c r="CK162" s="59"/>
      <c r="CL162" s="59"/>
      <c r="CM162" s="59"/>
      <c r="CN162" s="59"/>
      <c r="CO162" s="59"/>
      <c r="CP162" s="59"/>
      <c r="CQ162" s="59"/>
      <c r="CR162" s="59"/>
      <c r="CS162" s="59"/>
      <c r="CT162" s="59"/>
      <c r="CU162" s="59"/>
      <c r="CV162" s="59"/>
      <c r="CW162" s="59"/>
      <c r="CX162" s="59"/>
      <c r="CY162" s="59"/>
      <c r="CZ162" s="59"/>
      <c r="DA162" s="59"/>
    </row>
    <row r="163" customFormat="false" ht="15.75" hidden="false" customHeight="true" outlineLevel="0" collapsed="false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  <c r="CL163" s="59"/>
      <c r="CM163" s="59"/>
      <c r="CN163" s="59"/>
      <c r="CO163" s="59"/>
      <c r="CP163" s="59"/>
      <c r="CQ163" s="59"/>
      <c r="CR163" s="59"/>
      <c r="CS163" s="59"/>
      <c r="CT163" s="59"/>
      <c r="CU163" s="59"/>
      <c r="CV163" s="59"/>
      <c r="CW163" s="59"/>
      <c r="CX163" s="59"/>
      <c r="CY163" s="59"/>
      <c r="CZ163" s="59"/>
      <c r="DA163" s="59"/>
    </row>
    <row r="164" customFormat="false" ht="15.75" hidden="false" customHeight="true" outlineLevel="0" collapsed="false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</row>
    <row r="165" customFormat="false" ht="15.75" hidden="false" customHeight="true" outlineLevel="0" collapsed="false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</row>
    <row r="166" customFormat="false" ht="15.75" hidden="false" customHeight="true" outlineLevel="0" collapsed="false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  <c r="CL166" s="59"/>
      <c r="CM166" s="59"/>
      <c r="CN166" s="59"/>
      <c r="CO166" s="59"/>
      <c r="CP166" s="59"/>
      <c r="CQ166" s="59"/>
      <c r="CR166" s="59"/>
      <c r="CS166" s="59"/>
      <c r="CT166" s="59"/>
      <c r="CU166" s="59"/>
      <c r="CV166" s="59"/>
      <c r="CW166" s="59"/>
      <c r="CX166" s="59"/>
      <c r="CY166" s="59"/>
      <c r="CZ166" s="59"/>
      <c r="DA166" s="59"/>
    </row>
    <row r="167" customFormat="false" ht="15.75" hidden="false" customHeight="true" outlineLevel="0" collapsed="false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  <c r="CL167" s="59"/>
      <c r="CM167" s="59"/>
      <c r="CN167" s="59"/>
      <c r="CO167" s="59"/>
      <c r="CP167" s="59"/>
      <c r="CQ167" s="59"/>
      <c r="CR167" s="59"/>
      <c r="CS167" s="59"/>
      <c r="CT167" s="59"/>
      <c r="CU167" s="59"/>
      <c r="CV167" s="59"/>
      <c r="CW167" s="59"/>
      <c r="CX167" s="59"/>
      <c r="CY167" s="59"/>
      <c r="CZ167" s="59"/>
      <c r="DA167" s="59"/>
    </row>
    <row r="168" customFormat="false" ht="15.75" hidden="false" customHeight="true" outlineLevel="0" collapsed="false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</row>
    <row r="169" customFormat="false" ht="15.75" hidden="false" customHeight="true" outlineLevel="0" collapsed="false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</row>
    <row r="170" customFormat="false" ht="15.75" hidden="false" customHeight="true" outlineLevel="0" collapsed="false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</row>
    <row r="171" customFormat="false" ht="15.75" hidden="false" customHeight="true" outlineLevel="0" collapsed="false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</row>
    <row r="172" customFormat="false" ht="15.75" hidden="false" customHeight="true" outlineLevel="0" collapsed="false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</row>
    <row r="173" customFormat="false" ht="15.75" hidden="false" customHeight="true" outlineLevel="0" collapsed="false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</row>
    <row r="174" customFormat="false" ht="15.75" hidden="false" customHeight="true" outlineLevel="0" collapsed="false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  <c r="CL174" s="59"/>
      <c r="CM174" s="59"/>
      <c r="CN174" s="59"/>
      <c r="CO174" s="59"/>
      <c r="CP174" s="59"/>
      <c r="CQ174" s="59"/>
      <c r="CR174" s="59"/>
      <c r="CS174" s="59"/>
      <c r="CT174" s="59"/>
      <c r="CU174" s="59"/>
      <c r="CV174" s="59"/>
      <c r="CW174" s="59"/>
      <c r="CX174" s="59"/>
      <c r="CY174" s="59"/>
      <c r="CZ174" s="59"/>
      <c r="DA174" s="59"/>
    </row>
    <row r="175" customFormat="false" ht="15.75" hidden="false" customHeight="true" outlineLevel="0" collapsed="false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</row>
    <row r="176" customFormat="false" ht="15.75" hidden="false" customHeight="true" outlineLevel="0" collapsed="false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  <c r="CL176" s="59"/>
      <c r="CM176" s="59"/>
      <c r="CN176" s="59"/>
      <c r="CO176" s="59"/>
      <c r="CP176" s="59"/>
      <c r="CQ176" s="59"/>
      <c r="CR176" s="59"/>
      <c r="CS176" s="59"/>
      <c r="CT176" s="59"/>
      <c r="CU176" s="59"/>
      <c r="CV176" s="59"/>
      <c r="CW176" s="59"/>
      <c r="CX176" s="59"/>
      <c r="CY176" s="59"/>
      <c r="CZ176" s="59"/>
      <c r="DA176" s="59"/>
    </row>
    <row r="177" customFormat="false" ht="15.75" hidden="false" customHeight="true" outlineLevel="0" collapsed="false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</row>
    <row r="178" customFormat="false" ht="15.75" hidden="false" customHeight="true" outlineLevel="0" collapsed="false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</row>
    <row r="179" customFormat="false" ht="15.75" hidden="false" customHeight="true" outlineLevel="0" collapsed="false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</row>
    <row r="180" customFormat="false" ht="15.75" hidden="false" customHeight="true" outlineLevel="0" collapsed="false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  <c r="CH180" s="59"/>
      <c r="CI180" s="59"/>
      <c r="CJ180" s="59"/>
      <c r="CK180" s="59"/>
      <c r="CL180" s="59"/>
      <c r="CM180" s="59"/>
      <c r="CN180" s="59"/>
      <c r="CO180" s="59"/>
      <c r="CP180" s="59"/>
      <c r="CQ180" s="59"/>
      <c r="CR180" s="59"/>
      <c r="CS180" s="59"/>
      <c r="CT180" s="59"/>
      <c r="CU180" s="59"/>
      <c r="CV180" s="59"/>
      <c r="CW180" s="59"/>
      <c r="CX180" s="59"/>
      <c r="CY180" s="59"/>
      <c r="CZ180" s="59"/>
      <c r="DA180" s="59"/>
    </row>
    <row r="181" customFormat="false" ht="15.75" hidden="false" customHeight="true" outlineLevel="0" collapsed="false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  <c r="CL181" s="59"/>
      <c r="CM181" s="59"/>
      <c r="CN181" s="59"/>
      <c r="CO181" s="59"/>
      <c r="CP181" s="59"/>
      <c r="CQ181" s="59"/>
      <c r="CR181" s="59"/>
      <c r="CS181" s="59"/>
      <c r="CT181" s="59"/>
      <c r="CU181" s="59"/>
      <c r="CV181" s="59"/>
      <c r="CW181" s="59"/>
      <c r="CX181" s="59"/>
      <c r="CY181" s="59"/>
      <c r="CZ181" s="59"/>
      <c r="DA181" s="59"/>
    </row>
    <row r="182" customFormat="false" ht="15.75" hidden="false" customHeight="true" outlineLevel="0" collapsed="false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  <c r="CH182" s="59"/>
      <c r="CI182" s="59"/>
      <c r="CJ182" s="59"/>
      <c r="CK182" s="59"/>
      <c r="CL182" s="59"/>
      <c r="CM182" s="59"/>
      <c r="CN182" s="59"/>
      <c r="CO182" s="59"/>
      <c r="CP182" s="59"/>
      <c r="CQ182" s="59"/>
      <c r="CR182" s="59"/>
      <c r="CS182" s="59"/>
      <c r="CT182" s="59"/>
      <c r="CU182" s="59"/>
      <c r="CV182" s="59"/>
      <c r="CW182" s="59"/>
      <c r="CX182" s="59"/>
      <c r="CY182" s="59"/>
      <c r="CZ182" s="59"/>
      <c r="DA182" s="59"/>
    </row>
    <row r="183" customFormat="false" ht="15.75" hidden="false" customHeight="true" outlineLevel="0" collapsed="false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59"/>
      <c r="CN183" s="59"/>
      <c r="CO183" s="59"/>
      <c r="CP183" s="59"/>
      <c r="CQ183" s="59"/>
      <c r="CR183" s="59"/>
      <c r="CS183" s="59"/>
      <c r="CT183" s="59"/>
      <c r="CU183" s="59"/>
      <c r="CV183" s="59"/>
      <c r="CW183" s="59"/>
      <c r="CX183" s="59"/>
      <c r="CY183" s="59"/>
      <c r="CZ183" s="59"/>
      <c r="DA183" s="59"/>
    </row>
    <row r="184" customFormat="false" ht="15.75" hidden="false" customHeight="true" outlineLevel="0" collapsed="false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  <c r="CH184" s="59"/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</row>
    <row r="185" customFormat="false" ht="15.75" hidden="false" customHeight="true" outlineLevel="0" collapsed="false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</row>
    <row r="186" customFormat="false" ht="15.75" hidden="false" customHeight="true" outlineLevel="0" collapsed="false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  <c r="CH186" s="59"/>
      <c r="CI186" s="59"/>
      <c r="CJ186" s="59"/>
      <c r="CK186" s="59"/>
      <c r="CL186" s="59"/>
      <c r="CM186" s="59"/>
      <c r="CN186" s="59"/>
      <c r="CO186" s="59"/>
      <c r="CP186" s="59"/>
      <c r="CQ186" s="59"/>
      <c r="CR186" s="59"/>
      <c r="CS186" s="59"/>
      <c r="CT186" s="59"/>
      <c r="CU186" s="59"/>
      <c r="CV186" s="59"/>
      <c r="CW186" s="59"/>
      <c r="CX186" s="59"/>
      <c r="CY186" s="59"/>
      <c r="CZ186" s="59"/>
      <c r="DA186" s="59"/>
    </row>
    <row r="187" customFormat="false" ht="15.75" hidden="false" customHeight="true" outlineLevel="0" collapsed="false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  <c r="CH187" s="59"/>
      <c r="CI187" s="59"/>
      <c r="CJ187" s="59"/>
      <c r="CK187" s="59"/>
      <c r="CL187" s="59"/>
      <c r="CM187" s="59"/>
      <c r="CN187" s="59"/>
      <c r="CO187" s="59"/>
      <c r="CP187" s="59"/>
      <c r="CQ187" s="59"/>
      <c r="CR187" s="59"/>
      <c r="CS187" s="59"/>
      <c r="CT187" s="59"/>
      <c r="CU187" s="59"/>
      <c r="CV187" s="59"/>
      <c r="CW187" s="59"/>
      <c r="CX187" s="59"/>
      <c r="CY187" s="59"/>
      <c r="CZ187" s="59"/>
      <c r="DA187" s="59"/>
    </row>
    <row r="188" customFormat="false" ht="15.75" hidden="false" customHeight="true" outlineLevel="0" collapsed="false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  <c r="BY188" s="59"/>
      <c r="BZ188" s="59"/>
      <c r="CA188" s="59"/>
      <c r="CB188" s="59"/>
      <c r="CC188" s="59"/>
      <c r="CD188" s="59"/>
      <c r="CE188" s="59"/>
      <c r="CF188" s="59"/>
      <c r="CG188" s="59"/>
      <c r="CH188" s="59"/>
      <c r="CI188" s="59"/>
      <c r="CJ188" s="59"/>
      <c r="CK188" s="59"/>
      <c r="CL188" s="59"/>
      <c r="CM188" s="59"/>
      <c r="CN188" s="59"/>
      <c r="CO188" s="59"/>
      <c r="CP188" s="59"/>
      <c r="CQ188" s="59"/>
      <c r="CR188" s="59"/>
      <c r="CS188" s="59"/>
      <c r="CT188" s="59"/>
      <c r="CU188" s="59"/>
      <c r="CV188" s="59"/>
      <c r="CW188" s="59"/>
      <c r="CX188" s="59"/>
      <c r="CY188" s="59"/>
      <c r="CZ188" s="59"/>
      <c r="DA188" s="59"/>
    </row>
    <row r="189" customFormat="false" ht="15.75" hidden="false" customHeight="true" outlineLevel="0" collapsed="false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  <c r="CH189" s="59"/>
      <c r="CI189" s="59"/>
      <c r="CJ189" s="59"/>
      <c r="CK189" s="59"/>
      <c r="CL189" s="59"/>
      <c r="CM189" s="59"/>
      <c r="CN189" s="59"/>
      <c r="CO189" s="59"/>
      <c r="CP189" s="59"/>
      <c r="CQ189" s="59"/>
      <c r="CR189" s="59"/>
      <c r="CS189" s="59"/>
      <c r="CT189" s="59"/>
      <c r="CU189" s="59"/>
      <c r="CV189" s="59"/>
      <c r="CW189" s="59"/>
      <c r="CX189" s="59"/>
      <c r="CY189" s="59"/>
      <c r="CZ189" s="59"/>
      <c r="DA189" s="59"/>
    </row>
    <row r="190" customFormat="false" ht="15.75" hidden="false" customHeight="true" outlineLevel="0" collapsed="false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  <c r="CL190" s="59"/>
      <c r="CM190" s="59"/>
      <c r="CN190" s="59"/>
      <c r="CO190" s="59"/>
      <c r="CP190" s="59"/>
      <c r="CQ190" s="59"/>
      <c r="CR190" s="59"/>
      <c r="CS190" s="59"/>
      <c r="CT190" s="59"/>
      <c r="CU190" s="59"/>
      <c r="CV190" s="59"/>
      <c r="CW190" s="59"/>
      <c r="CX190" s="59"/>
      <c r="CY190" s="59"/>
      <c r="CZ190" s="59"/>
      <c r="DA190" s="59"/>
    </row>
    <row r="191" customFormat="false" ht="15.75" hidden="false" customHeight="true" outlineLevel="0" collapsed="false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</row>
    <row r="192" customFormat="false" ht="15.75" hidden="false" customHeight="true" outlineLevel="0" collapsed="false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</row>
    <row r="193" customFormat="false" ht="15.75" hidden="false" customHeight="true" outlineLevel="0" collapsed="false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</row>
    <row r="194" customFormat="false" ht="15.75" hidden="false" customHeight="true" outlineLevel="0" collapsed="false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</row>
    <row r="195" customFormat="false" ht="15.75" hidden="false" customHeight="true" outlineLevel="0" collapsed="false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/>
      <c r="CA195" s="59"/>
      <c r="CB195" s="59"/>
      <c r="CC195" s="59"/>
      <c r="CD195" s="59"/>
      <c r="CE195" s="59"/>
      <c r="CF195" s="59"/>
      <c r="CG195" s="59"/>
      <c r="CH195" s="59"/>
      <c r="CI195" s="59"/>
      <c r="CJ195" s="59"/>
      <c r="CK195" s="59"/>
      <c r="CL195" s="59"/>
      <c r="CM195" s="59"/>
      <c r="CN195" s="59"/>
      <c r="CO195" s="59"/>
      <c r="CP195" s="59"/>
      <c r="CQ195" s="59"/>
      <c r="CR195" s="59"/>
      <c r="CS195" s="59"/>
      <c r="CT195" s="59"/>
      <c r="CU195" s="59"/>
      <c r="CV195" s="59"/>
      <c r="CW195" s="59"/>
      <c r="CX195" s="59"/>
      <c r="CY195" s="59"/>
      <c r="CZ195" s="59"/>
      <c r="DA195" s="59"/>
    </row>
    <row r="196" customFormat="false" ht="15.75" hidden="false" customHeight="true" outlineLevel="0" collapsed="false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  <c r="CH196" s="59"/>
      <c r="CI196" s="59"/>
      <c r="CJ196" s="59"/>
      <c r="CK196" s="59"/>
      <c r="CL196" s="59"/>
      <c r="CM196" s="59"/>
      <c r="CN196" s="59"/>
      <c r="CO196" s="59"/>
      <c r="CP196" s="59"/>
      <c r="CQ196" s="59"/>
      <c r="CR196" s="59"/>
      <c r="CS196" s="59"/>
      <c r="CT196" s="59"/>
      <c r="CU196" s="59"/>
      <c r="CV196" s="59"/>
      <c r="CW196" s="59"/>
      <c r="CX196" s="59"/>
      <c r="CY196" s="59"/>
      <c r="CZ196" s="59"/>
      <c r="DA196" s="59"/>
    </row>
    <row r="197" customFormat="false" ht="15.75" hidden="false" customHeight="true" outlineLevel="0" collapsed="false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/>
      <c r="BZ197" s="59"/>
      <c r="CA197" s="59"/>
      <c r="CB197" s="59"/>
      <c r="CC197" s="59"/>
      <c r="CD197" s="59"/>
      <c r="CE197" s="59"/>
      <c r="CF197" s="59"/>
      <c r="CG197" s="59"/>
      <c r="CH197" s="59"/>
      <c r="CI197" s="59"/>
      <c r="CJ197" s="59"/>
      <c r="CK197" s="59"/>
      <c r="CL197" s="59"/>
      <c r="CM197" s="59"/>
      <c r="CN197" s="59"/>
      <c r="CO197" s="59"/>
      <c r="CP197" s="59"/>
      <c r="CQ197" s="59"/>
      <c r="CR197" s="59"/>
      <c r="CS197" s="59"/>
      <c r="CT197" s="59"/>
      <c r="CU197" s="59"/>
      <c r="CV197" s="59"/>
      <c r="CW197" s="59"/>
      <c r="CX197" s="59"/>
      <c r="CY197" s="59"/>
      <c r="CZ197" s="59"/>
      <c r="DA197" s="59"/>
    </row>
    <row r="198" customFormat="false" ht="15.75" hidden="false" customHeight="true" outlineLevel="0" collapsed="false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  <c r="CL198" s="59"/>
      <c r="CM198" s="59"/>
      <c r="CN198" s="59"/>
      <c r="CO198" s="59"/>
      <c r="CP198" s="59"/>
      <c r="CQ198" s="59"/>
      <c r="CR198" s="59"/>
      <c r="CS198" s="59"/>
      <c r="CT198" s="59"/>
      <c r="CU198" s="59"/>
      <c r="CV198" s="59"/>
      <c r="CW198" s="59"/>
      <c r="CX198" s="59"/>
      <c r="CY198" s="59"/>
      <c r="CZ198" s="59"/>
      <c r="DA198" s="59"/>
    </row>
    <row r="199" customFormat="false" ht="15.75" hidden="false" customHeight="true" outlineLevel="0" collapsed="false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  <c r="CL199" s="59"/>
      <c r="CM199" s="59"/>
      <c r="CN199" s="59"/>
      <c r="CO199" s="59"/>
      <c r="CP199" s="59"/>
      <c r="CQ199" s="59"/>
      <c r="CR199" s="59"/>
      <c r="CS199" s="59"/>
      <c r="CT199" s="59"/>
      <c r="CU199" s="59"/>
      <c r="CV199" s="59"/>
      <c r="CW199" s="59"/>
      <c r="CX199" s="59"/>
      <c r="CY199" s="59"/>
      <c r="CZ199" s="59"/>
      <c r="DA199" s="59"/>
    </row>
    <row r="200" customFormat="false" ht="15.75" hidden="false" customHeight="true" outlineLevel="0" collapsed="false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</row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1:AA1"/>
  </mergeCells>
  <conditionalFormatting sqref="E3:E4">
    <cfRule type="containsText" priority="2" operator="containsText" aboveAverage="0" equalAverage="0" bottom="0" percent="0" rank="0" text="rus" dxfId="41">
      <formula>NOT(ISERROR(SEARCH("rus",E3)))</formula>
    </cfRule>
    <cfRule type="containsText" priority="3" operator="containsText" aboveAverage="0" equalAverage="0" bottom="0" percent="0" rank="0" text="0" dxfId="42">
      <formula>NOT(ISERROR(SEARCH("0",E3)))</formula>
    </cfRule>
    <cfRule type="containsText" priority="4" operator="containsText" aboveAverage="0" equalAverage="0" bottom="0" percent="0" rank="0" text="rus" dxfId="43">
      <formula>NOT(ISERROR(SEARCH("rus",E3)))</formula>
    </cfRule>
    <cfRule type="containsText" priority="5" operator="containsText" aboveAverage="0" equalAverage="0" bottom="0" percent="0" rank="0" text="rus" dxfId="44">
      <formula>NOT(ISERROR(SEARCH("rus",E3)))</formula>
    </cfRule>
    <cfRule type="containsText" priority="6" operator="containsText" aboveAverage="0" equalAverage="0" bottom="0" percent="0" rank="0" text="rus" dxfId="45">
      <formula>NOT(ISERROR(SEARCH("rus",E3)))</formula>
    </cfRule>
  </conditionalFormatting>
  <conditionalFormatting sqref="L3:L4">
    <cfRule type="containsText" priority="7" operator="containsText" aboveAverage="0" equalAverage="0" bottom="0" percent="0" rank="0" text="наклеен" dxfId="46">
      <formula>NOT(ISERROR(SEARCH("наклеен",L3)))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A1005"/>
  <sheetViews>
    <sheetView showFormulas="false" showGridLines="true" showRowColHeaders="true" showZeros="true" rightToLeft="false" tabSelected="false" showOutlineSymbols="true" defaultGridColor="true" view="normal" topLeftCell="N1" colorId="64" zoomScale="75" zoomScaleNormal="75" zoomScalePageLayoutView="100" workbookViewId="0">
      <pane xSplit="0" ySplit="2" topLeftCell="A3" activePane="bottomLeft" state="frozen"/>
      <selection pane="topLeft" activeCell="N1" activeCellId="0" sqref="N1"/>
      <selection pane="bottomLeft" activeCell="D4" activeCellId="0" sqref="D4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16.14"/>
    <col collapsed="false" customWidth="true" hidden="false" outlineLevel="0" max="3" min="3" style="1" width="90.85"/>
    <col collapsed="false" customWidth="true" hidden="false" outlineLevel="0" max="4" min="4" style="1" width="52.71"/>
    <col collapsed="false" customWidth="true" hidden="false" outlineLevel="0" max="5" min="5" style="1" width="15.28"/>
    <col collapsed="false" customWidth="true" hidden="false" outlineLevel="0" max="6" min="6" style="1" width="23.14"/>
    <col collapsed="false" customWidth="true" hidden="false" outlineLevel="0" max="7" min="7" style="1" width="42.85"/>
    <col collapsed="false" customWidth="true" hidden="false" outlineLevel="0" max="8" min="8" style="1" width="23.14"/>
    <col collapsed="false" customWidth="true" hidden="false" outlineLevel="0" max="9" min="9" style="1" width="46.43"/>
    <col collapsed="false" customWidth="true" hidden="false" outlineLevel="0" max="10" min="10" style="1" width="34.29"/>
    <col collapsed="false" customWidth="true" hidden="false" outlineLevel="0" max="11" min="11" style="1" width="24.71"/>
    <col collapsed="false" customWidth="true" hidden="false" outlineLevel="0" max="12" min="12" style="1" width="30.14"/>
    <col collapsed="false" customWidth="true" hidden="false" outlineLevel="0" max="13" min="13" style="1" width="18.71"/>
    <col collapsed="false" customWidth="true" hidden="false" outlineLevel="0" max="14" min="14" style="1" width="20.29"/>
    <col collapsed="false" customWidth="true" hidden="false" outlineLevel="0" max="15" min="15" style="1" width="27.29"/>
    <col collapsed="false" customWidth="true" hidden="false" outlineLevel="0" max="16" min="16" style="1" width="23.85"/>
    <col collapsed="false" customWidth="true" hidden="false" outlineLevel="0" max="17" min="17" style="1" width="24.71"/>
    <col collapsed="false" customWidth="true" hidden="false" outlineLevel="0" max="18" min="18" style="1" width="27.85"/>
    <col collapsed="false" customWidth="true" hidden="false" outlineLevel="0" max="19" min="19" style="1" width="23.72"/>
    <col collapsed="false" customWidth="true" hidden="false" outlineLevel="0" max="20" min="20" style="1" width="21.85"/>
    <col collapsed="false" customWidth="true" hidden="false" outlineLevel="0" max="21" min="21" style="1" width="43.72"/>
    <col collapsed="false" customWidth="true" hidden="false" outlineLevel="0" max="22" min="22" style="1" width="21.14"/>
    <col collapsed="false" customWidth="true" hidden="false" outlineLevel="0" max="23" min="23" style="1" width="21"/>
    <col collapsed="false" customWidth="true" hidden="false" outlineLevel="0" max="24" min="24" style="1" width="16.42"/>
    <col collapsed="false" customWidth="true" hidden="false" outlineLevel="0" max="25" min="25" style="1" width="23.42"/>
    <col collapsed="false" customWidth="true" hidden="false" outlineLevel="0" max="26" min="26" style="1" width="21.85"/>
    <col collapsed="false" customWidth="true" hidden="false" outlineLevel="0" max="28" min="27" style="1" width="19.57"/>
    <col collapsed="false" customWidth="true" hidden="false" outlineLevel="0" max="105" min="29" style="1" width="9.29"/>
  </cols>
  <sheetData>
    <row r="1" customFormat="false" ht="15.75" hidden="false" customHeight="true" outlineLevel="0" collapsed="false">
      <c r="A1" s="59" t="n">
        <v>0</v>
      </c>
      <c r="B1" s="77"/>
      <c r="C1" s="77"/>
      <c r="D1" s="77"/>
      <c r="E1" s="77"/>
      <c r="F1" s="77"/>
      <c r="G1" s="77" t="s">
        <v>95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</row>
    <row r="2" customFormat="false" ht="15.75" hidden="false" customHeight="true" outlineLevel="0" collapsed="false">
      <c r="A2" s="78" t="s">
        <v>41</v>
      </c>
      <c r="B2" s="33" t="s">
        <v>0</v>
      </c>
      <c r="C2" s="33" t="s">
        <v>1</v>
      </c>
      <c r="D2" s="33" t="s">
        <v>42</v>
      </c>
      <c r="E2" s="79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43</v>
      </c>
      <c r="O2" s="33" t="s">
        <v>96</v>
      </c>
      <c r="P2" s="33" t="s">
        <v>14</v>
      </c>
      <c r="Q2" s="33" t="s">
        <v>44</v>
      </c>
      <c r="R2" s="33" t="s">
        <v>16</v>
      </c>
      <c r="S2" s="33" t="s">
        <v>17</v>
      </c>
      <c r="T2" s="33" t="s">
        <v>18</v>
      </c>
      <c r="U2" s="33" t="s">
        <v>19</v>
      </c>
      <c r="V2" s="33" t="s">
        <v>20</v>
      </c>
      <c r="W2" s="33" t="s">
        <v>21</v>
      </c>
      <c r="X2" s="33" t="s">
        <v>22</v>
      </c>
      <c r="Y2" s="33" t="s">
        <v>23</v>
      </c>
      <c r="Z2" s="35" t="s">
        <v>24</v>
      </c>
      <c r="AA2" s="35" t="s">
        <v>25</v>
      </c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</row>
    <row r="3" customFormat="false" ht="40.5" hidden="false" customHeight="true" outlineLevel="0" collapsed="false">
      <c r="A3" s="80" t="n">
        <v>1</v>
      </c>
      <c r="B3" s="81"/>
      <c r="C3" s="82" t="s">
        <v>97</v>
      </c>
      <c r="D3" s="12" t="s">
        <v>27</v>
      </c>
      <c r="E3" s="13" t="s">
        <v>28</v>
      </c>
      <c r="F3" s="14"/>
      <c r="G3" s="12"/>
      <c r="H3" s="83"/>
      <c r="I3" s="16" t="s">
        <v>98</v>
      </c>
      <c r="J3" s="16" t="s">
        <v>99</v>
      </c>
      <c r="K3" s="84" t="s">
        <v>100</v>
      </c>
      <c r="L3" s="85" t="s">
        <v>80</v>
      </c>
      <c r="M3" s="9"/>
      <c r="N3" s="12" t="s">
        <v>101</v>
      </c>
      <c r="O3" s="9" t="s">
        <v>102</v>
      </c>
      <c r="P3" s="86" t="str">
        <f aca="false">"RUTL-" &amp; RIGHT(O3,8)</f>
        <v>RUTL-N0002756</v>
      </c>
      <c r="Q3" s="9"/>
      <c r="R3" s="9"/>
      <c r="S3" s="9"/>
      <c r="T3" s="9"/>
      <c r="U3" s="9"/>
      <c r="V3" s="9"/>
      <c r="W3" s="87" t="s">
        <v>38</v>
      </c>
      <c r="X3" s="88" t="s">
        <v>83</v>
      </c>
      <c r="Y3" s="89"/>
      <c r="Z3" s="90" t="n">
        <v>45987</v>
      </c>
      <c r="AA3" s="9" t="s">
        <v>103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</row>
    <row r="4" customFormat="false" ht="44" hidden="false" customHeight="false" outlineLevel="0" collapsed="false">
      <c r="A4" s="91" t="e">
        <f aca="false">#REF!+1</f>
        <v>#REF!</v>
      </c>
      <c r="B4" s="92" t="s">
        <v>104</v>
      </c>
      <c r="C4" s="93" t="s">
        <v>105</v>
      </c>
      <c r="D4" s="94"/>
      <c r="E4" s="95" t="s">
        <v>106</v>
      </c>
      <c r="F4" s="96"/>
      <c r="G4" s="96" t="s">
        <v>107</v>
      </c>
      <c r="H4" s="96" t="s">
        <v>108</v>
      </c>
      <c r="I4" s="97" t="s">
        <v>98</v>
      </c>
      <c r="J4" s="97" t="s">
        <v>109</v>
      </c>
      <c r="K4" s="98" t="s">
        <v>110</v>
      </c>
      <c r="L4" s="72" t="s">
        <v>111</v>
      </c>
      <c r="M4" s="99" t="s">
        <v>112</v>
      </c>
      <c r="N4" s="100" t="s">
        <v>113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</row>
    <row r="5" customFormat="false" ht="44" hidden="false" customHeight="false" outlineLevel="0" collapsed="false">
      <c r="A5" s="91" t="e">
        <f aca="false">A4+1</f>
        <v>#REF!</v>
      </c>
      <c r="B5" s="92" t="s">
        <v>104</v>
      </c>
      <c r="C5" s="93" t="s">
        <v>105</v>
      </c>
      <c r="D5" s="94"/>
      <c r="E5" s="95" t="s">
        <v>106</v>
      </c>
      <c r="F5" s="96"/>
      <c r="G5" s="96" t="s">
        <v>107</v>
      </c>
      <c r="H5" s="96" t="s">
        <v>108</v>
      </c>
      <c r="I5" s="97" t="s">
        <v>98</v>
      </c>
      <c r="J5" s="97" t="s">
        <v>114</v>
      </c>
      <c r="K5" s="98" t="s">
        <v>115</v>
      </c>
      <c r="L5" s="72" t="s">
        <v>111</v>
      </c>
      <c r="M5" s="99" t="s">
        <v>116</v>
      </c>
      <c r="N5" s="100" t="s">
        <v>113</v>
      </c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</row>
    <row r="6" customFormat="false" ht="44" hidden="false" customHeight="false" outlineLevel="0" collapsed="false">
      <c r="A6" s="91" t="e">
        <f aca="false">A5+1</f>
        <v>#REF!</v>
      </c>
      <c r="B6" s="92" t="s">
        <v>104</v>
      </c>
      <c r="C6" s="93" t="s">
        <v>105</v>
      </c>
      <c r="D6" s="94"/>
      <c r="E6" s="95" t="s">
        <v>106</v>
      </c>
      <c r="F6" s="96"/>
      <c r="G6" s="96" t="s">
        <v>107</v>
      </c>
      <c r="H6" s="96" t="s">
        <v>108</v>
      </c>
      <c r="I6" s="101" t="s">
        <v>98</v>
      </c>
      <c r="J6" s="101" t="s">
        <v>114</v>
      </c>
      <c r="K6" s="102" t="s">
        <v>117</v>
      </c>
      <c r="L6" s="103" t="s">
        <v>111</v>
      </c>
      <c r="M6" s="99" t="s">
        <v>118</v>
      </c>
      <c r="N6" s="100" t="s">
        <v>113</v>
      </c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</row>
    <row r="7" customFormat="false" ht="44" hidden="false" customHeight="false" outlineLevel="0" collapsed="false">
      <c r="A7" s="91" t="e">
        <f aca="false">A6+1</f>
        <v>#REF!</v>
      </c>
      <c r="B7" s="92" t="s">
        <v>104</v>
      </c>
      <c r="C7" s="93" t="s">
        <v>105</v>
      </c>
      <c r="D7" s="94"/>
      <c r="E7" s="95" t="s">
        <v>106</v>
      </c>
      <c r="F7" s="96"/>
      <c r="G7" s="96" t="s">
        <v>107</v>
      </c>
      <c r="H7" s="96" t="s">
        <v>108</v>
      </c>
      <c r="I7" s="97" t="s">
        <v>119</v>
      </c>
      <c r="J7" s="97" t="s">
        <v>114</v>
      </c>
      <c r="K7" s="98" t="s">
        <v>120</v>
      </c>
      <c r="L7" s="72" t="s">
        <v>111</v>
      </c>
      <c r="M7" s="99" t="s">
        <v>121</v>
      </c>
      <c r="N7" s="100" t="s">
        <v>113</v>
      </c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</row>
    <row r="8" customFormat="false" ht="44" hidden="false" customHeight="false" outlineLevel="0" collapsed="false">
      <c r="A8" s="91" t="e">
        <f aca="false">A7+1</f>
        <v>#REF!</v>
      </c>
      <c r="B8" s="92" t="s">
        <v>104</v>
      </c>
      <c r="C8" s="93" t="s">
        <v>105</v>
      </c>
      <c r="D8" s="94"/>
      <c r="E8" s="95" t="s">
        <v>106</v>
      </c>
      <c r="F8" s="96"/>
      <c r="G8" s="96" t="s">
        <v>107</v>
      </c>
      <c r="H8" s="96" t="s">
        <v>108</v>
      </c>
      <c r="I8" s="97" t="s">
        <v>98</v>
      </c>
      <c r="J8" s="97" t="s">
        <v>122</v>
      </c>
      <c r="K8" s="98" t="s">
        <v>123</v>
      </c>
      <c r="L8" s="72" t="s">
        <v>111</v>
      </c>
      <c r="M8" s="99" t="s">
        <v>124</v>
      </c>
      <c r="N8" s="100" t="s">
        <v>113</v>
      </c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</row>
    <row r="9" customFormat="false" ht="44" hidden="false" customHeight="false" outlineLevel="0" collapsed="false">
      <c r="A9" s="91" t="e">
        <f aca="false">A8+1</f>
        <v>#REF!</v>
      </c>
      <c r="B9" s="92" t="s">
        <v>104</v>
      </c>
      <c r="C9" s="93" t="s">
        <v>105</v>
      </c>
      <c r="D9" s="94"/>
      <c r="E9" s="95" t="s">
        <v>106</v>
      </c>
      <c r="F9" s="96"/>
      <c r="G9" s="96" t="s">
        <v>107</v>
      </c>
      <c r="H9" s="96" t="s">
        <v>108</v>
      </c>
      <c r="I9" s="97" t="s">
        <v>98</v>
      </c>
      <c r="J9" s="97" t="s">
        <v>125</v>
      </c>
      <c r="K9" s="98" t="s">
        <v>126</v>
      </c>
      <c r="L9" s="72" t="s">
        <v>111</v>
      </c>
      <c r="M9" s="99" t="s">
        <v>127</v>
      </c>
      <c r="N9" s="100" t="s">
        <v>113</v>
      </c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</row>
    <row r="10" customFormat="false" ht="44" hidden="false" customHeight="false" outlineLevel="0" collapsed="false">
      <c r="A10" s="91" t="e">
        <f aca="false">A9+1</f>
        <v>#REF!</v>
      </c>
      <c r="B10" s="92" t="s">
        <v>104</v>
      </c>
      <c r="C10" s="93" t="s">
        <v>105</v>
      </c>
      <c r="D10" s="94"/>
      <c r="E10" s="95" t="s">
        <v>106</v>
      </c>
      <c r="F10" s="96"/>
      <c r="G10" s="96" t="s">
        <v>107</v>
      </c>
      <c r="H10" s="96" t="s">
        <v>108</v>
      </c>
      <c r="I10" s="97" t="s">
        <v>98</v>
      </c>
      <c r="J10" s="97" t="s">
        <v>125</v>
      </c>
      <c r="K10" s="98" t="s">
        <v>128</v>
      </c>
      <c r="L10" s="72" t="s">
        <v>111</v>
      </c>
      <c r="M10" s="99" t="s">
        <v>129</v>
      </c>
      <c r="N10" s="100" t="s">
        <v>113</v>
      </c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</row>
    <row r="11" customFormat="false" ht="44" hidden="false" customHeight="false" outlineLevel="0" collapsed="false">
      <c r="A11" s="91" t="e">
        <f aca="false">A10+1</f>
        <v>#REF!</v>
      </c>
      <c r="B11" s="92" t="s">
        <v>104</v>
      </c>
      <c r="C11" s="93" t="s">
        <v>105</v>
      </c>
      <c r="D11" s="94"/>
      <c r="E11" s="95" t="s">
        <v>106</v>
      </c>
      <c r="F11" s="96"/>
      <c r="G11" s="96" t="s">
        <v>107</v>
      </c>
      <c r="H11" s="96" t="s">
        <v>108</v>
      </c>
      <c r="I11" s="97" t="s">
        <v>130</v>
      </c>
      <c r="J11" s="97" t="s">
        <v>131</v>
      </c>
      <c r="K11" s="98" t="s">
        <v>132</v>
      </c>
      <c r="L11" s="72" t="s">
        <v>111</v>
      </c>
      <c r="M11" s="99" t="s">
        <v>133</v>
      </c>
      <c r="N11" s="100" t="s">
        <v>113</v>
      </c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</row>
    <row r="12" customFormat="false" ht="44" hidden="false" customHeight="false" outlineLevel="0" collapsed="false">
      <c r="A12" s="91" t="e">
        <f aca="false">A11+1</f>
        <v>#REF!</v>
      </c>
      <c r="B12" s="92" t="s">
        <v>104</v>
      </c>
      <c r="C12" s="93" t="s">
        <v>105</v>
      </c>
      <c r="D12" s="94"/>
      <c r="E12" s="95" t="s">
        <v>106</v>
      </c>
      <c r="F12" s="96"/>
      <c r="G12" s="96" t="s">
        <v>107</v>
      </c>
      <c r="H12" s="96" t="s">
        <v>108</v>
      </c>
      <c r="I12" s="97" t="s">
        <v>134</v>
      </c>
      <c r="J12" s="97" t="s">
        <v>135</v>
      </c>
      <c r="K12" s="98" t="s">
        <v>136</v>
      </c>
      <c r="L12" s="72" t="s">
        <v>111</v>
      </c>
      <c r="M12" s="99" t="s">
        <v>137</v>
      </c>
      <c r="N12" s="100" t="s">
        <v>113</v>
      </c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</row>
    <row r="13" customFormat="false" ht="44" hidden="false" customHeight="false" outlineLevel="0" collapsed="false">
      <c r="A13" s="91" t="e">
        <f aca="false">A12+1</f>
        <v>#REF!</v>
      </c>
      <c r="B13" s="92" t="s">
        <v>104</v>
      </c>
      <c r="C13" s="93" t="s">
        <v>105</v>
      </c>
      <c r="D13" s="94"/>
      <c r="E13" s="95" t="s">
        <v>106</v>
      </c>
      <c r="F13" s="96"/>
      <c r="G13" s="96" t="s">
        <v>107</v>
      </c>
      <c r="H13" s="96" t="s">
        <v>108</v>
      </c>
      <c r="I13" s="97" t="s">
        <v>138</v>
      </c>
      <c r="J13" s="97" t="s">
        <v>139</v>
      </c>
      <c r="K13" s="98" t="s">
        <v>140</v>
      </c>
      <c r="L13" s="72" t="s">
        <v>111</v>
      </c>
      <c r="M13" s="99" t="s">
        <v>141</v>
      </c>
      <c r="N13" s="100" t="s">
        <v>113</v>
      </c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</row>
    <row r="14" customFormat="false" ht="44" hidden="false" customHeight="false" outlineLevel="0" collapsed="false">
      <c r="A14" s="91" t="e">
        <f aca="false">A13+1</f>
        <v>#REF!</v>
      </c>
      <c r="B14" s="92" t="s">
        <v>104</v>
      </c>
      <c r="C14" s="93" t="s">
        <v>105</v>
      </c>
      <c r="D14" s="94"/>
      <c r="E14" s="95" t="s">
        <v>106</v>
      </c>
      <c r="F14" s="96"/>
      <c r="G14" s="96" t="s">
        <v>107</v>
      </c>
      <c r="H14" s="96" t="s">
        <v>108</v>
      </c>
      <c r="I14" s="97" t="s">
        <v>142</v>
      </c>
      <c r="J14" s="97" t="s">
        <v>143</v>
      </c>
      <c r="K14" s="98" t="s">
        <v>144</v>
      </c>
      <c r="L14" s="72" t="s">
        <v>111</v>
      </c>
      <c r="M14" s="99" t="s">
        <v>145</v>
      </c>
      <c r="N14" s="100" t="s">
        <v>113</v>
      </c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</row>
    <row r="15" customFormat="false" ht="44" hidden="false" customHeight="false" outlineLevel="0" collapsed="false">
      <c r="A15" s="91" t="e">
        <f aca="false">A14+1</f>
        <v>#REF!</v>
      </c>
      <c r="B15" s="92" t="s">
        <v>104</v>
      </c>
      <c r="C15" s="93" t="s">
        <v>105</v>
      </c>
      <c r="D15" s="94"/>
      <c r="E15" s="95" t="s">
        <v>106</v>
      </c>
      <c r="F15" s="96"/>
      <c r="G15" s="96" t="s">
        <v>107</v>
      </c>
      <c r="H15" s="96" t="s">
        <v>108</v>
      </c>
      <c r="I15" s="97" t="s">
        <v>146</v>
      </c>
      <c r="J15" s="97" t="s">
        <v>147</v>
      </c>
      <c r="K15" s="98" t="s">
        <v>148</v>
      </c>
      <c r="L15" s="72" t="s">
        <v>111</v>
      </c>
      <c r="M15" s="99" t="s">
        <v>149</v>
      </c>
      <c r="N15" s="100" t="s">
        <v>113</v>
      </c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</row>
    <row r="16" customFormat="false" ht="44" hidden="false" customHeight="false" outlineLevel="0" collapsed="false">
      <c r="A16" s="91" t="e">
        <f aca="false">A15+1</f>
        <v>#REF!</v>
      </c>
      <c r="B16" s="92" t="s">
        <v>104</v>
      </c>
      <c r="C16" s="93" t="s">
        <v>105</v>
      </c>
      <c r="D16" s="94"/>
      <c r="E16" s="95" t="s">
        <v>106</v>
      </c>
      <c r="F16" s="96"/>
      <c r="G16" s="96" t="s">
        <v>107</v>
      </c>
      <c r="H16" s="96" t="s">
        <v>108</v>
      </c>
      <c r="I16" s="97" t="s">
        <v>98</v>
      </c>
      <c r="J16" s="97" t="s">
        <v>122</v>
      </c>
      <c r="K16" s="98" t="s">
        <v>150</v>
      </c>
      <c r="L16" s="72" t="s">
        <v>111</v>
      </c>
      <c r="M16" s="99" t="s">
        <v>151</v>
      </c>
      <c r="N16" s="100" t="s">
        <v>113</v>
      </c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</row>
    <row r="17" customFormat="false" ht="46.25" hidden="false" customHeight="false" outlineLevel="0" collapsed="false">
      <c r="A17" s="91" t="e">
        <f aca="false">A16+1</f>
        <v>#REF!</v>
      </c>
      <c r="B17" s="92" t="s">
        <v>152</v>
      </c>
      <c r="C17" s="93" t="s">
        <v>153</v>
      </c>
      <c r="D17" s="94"/>
      <c r="E17" s="95" t="s">
        <v>106</v>
      </c>
      <c r="F17" s="96"/>
      <c r="G17" s="96" t="s">
        <v>154</v>
      </c>
      <c r="H17" s="96" t="s">
        <v>108</v>
      </c>
      <c r="I17" s="97" t="s">
        <v>155</v>
      </c>
      <c r="J17" s="97" t="s">
        <v>156</v>
      </c>
      <c r="K17" s="98" t="s">
        <v>157</v>
      </c>
      <c r="L17" s="72" t="s">
        <v>80</v>
      </c>
      <c r="M17" s="99" t="s">
        <v>158</v>
      </c>
      <c r="N17" s="100" t="s">
        <v>113</v>
      </c>
      <c r="O17" s="104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</row>
    <row r="18" customFormat="false" ht="113.4" hidden="false" customHeight="false" outlineLevel="0" collapsed="false">
      <c r="A18" s="91" t="e">
        <f aca="false">A17+1</f>
        <v>#REF!</v>
      </c>
      <c r="B18" s="92" t="s">
        <v>159</v>
      </c>
      <c r="C18" s="93" t="s">
        <v>153</v>
      </c>
      <c r="D18" s="94"/>
      <c r="E18" s="95" t="s">
        <v>106</v>
      </c>
      <c r="F18" s="96"/>
      <c r="G18" s="96" t="s">
        <v>154</v>
      </c>
      <c r="H18" s="96" t="s">
        <v>108</v>
      </c>
      <c r="I18" s="97" t="s">
        <v>98</v>
      </c>
      <c r="J18" s="97" t="s">
        <v>160</v>
      </c>
      <c r="K18" s="98" t="s">
        <v>161</v>
      </c>
      <c r="L18" s="105" t="s">
        <v>80</v>
      </c>
      <c r="M18" s="99" t="s">
        <v>162</v>
      </c>
      <c r="N18" s="100" t="s">
        <v>113</v>
      </c>
      <c r="O18" s="104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</row>
    <row r="19" customFormat="false" ht="113.4" hidden="false" customHeight="false" outlineLevel="0" collapsed="false">
      <c r="A19" s="91" t="e">
        <f aca="false">A18+1</f>
        <v>#REF!</v>
      </c>
      <c r="B19" s="92" t="s">
        <v>163</v>
      </c>
      <c r="C19" s="93" t="s">
        <v>153</v>
      </c>
      <c r="D19" s="94"/>
      <c r="E19" s="95" t="s">
        <v>106</v>
      </c>
      <c r="F19" s="96"/>
      <c r="G19" s="96" t="s">
        <v>154</v>
      </c>
      <c r="H19" s="96" t="s">
        <v>108</v>
      </c>
      <c r="I19" s="97" t="s">
        <v>98</v>
      </c>
      <c r="J19" s="97" t="s">
        <v>164</v>
      </c>
      <c r="K19" s="98" t="s">
        <v>165</v>
      </c>
      <c r="L19" s="106" t="s">
        <v>80</v>
      </c>
      <c r="M19" s="99" t="s">
        <v>166</v>
      </c>
      <c r="N19" s="100" t="s">
        <v>113</v>
      </c>
      <c r="O19" s="104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</row>
    <row r="20" customFormat="false" ht="113.4" hidden="false" customHeight="false" outlineLevel="0" collapsed="false">
      <c r="A20" s="91" t="e">
        <f aca="false">A19+1</f>
        <v>#REF!</v>
      </c>
      <c r="B20" s="92" t="s">
        <v>167</v>
      </c>
      <c r="C20" s="93" t="s">
        <v>153</v>
      </c>
      <c r="D20" s="94"/>
      <c r="E20" s="95" t="s">
        <v>106</v>
      </c>
      <c r="F20" s="96"/>
      <c r="G20" s="96" t="s">
        <v>154</v>
      </c>
      <c r="H20" s="96" t="s">
        <v>108</v>
      </c>
      <c r="I20" s="97" t="s">
        <v>98</v>
      </c>
      <c r="J20" s="97" t="s">
        <v>168</v>
      </c>
      <c r="K20" s="98" t="s">
        <v>169</v>
      </c>
      <c r="L20" s="72" t="s">
        <v>80</v>
      </c>
      <c r="M20" s="99" t="s">
        <v>170</v>
      </c>
      <c r="N20" s="100" t="s">
        <v>113</v>
      </c>
      <c r="O20" s="104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</row>
    <row r="21" customFormat="false" ht="36.75" hidden="false" customHeight="true" outlineLevel="0" collapsed="false">
      <c r="A21" s="91" t="e">
        <f aca="false">A20+1</f>
        <v>#REF!</v>
      </c>
      <c r="B21" s="92" t="s">
        <v>171</v>
      </c>
      <c r="C21" s="93" t="s">
        <v>153</v>
      </c>
      <c r="D21" s="94"/>
      <c r="E21" s="95" t="s">
        <v>106</v>
      </c>
      <c r="F21" s="96"/>
      <c r="G21" s="96" t="s">
        <v>154</v>
      </c>
      <c r="H21" s="96" t="s">
        <v>108</v>
      </c>
      <c r="I21" s="97" t="s">
        <v>98</v>
      </c>
      <c r="J21" s="97" t="s">
        <v>172</v>
      </c>
      <c r="K21" s="98" t="s">
        <v>173</v>
      </c>
      <c r="L21" s="72" t="s">
        <v>80</v>
      </c>
      <c r="M21" s="99" t="s">
        <v>174</v>
      </c>
      <c r="N21" s="100" t="s">
        <v>113</v>
      </c>
      <c r="O21" s="107" t="s">
        <v>175</v>
      </c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</row>
    <row r="22" customFormat="false" ht="31.5" hidden="false" customHeight="true" outlineLevel="0" collapsed="false">
      <c r="A22" s="91" t="e">
        <f aca="false">A21+1</f>
        <v>#REF!</v>
      </c>
      <c r="B22" s="92" t="s">
        <v>176</v>
      </c>
      <c r="C22" s="93" t="s">
        <v>153</v>
      </c>
      <c r="D22" s="108" t="s">
        <v>177</v>
      </c>
      <c r="E22" s="95" t="s">
        <v>106</v>
      </c>
      <c r="F22" s="96"/>
      <c r="G22" s="96" t="s">
        <v>154</v>
      </c>
      <c r="H22" s="96" t="s">
        <v>108</v>
      </c>
      <c r="I22" s="97" t="s">
        <v>98</v>
      </c>
      <c r="J22" s="97" t="s">
        <v>172</v>
      </c>
      <c r="K22" s="98" t="s">
        <v>178</v>
      </c>
      <c r="L22" s="72" t="s">
        <v>80</v>
      </c>
      <c r="M22" s="99" t="s">
        <v>179</v>
      </c>
      <c r="N22" s="100" t="s">
        <v>113</v>
      </c>
      <c r="O22" s="104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</row>
    <row r="23" customFormat="false" ht="15.75" hidden="false" customHeight="true" outlineLevel="0" collapsed="false">
      <c r="A23" s="91" t="e">
        <f aca="false">A22+1</f>
        <v>#REF!</v>
      </c>
      <c r="B23" s="92" t="s">
        <v>180</v>
      </c>
      <c r="C23" s="93" t="s">
        <v>153</v>
      </c>
      <c r="D23" s="94"/>
      <c r="E23" s="95" t="s">
        <v>106</v>
      </c>
      <c r="F23" s="96"/>
      <c r="G23" s="96" t="s">
        <v>154</v>
      </c>
      <c r="H23" s="96" t="s">
        <v>108</v>
      </c>
      <c r="I23" s="97" t="s">
        <v>98</v>
      </c>
      <c r="J23" s="97" t="s">
        <v>181</v>
      </c>
      <c r="K23" s="98" t="s">
        <v>182</v>
      </c>
      <c r="L23" s="72" t="s">
        <v>80</v>
      </c>
      <c r="M23" s="99" t="s">
        <v>183</v>
      </c>
      <c r="N23" s="100" t="s">
        <v>113</v>
      </c>
      <c r="O23" s="38" t="s">
        <v>184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</row>
    <row r="24" customFormat="false" ht="15.75" hidden="false" customHeight="true" outlineLevel="0" collapsed="false">
      <c r="A24" s="91" t="e">
        <f aca="false">A23+1</f>
        <v>#REF!</v>
      </c>
      <c r="B24" s="92" t="s">
        <v>185</v>
      </c>
      <c r="C24" s="93" t="s">
        <v>186</v>
      </c>
      <c r="D24" s="94"/>
      <c r="E24" s="95" t="s">
        <v>106</v>
      </c>
      <c r="F24" s="96"/>
      <c r="G24" s="96" t="s">
        <v>154</v>
      </c>
      <c r="H24" s="96" t="s">
        <v>108</v>
      </c>
      <c r="I24" s="97" t="s">
        <v>98</v>
      </c>
      <c r="J24" s="97" t="s">
        <v>181</v>
      </c>
      <c r="K24" s="98" t="s">
        <v>187</v>
      </c>
      <c r="L24" s="72" t="s">
        <v>80</v>
      </c>
      <c r="M24" s="99" t="s">
        <v>188</v>
      </c>
      <c r="N24" s="100" t="s">
        <v>113</v>
      </c>
      <c r="O24" s="107" t="s">
        <v>189</v>
      </c>
    </row>
    <row r="25" customFormat="false" ht="31.5" hidden="false" customHeight="true" outlineLevel="0" collapsed="false">
      <c r="A25" s="91" t="e">
        <f aca="false">A24+1</f>
        <v>#REF!</v>
      </c>
      <c r="B25" s="92" t="s">
        <v>190</v>
      </c>
      <c r="C25" s="93" t="s">
        <v>153</v>
      </c>
      <c r="D25" s="94"/>
      <c r="E25" s="95" t="s">
        <v>106</v>
      </c>
      <c r="F25" s="96"/>
      <c r="G25" s="96" t="s">
        <v>154</v>
      </c>
      <c r="H25" s="96" t="s">
        <v>108</v>
      </c>
      <c r="I25" s="97" t="s">
        <v>98</v>
      </c>
      <c r="J25" s="97" t="s">
        <v>181</v>
      </c>
      <c r="K25" s="98" t="s">
        <v>191</v>
      </c>
      <c r="L25" s="72" t="s">
        <v>80</v>
      </c>
      <c r="M25" s="99" t="s">
        <v>192</v>
      </c>
      <c r="N25" s="100" t="s">
        <v>113</v>
      </c>
      <c r="O25" s="104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109"/>
      <c r="CL25" s="109"/>
      <c r="CM25" s="109"/>
      <c r="CN25" s="109"/>
      <c r="CO25" s="109"/>
      <c r="CP25" s="109"/>
      <c r="CQ25" s="109"/>
      <c r="CR25" s="109"/>
      <c r="CS25" s="109"/>
      <c r="CT25" s="109"/>
      <c r="CU25" s="109"/>
      <c r="CV25" s="109"/>
      <c r="CW25" s="109"/>
      <c r="CX25" s="109"/>
      <c r="CY25" s="109"/>
      <c r="CZ25" s="109"/>
      <c r="DA25" s="109"/>
    </row>
    <row r="26" customFormat="false" ht="31.5" hidden="false" customHeight="true" outlineLevel="0" collapsed="false">
      <c r="A26" s="91" t="e">
        <f aca="false">A25+1</f>
        <v>#REF!</v>
      </c>
      <c r="B26" s="96"/>
      <c r="C26" s="100" t="s">
        <v>193</v>
      </c>
      <c r="D26" s="94"/>
      <c r="E26" s="95" t="s">
        <v>106</v>
      </c>
      <c r="F26" s="96"/>
      <c r="G26" s="96" t="s">
        <v>194</v>
      </c>
      <c r="H26" s="96" t="s">
        <v>108</v>
      </c>
      <c r="I26" s="97" t="s">
        <v>98</v>
      </c>
      <c r="J26" s="97" t="s">
        <v>195</v>
      </c>
      <c r="K26" s="110" t="s">
        <v>196</v>
      </c>
      <c r="L26" s="106" t="s">
        <v>197</v>
      </c>
      <c r="M26" s="99" t="s">
        <v>198</v>
      </c>
      <c r="N26" s="100" t="s">
        <v>113</v>
      </c>
      <c r="O26" s="104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</row>
    <row r="27" customFormat="false" ht="15.75" hidden="false" customHeight="true" outlineLevel="0" collapsed="false">
      <c r="A27" s="91" t="e">
        <f aca="false">A26+1</f>
        <v>#REF!</v>
      </c>
      <c r="B27" s="96"/>
      <c r="C27" s="100" t="s">
        <v>193</v>
      </c>
      <c r="D27" s="94"/>
      <c r="E27" s="95" t="s">
        <v>106</v>
      </c>
      <c r="F27" s="96"/>
      <c r="G27" s="96" t="s">
        <v>194</v>
      </c>
      <c r="H27" s="96" t="s">
        <v>108</v>
      </c>
      <c r="I27" s="97" t="s">
        <v>134</v>
      </c>
      <c r="J27" s="97" t="s">
        <v>199</v>
      </c>
      <c r="K27" s="110" t="s">
        <v>196</v>
      </c>
      <c r="L27" s="106" t="s">
        <v>197</v>
      </c>
      <c r="M27" s="99" t="s">
        <v>200</v>
      </c>
      <c r="N27" s="100" t="s">
        <v>113</v>
      </c>
      <c r="O27" s="104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</row>
    <row r="28" customFormat="false" ht="44" hidden="false" customHeight="false" outlineLevel="0" collapsed="false">
      <c r="A28" s="91" t="e">
        <f aca="false">A27+1</f>
        <v>#REF!</v>
      </c>
      <c r="B28" s="96"/>
      <c r="C28" s="100" t="s">
        <v>193</v>
      </c>
      <c r="D28" s="94"/>
      <c r="E28" s="95" t="s">
        <v>106</v>
      </c>
      <c r="F28" s="96"/>
      <c r="G28" s="96" t="s">
        <v>194</v>
      </c>
      <c r="H28" s="96" t="s">
        <v>108</v>
      </c>
      <c r="I28" s="97" t="s">
        <v>134</v>
      </c>
      <c r="J28" s="97" t="s">
        <v>199</v>
      </c>
      <c r="K28" s="110" t="s">
        <v>196</v>
      </c>
      <c r="L28" s="106" t="s">
        <v>197</v>
      </c>
      <c r="M28" s="99" t="s">
        <v>201</v>
      </c>
      <c r="N28" s="100" t="s">
        <v>113</v>
      </c>
      <c r="O28" s="104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</row>
    <row r="29" customFormat="false" ht="15.75" hidden="false" customHeight="true" outlineLevel="0" collapsed="false">
      <c r="A29" s="91" t="e">
        <f aca="false">A28+1</f>
        <v>#REF!</v>
      </c>
      <c r="B29" s="96"/>
      <c r="C29" s="100" t="s">
        <v>193</v>
      </c>
      <c r="D29" s="94"/>
      <c r="E29" s="95" t="s">
        <v>106</v>
      </c>
      <c r="F29" s="96"/>
      <c r="G29" s="96" t="s">
        <v>194</v>
      </c>
      <c r="H29" s="96" t="s">
        <v>108</v>
      </c>
      <c r="I29" s="97" t="s">
        <v>134</v>
      </c>
      <c r="J29" s="97" t="s">
        <v>202</v>
      </c>
      <c r="K29" s="110" t="s">
        <v>196</v>
      </c>
      <c r="L29" s="106" t="s">
        <v>197</v>
      </c>
      <c r="M29" s="99" t="s">
        <v>203</v>
      </c>
      <c r="N29" s="100" t="s">
        <v>113</v>
      </c>
      <c r="O29" s="104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</row>
    <row r="30" customFormat="false" ht="31.5" hidden="false" customHeight="true" outlineLevel="0" collapsed="false">
      <c r="A30" s="91" t="e">
        <f aca="false">A29+1</f>
        <v>#REF!</v>
      </c>
      <c r="B30" s="96"/>
      <c r="C30" s="100" t="s">
        <v>193</v>
      </c>
      <c r="D30" s="94"/>
      <c r="E30" s="95" t="s">
        <v>106</v>
      </c>
      <c r="F30" s="96"/>
      <c r="G30" s="96" t="s">
        <v>194</v>
      </c>
      <c r="H30" s="96" t="s">
        <v>108</v>
      </c>
      <c r="I30" s="97" t="s">
        <v>134</v>
      </c>
      <c r="J30" s="97" t="s">
        <v>204</v>
      </c>
      <c r="K30" s="110" t="s">
        <v>196</v>
      </c>
      <c r="L30" s="106" t="s">
        <v>197</v>
      </c>
      <c r="M30" s="99" t="s">
        <v>205</v>
      </c>
      <c r="N30" s="100" t="s">
        <v>113</v>
      </c>
      <c r="O30" s="104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</row>
    <row r="31" customFormat="false" ht="44" hidden="false" customHeight="false" outlineLevel="0" collapsed="false">
      <c r="A31" s="91" t="e">
        <f aca="false">A30+1</f>
        <v>#REF!</v>
      </c>
      <c r="B31" s="96"/>
      <c r="C31" s="100" t="s">
        <v>193</v>
      </c>
      <c r="D31" s="94"/>
      <c r="E31" s="95" t="s">
        <v>106</v>
      </c>
      <c r="F31" s="96"/>
      <c r="G31" s="96" t="s">
        <v>194</v>
      </c>
      <c r="H31" s="96" t="s">
        <v>108</v>
      </c>
      <c r="I31" s="97" t="s">
        <v>134</v>
      </c>
      <c r="J31" s="97" t="s">
        <v>199</v>
      </c>
      <c r="K31" s="110" t="s">
        <v>196</v>
      </c>
      <c r="L31" s="106" t="s">
        <v>197</v>
      </c>
      <c r="M31" s="99" t="s">
        <v>206</v>
      </c>
      <c r="N31" s="100" t="s">
        <v>113</v>
      </c>
      <c r="O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</row>
    <row r="32" customFormat="false" ht="31.5" hidden="false" customHeight="true" outlineLevel="0" collapsed="false">
      <c r="A32" s="91" t="e">
        <f aca="false">A31+1</f>
        <v>#REF!</v>
      </c>
      <c r="B32" s="96"/>
      <c r="C32" s="100" t="s">
        <v>193</v>
      </c>
      <c r="D32" s="94"/>
      <c r="E32" s="95" t="s">
        <v>106</v>
      </c>
      <c r="F32" s="96"/>
      <c r="G32" s="96" t="s">
        <v>194</v>
      </c>
      <c r="H32" s="96" t="s">
        <v>108</v>
      </c>
      <c r="I32" s="97" t="s">
        <v>134</v>
      </c>
      <c r="J32" s="97" t="s">
        <v>207</v>
      </c>
      <c r="K32" s="110" t="s">
        <v>196</v>
      </c>
      <c r="L32" s="106" t="s">
        <v>197</v>
      </c>
      <c r="M32" s="99" t="s">
        <v>208</v>
      </c>
      <c r="N32" s="100" t="s">
        <v>113</v>
      </c>
      <c r="O32" s="104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</row>
    <row r="33" customFormat="false" ht="31.5" hidden="false" customHeight="true" outlineLevel="0" collapsed="false">
      <c r="A33" s="91" t="e">
        <f aca="false">A32+1</f>
        <v>#REF!</v>
      </c>
      <c r="B33" s="96"/>
      <c r="C33" s="100" t="s">
        <v>193</v>
      </c>
      <c r="D33" s="94"/>
      <c r="E33" s="95" t="s">
        <v>106</v>
      </c>
      <c r="F33" s="96"/>
      <c r="G33" s="96" t="s">
        <v>194</v>
      </c>
      <c r="H33" s="96" t="s">
        <v>108</v>
      </c>
      <c r="I33" s="97" t="s">
        <v>134</v>
      </c>
      <c r="J33" s="97" t="s">
        <v>209</v>
      </c>
      <c r="K33" s="110" t="s">
        <v>196</v>
      </c>
      <c r="L33" s="106" t="s">
        <v>197</v>
      </c>
      <c r="M33" s="99" t="s">
        <v>210</v>
      </c>
      <c r="N33" s="100" t="s">
        <v>113</v>
      </c>
      <c r="O33" s="104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  <c r="BW33" s="111"/>
      <c r="BX33" s="111"/>
      <c r="BY33" s="111"/>
      <c r="BZ33" s="111"/>
      <c r="CA33" s="111"/>
      <c r="CB33" s="111"/>
      <c r="CC33" s="111"/>
      <c r="CD33" s="111"/>
      <c r="CE33" s="111"/>
      <c r="CF33" s="111"/>
      <c r="CG33" s="111"/>
      <c r="CH33" s="111"/>
      <c r="CI33" s="111"/>
      <c r="CJ33" s="111"/>
      <c r="CK33" s="111"/>
      <c r="CL33" s="111"/>
      <c r="CM33" s="111"/>
      <c r="CN33" s="111"/>
      <c r="CO33" s="111"/>
      <c r="CP33" s="111"/>
      <c r="CQ33" s="111"/>
      <c r="CR33" s="111"/>
      <c r="CS33" s="111"/>
      <c r="CT33" s="111"/>
      <c r="CU33" s="111"/>
      <c r="CV33" s="111"/>
      <c r="CW33" s="111"/>
      <c r="CX33" s="111"/>
      <c r="CY33" s="111"/>
      <c r="CZ33" s="111"/>
      <c r="DA33" s="111"/>
    </row>
    <row r="34" customFormat="false" ht="31.5" hidden="false" customHeight="true" outlineLevel="0" collapsed="false">
      <c r="A34" s="91" t="e">
        <f aca="false">A33+1</f>
        <v>#REF!</v>
      </c>
      <c r="B34" s="96"/>
      <c r="C34" s="100" t="s">
        <v>193</v>
      </c>
      <c r="D34" s="94"/>
      <c r="E34" s="95" t="s">
        <v>106</v>
      </c>
      <c r="F34" s="96"/>
      <c r="G34" s="96" t="s">
        <v>211</v>
      </c>
      <c r="H34" s="96" t="s">
        <v>108</v>
      </c>
      <c r="I34" s="97" t="s">
        <v>98</v>
      </c>
      <c r="J34" s="97" t="s">
        <v>212</v>
      </c>
      <c r="K34" s="110" t="s">
        <v>196</v>
      </c>
      <c r="L34" s="112" t="s">
        <v>213</v>
      </c>
      <c r="M34" s="99" t="s">
        <v>214</v>
      </c>
      <c r="N34" s="100" t="s">
        <v>215</v>
      </c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</row>
    <row r="35" customFormat="false" ht="29.85" hidden="false" customHeight="false" outlineLevel="0" collapsed="false">
      <c r="A35" s="96"/>
      <c r="B35" s="96"/>
      <c r="C35" s="96"/>
      <c r="D35" s="96"/>
      <c r="E35" s="96"/>
      <c r="F35" s="96"/>
      <c r="G35" s="96"/>
      <c r="H35" s="96" t="s">
        <v>216</v>
      </c>
      <c r="I35" s="113" t="s">
        <v>217</v>
      </c>
      <c r="J35" s="112" t="s">
        <v>218</v>
      </c>
      <c r="K35" s="114" t="s">
        <v>219</v>
      </c>
      <c r="L35" s="112" t="s">
        <v>220</v>
      </c>
      <c r="M35" s="99" t="s">
        <v>221</v>
      </c>
      <c r="N35" s="100" t="s">
        <v>222</v>
      </c>
      <c r="O35" s="59"/>
      <c r="P35" s="59"/>
      <c r="Q35" s="59"/>
      <c r="R35" s="115"/>
      <c r="S35" s="115"/>
      <c r="T35" s="59"/>
      <c r="U35" s="59"/>
      <c r="V35" s="59"/>
      <c r="W35" s="59"/>
      <c r="X35" s="59"/>
      <c r="Y35" s="59"/>
      <c r="Z35" s="59"/>
      <c r="AA35" s="59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</row>
    <row r="36" customFormat="false" ht="40.5" hidden="false" customHeight="true" outlineLevel="0" collapsed="false">
      <c r="A36" s="96"/>
      <c r="B36" s="96"/>
      <c r="C36" s="96"/>
      <c r="D36" s="96"/>
      <c r="E36" s="96"/>
      <c r="F36" s="96"/>
      <c r="G36" s="96"/>
      <c r="H36" s="96" t="s">
        <v>216</v>
      </c>
      <c r="I36" s="116" t="s">
        <v>217</v>
      </c>
      <c r="J36" s="112" t="s">
        <v>223</v>
      </c>
      <c r="K36" s="114" t="s">
        <v>224</v>
      </c>
      <c r="L36" s="112" t="s">
        <v>225</v>
      </c>
      <c r="M36" s="99" t="s">
        <v>225</v>
      </c>
      <c r="N36" s="100" t="s">
        <v>225</v>
      </c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</row>
    <row r="37" customFormat="false" ht="41.25" hidden="false" customHeight="true" outlineLevel="0" collapsed="false">
      <c r="A37" s="96"/>
      <c r="B37" s="96"/>
      <c r="C37" s="96"/>
      <c r="D37" s="96"/>
      <c r="E37" s="96"/>
      <c r="F37" s="96"/>
      <c r="G37" s="96"/>
      <c r="H37" s="96" t="s">
        <v>226</v>
      </c>
      <c r="I37" s="116" t="s">
        <v>217</v>
      </c>
      <c r="J37" s="112" t="s">
        <v>227</v>
      </c>
      <c r="K37" s="114" t="s">
        <v>228</v>
      </c>
      <c r="L37" s="112" t="s">
        <v>227</v>
      </c>
      <c r="M37" s="99" t="s">
        <v>229</v>
      </c>
      <c r="N37" s="100" t="s">
        <v>230</v>
      </c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</row>
    <row r="38" customFormat="false" ht="31.5" hidden="false" customHeight="true" outlineLevel="0" collapsed="false">
      <c r="A38" s="96"/>
      <c r="B38" s="96"/>
      <c r="C38" s="96"/>
      <c r="D38" s="96"/>
      <c r="E38" s="96"/>
      <c r="F38" s="96"/>
      <c r="G38" s="96"/>
      <c r="H38" s="96" t="s">
        <v>226</v>
      </c>
      <c r="I38" s="116" t="s">
        <v>217</v>
      </c>
      <c r="J38" s="112" t="s">
        <v>231</v>
      </c>
      <c r="K38" s="114" t="s">
        <v>232</v>
      </c>
      <c r="L38" s="112" t="s">
        <v>233</v>
      </c>
      <c r="M38" s="99"/>
      <c r="N38" s="100" t="s">
        <v>234</v>
      </c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</row>
    <row r="39" customFormat="false" ht="31.5" hidden="false" customHeight="true" outlineLevel="0" collapsed="false">
      <c r="A39" s="96"/>
      <c r="B39" s="96"/>
      <c r="C39" s="96"/>
      <c r="D39" s="96"/>
      <c r="E39" s="96"/>
      <c r="F39" s="96"/>
      <c r="G39" s="96"/>
      <c r="H39" s="96" t="s">
        <v>235</v>
      </c>
      <c r="I39" s="116" t="s">
        <v>217</v>
      </c>
      <c r="J39" s="112" t="s">
        <v>223</v>
      </c>
      <c r="K39" s="114" t="s">
        <v>236</v>
      </c>
      <c r="L39" s="112" t="s">
        <v>237</v>
      </c>
      <c r="M39" s="99" t="s">
        <v>238</v>
      </c>
      <c r="N39" s="100" t="s">
        <v>239</v>
      </c>
      <c r="O39" s="115"/>
      <c r="P39" s="115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</row>
    <row r="40" customFormat="false" ht="29.85" hidden="false" customHeight="false" outlineLevel="0" collapsed="false">
      <c r="B40" s="96"/>
      <c r="C40" s="96"/>
      <c r="D40" s="96"/>
      <c r="E40" s="96"/>
      <c r="F40" s="96"/>
      <c r="G40" s="96"/>
      <c r="H40" s="96" t="s">
        <v>240</v>
      </c>
      <c r="I40" s="116" t="s">
        <v>217</v>
      </c>
      <c r="J40" s="112" t="s">
        <v>164</v>
      </c>
      <c r="K40" s="114" t="s">
        <v>241</v>
      </c>
      <c r="L40" s="112" t="s">
        <v>242</v>
      </c>
      <c r="M40" s="99" t="s">
        <v>242</v>
      </c>
      <c r="N40" s="100" t="s">
        <v>243</v>
      </c>
      <c r="O40" s="115"/>
      <c r="P40" s="115"/>
      <c r="Q40" s="115"/>
      <c r="R40" s="115"/>
      <c r="S40" s="115"/>
      <c r="T40" s="59"/>
      <c r="U40" s="59"/>
      <c r="V40" s="59"/>
      <c r="W40" s="59"/>
      <c r="X40" s="59"/>
      <c r="Y40" s="59"/>
      <c r="Z40" s="59"/>
      <c r="AA40" s="59"/>
    </row>
    <row r="41" customFormat="false" ht="17.35" hidden="false" customHeight="false" outlineLevel="0" collapsed="false">
      <c r="A41" s="96"/>
      <c r="B41" s="96"/>
      <c r="C41" s="96"/>
      <c r="D41" s="96"/>
      <c r="E41" s="96"/>
      <c r="F41" s="96"/>
      <c r="G41" s="96"/>
      <c r="H41" s="96" t="s">
        <v>244</v>
      </c>
      <c r="I41" s="116" t="s">
        <v>119</v>
      </c>
      <c r="J41" s="112" t="s">
        <v>125</v>
      </c>
      <c r="K41" s="114" t="s">
        <v>245</v>
      </c>
      <c r="L41" s="112" t="s">
        <v>111</v>
      </c>
      <c r="M41" s="99" t="s">
        <v>246</v>
      </c>
      <c r="N41" s="100" t="s">
        <v>247</v>
      </c>
      <c r="O41" s="115"/>
      <c r="P41" s="115"/>
      <c r="Q41" s="115" t="s">
        <v>248</v>
      </c>
      <c r="R41" s="115"/>
      <c r="S41" s="115"/>
      <c r="T41" s="59"/>
      <c r="U41" s="59"/>
      <c r="V41" s="59"/>
      <c r="W41" s="59"/>
      <c r="X41" s="59"/>
      <c r="Y41" s="59"/>
      <c r="Z41" s="59"/>
      <c r="AA41" s="59"/>
    </row>
    <row r="42" customFormat="false" ht="29.85" hidden="false" customHeight="false" outlineLevel="0" collapsed="false">
      <c r="A42" s="96"/>
      <c r="B42" s="96"/>
      <c r="C42" s="96"/>
      <c r="D42" s="96"/>
      <c r="E42" s="96"/>
      <c r="F42" s="96"/>
      <c r="G42" s="96"/>
      <c r="H42" s="117" t="s">
        <v>249</v>
      </c>
      <c r="I42" s="118" t="s">
        <v>50</v>
      </c>
      <c r="J42" s="117" t="s">
        <v>250</v>
      </c>
      <c r="K42" s="117" t="s">
        <v>251</v>
      </c>
      <c r="L42" s="117" t="s">
        <v>252</v>
      </c>
      <c r="M42" s="117" t="s">
        <v>253</v>
      </c>
      <c r="N42" s="100" t="s">
        <v>254</v>
      </c>
      <c r="O42" s="59"/>
      <c r="P42" s="59"/>
      <c r="Q42" s="111" t="s">
        <v>255</v>
      </c>
      <c r="R42" s="59"/>
      <c r="S42" s="59"/>
      <c r="T42" s="59"/>
      <c r="U42" s="59"/>
      <c r="V42" s="59"/>
      <c r="W42" s="59"/>
      <c r="X42" s="59"/>
      <c r="Y42" s="59"/>
      <c r="Z42" s="59"/>
      <c r="AA42" s="59"/>
    </row>
    <row r="43" customFormat="false" ht="38.25" hidden="false" customHeight="true" outlineLevel="0" collapsed="false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 t="s">
        <v>256</v>
      </c>
      <c r="N43" s="119"/>
      <c r="O43" s="119"/>
      <c r="P43" s="119"/>
      <c r="Q43" s="119"/>
      <c r="R43" s="119"/>
      <c r="S43" s="119"/>
      <c r="T43" s="59"/>
      <c r="U43" s="59"/>
      <c r="V43" s="59"/>
      <c r="W43" s="59"/>
      <c r="X43" s="59"/>
      <c r="Y43" s="59"/>
      <c r="Z43" s="59"/>
      <c r="AA43" s="59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</row>
    <row r="44" customFormat="false" ht="31.5" hidden="false" customHeight="true" outlineLevel="0" collapsed="false">
      <c r="A44" s="59"/>
      <c r="B44" s="59"/>
      <c r="C44" s="59"/>
      <c r="D44" s="59"/>
      <c r="E44" s="59"/>
      <c r="F44" s="59"/>
      <c r="G44" s="59"/>
      <c r="H44" s="59"/>
      <c r="I44" s="59"/>
      <c r="J44" s="97" t="s">
        <v>257</v>
      </c>
      <c r="K44" s="120" t="n">
        <v>31</v>
      </c>
      <c r="L44" s="121" t="s">
        <v>258</v>
      </c>
      <c r="M44" s="115" t="s">
        <v>259</v>
      </c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</row>
    <row r="45" customFormat="false" ht="15" hidden="false" customHeight="true" outlineLevel="0" collapsed="false">
      <c r="A45" s="59"/>
      <c r="B45" s="59"/>
      <c r="C45" s="59"/>
      <c r="D45" s="59"/>
      <c r="E45" s="59"/>
      <c r="F45" s="59"/>
      <c r="G45" s="59"/>
      <c r="H45" s="59"/>
      <c r="I45" s="59"/>
      <c r="J45" s="97" t="s">
        <v>260</v>
      </c>
      <c r="K45" s="122" t="n">
        <v>26</v>
      </c>
      <c r="L45" s="121"/>
      <c r="M45" s="115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</row>
    <row r="46" customFormat="false" ht="15" hidden="false" customHeight="true" outlineLevel="0" collapsed="false">
      <c r="A46" s="59"/>
      <c r="B46" s="59"/>
      <c r="C46" s="59"/>
      <c r="D46" s="59"/>
      <c r="E46" s="59"/>
      <c r="F46" s="59"/>
      <c r="G46" s="59"/>
      <c r="H46" s="59"/>
      <c r="I46" s="59"/>
      <c r="J46" s="97" t="s">
        <v>261</v>
      </c>
      <c r="K46" s="122" t="n">
        <v>4</v>
      </c>
      <c r="L46" s="121"/>
      <c r="M46" s="115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</row>
    <row r="47" customFormat="false" ht="15" hidden="false" customHeight="true" outlineLevel="0" collapsed="false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123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</row>
    <row r="48" customFormat="false" ht="15" hidden="false" customHeight="true" outlineLevel="0" collapsed="false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</row>
    <row r="49" customFormat="false" ht="15" hidden="false" customHeight="true" outlineLevel="0" collapsed="false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</row>
    <row r="50" customFormat="false" ht="15" hidden="false" customHeight="true" outlineLevel="0" collapsed="false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</row>
    <row r="51" customFormat="false" ht="15" hidden="false" customHeight="true" outlineLevel="0" collapsed="false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</row>
    <row r="52" customFormat="false" ht="15" hidden="false" customHeight="true" outlineLevel="0" collapsed="false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</row>
    <row r="53" customFormat="false" ht="15" hidden="false" customHeight="false" outlineLevel="0" collapsed="false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</row>
    <row r="54" customFormat="false" ht="15" hidden="false" customHeight="false" outlineLevel="0" collapsed="false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</row>
    <row r="55" customFormat="false" ht="15" hidden="false" customHeight="false" outlineLevel="0" collapsed="false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</row>
    <row r="56" customFormat="false" ht="31.5" hidden="false" customHeight="true" outlineLevel="0" collapsed="false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</row>
    <row r="57" customFormat="false" ht="31.5" hidden="false" customHeight="true" outlineLevel="0" collapsed="false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</row>
    <row r="58" customFormat="false" ht="15.75" hidden="false" customHeight="true" outlineLevel="0" collapsed="false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</row>
    <row r="59" customFormat="false" ht="48.75" hidden="false" customHeight="true" outlineLevel="0" collapsed="false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111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</row>
    <row r="60" customFormat="false" ht="59.25" hidden="false" customHeight="true" outlineLevel="0" collapsed="false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</row>
    <row r="61" customFormat="false" ht="68.25" hidden="false" customHeight="true" outlineLevel="0" collapsed="false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</row>
    <row r="62" customFormat="false" ht="15.75" hidden="false" customHeight="true" outlineLevel="0" collapsed="false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</row>
    <row r="63" customFormat="false" ht="15.75" hidden="false" customHeight="true" outlineLevel="0" collapsed="false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</row>
    <row r="64" customFormat="false" ht="15.75" hidden="false" customHeight="true" outlineLevel="0" collapsed="false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</row>
    <row r="65" customFormat="false" ht="15.75" hidden="false" customHeight="true" outlineLevel="0" collapsed="false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</row>
    <row r="66" customFormat="false" ht="39.55" hidden="false" customHeight="false" outlineLevel="0" collapsed="false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</row>
    <row r="67" customFormat="false" ht="15.75" hidden="false" customHeight="true" outlineLevel="0" collapsed="false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</row>
    <row r="68" customFormat="false" ht="42" hidden="false" customHeight="true" outlineLevel="0" collapsed="false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</row>
    <row r="69" customFormat="false" ht="31.5" hidden="false" customHeight="true" outlineLevel="0" collapsed="false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</row>
    <row r="70" customFormat="false" ht="51" hidden="false" customHeight="true" outlineLevel="0" collapsed="false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</row>
    <row r="71" customFormat="false" ht="15.75" hidden="false" customHeight="true" outlineLevel="0" collapsed="false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</row>
    <row r="72" customFormat="false" ht="113.4" hidden="false" customHeight="false" outlineLevel="0" collapsed="false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</row>
    <row r="73" customFormat="false" ht="15.75" hidden="false" customHeight="true" outlineLevel="0" collapsed="false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</row>
    <row r="74" customFormat="false" ht="71.25" hidden="false" customHeight="true" outlineLevel="0" collapsed="false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</row>
    <row r="75" customFormat="false" ht="75.75" hidden="false" customHeight="true" outlineLevel="0" collapsed="false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</row>
    <row r="76" customFormat="false" ht="53.25" hidden="false" customHeight="true" outlineLevel="0" collapsed="false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</row>
    <row r="77" customFormat="false" ht="15.75" hidden="false" customHeight="true" outlineLevel="0" collapsed="false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</row>
    <row r="78" customFormat="false" ht="95.25" hidden="false" customHeight="true" outlineLevel="0" collapsed="false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</row>
    <row r="79" customFormat="false" ht="31.5" hidden="false" customHeight="true" outlineLevel="0" collapsed="false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</row>
    <row r="80" customFormat="false" ht="31.5" hidden="false" customHeight="true" outlineLevel="0" collapsed="false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</row>
    <row r="81" customFormat="false" ht="15.75" hidden="false" customHeight="true" outlineLevel="0" collapsed="false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</row>
    <row r="82" customFormat="false" ht="409.5" hidden="false" customHeight="true" outlineLevel="0" collapsed="false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</row>
    <row r="83" customFormat="false" ht="15.75" hidden="false" customHeight="true" outlineLevel="0" collapsed="false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</row>
    <row r="84" customFormat="false" ht="15.75" hidden="false" customHeight="true" outlineLevel="0" collapsed="false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</row>
    <row r="85" customFormat="false" ht="15.75" hidden="false" customHeight="true" outlineLevel="0" collapsed="false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</row>
    <row r="86" customFormat="false" ht="15.75" hidden="false" customHeight="true" outlineLevel="0" collapsed="false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</row>
    <row r="87" customFormat="false" ht="15.75" hidden="false" customHeight="true" outlineLevel="0" collapsed="false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</row>
    <row r="88" customFormat="false" ht="15.75" hidden="false" customHeight="true" outlineLevel="0" collapsed="false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</row>
    <row r="89" customFormat="false" ht="15.75" hidden="false" customHeight="true" outlineLevel="0" collapsed="false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</row>
    <row r="90" customFormat="false" ht="15.75" hidden="false" customHeight="true" outlineLevel="0" collapsed="false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</row>
    <row r="91" customFormat="false" ht="15.75" hidden="false" customHeight="true" outlineLevel="0" collapsed="false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</row>
    <row r="92" customFormat="false" ht="15.75" hidden="false" customHeight="true" outlineLevel="0" collapsed="false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</row>
    <row r="93" customFormat="false" ht="15.75" hidden="false" customHeight="true" outlineLevel="0" collapsed="false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</row>
    <row r="94" customFormat="false" ht="15.75" hidden="false" customHeight="true" outlineLevel="0" collapsed="false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</row>
    <row r="95" customFormat="false" ht="48.75" hidden="false" customHeight="true" outlineLevel="0" collapsed="false">
      <c r="A95" s="115"/>
      <c r="B95" s="115"/>
      <c r="C95" s="115"/>
      <c r="D95" s="115"/>
      <c r="E95" s="115"/>
      <c r="F95" s="115"/>
      <c r="G95" s="115"/>
      <c r="H95" s="115"/>
      <c r="I95" s="59"/>
      <c r="J95" s="115"/>
      <c r="K95" s="115"/>
      <c r="L95" s="115"/>
      <c r="M95" s="115"/>
      <c r="N95" s="115"/>
      <c r="O95" s="115"/>
      <c r="P95" s="115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</row>
    <row r="96" customFormat="false" ht="15.75" hidden="false" customHeight="true" outlineLevel="0" collapsed="false">
      <c r="A96" s="115"/>
      <c r="B96" s="115"/>
      <c r="C96" s="115"/>
      <c r="D96" s="115"/>
      <c r="E96" s="115"/>
      <c r="F96" s="115"/>
      <c r="G96" s="115"/>
      <c r="H96" s="115"/>
      <c r="I96" s="59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/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</row>
    <row r="97" customFormat="false" ht="15.75" hidden="false" customHeight="true" outlineLevel="0" collapsed="false">
      <c r="A97" s="115"/>
      <c r="B97" s="115"/>
      <c r="C97" s="115"/>
      <c r="D97" s="115"/>
      <c r="E97" s="115"/>
      <c r="F97" s="115"/>
      <c r="G97" s="115"/>
      <c r="H97" s="115"/>
      <c r="I97" s="59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</row>
    <row r="98" customFormat="false" ht="15.75" hidden="false" customHeight="true" outlineLevel="0" collapsed="false">
      <c r="A98" s="115"/>
      <c r="B98" s="115"/>
      <c r="C98" s="115"/>
      <c r="D98" s="115"/>
      <c r="E98" s="115"/>
      <c r="F98" s="115"/>
      <c r="G98" s="115"/>
      <c r="H98" s="115"/>
      <c r="I98" s="59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</row>
    <row r="99" customFormat="false" ht="15.75" hidden="false" customHeight="true" outlineLevel="0" collapsed="false">
      <c r="A99" s="115"/>
      <c r="B99" s="115"/>
      <c r="C99" s="115"/>
      <c r="D99" s="115"/>
      <c r="E99" s="115"/>
      <c r="F99" s="115"/>
      <c r="G99" s="115"/>
      <c r="H99" s="115"/>
      <c r="I99" s="59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</row>
    <row r="100" customFormat="false" ht="45.75" hidden="false" customHeight="true" outlineLevel="0" collapsed="false">
      <c r="A100" s="115"/>
      <c r="B100" s="115"/>
      <c r="C100" s="115"/>
      <c r="D100" s="115"/>
      <c r="E100" s="115"/>
      <c r="F100" s="115"/>
      <c r="G100" s="115"/>
      <c r="H100" s="115"/>
      <c r="I100" s="59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</row>
    <row r="101" customFormat="false" ht="15.75" hidden="false" customHeight="true" outlineLevel="0" collapsed="false">
      <c r="A101" s="115"/>
      <c r="B101" s="115"/>
      <c r="C101" s="115"/>
      <c r="D101" s="115"/>
      <c r="E101" s="115"/>
      <c r="F101" s="115"/>
      <c r="G101" s="115"/>
      <c r="H101" s="115"/>
      <c r="I101" s="59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</row>
    <row r="102" customFormat="false" ht="15.75" hidden="false" customHeight="true" outlineLevel="0" collapsed="false">
      <c r="A102" s="115"/>
      <c r="B102" s="115"/>
      <c r="C102" s="115"/>
      <c r="D102" s="115"/>
      <c r="E102" s="115"/>
      <c r="F102" s="115"/>
      <c r="G102" s="115"/>
      <c r="H102" s="115"/>
      <c r="I102" s="59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  <c r="CL102" s="59"/>
      <c r="CM102" s="59"/>
      <c r="CN102" s="59"/>
      <c r="CO102" s="59"/>
      <c r="CP102" s="59"/>
      <c r="CQ102" s="59"/>
      <c r="CR102" s="59"/>
      <c r="CS102" s="59"/>
      <c r="CT102" s="59"/>
      <c r="CU102" s="59"/>
      <c r="CV102" s="59"/>
      <c r="CW102" s="59"/>
      <c r="CX102" s="59"/>
      <c r="CY102" s="59"/>
      <c r="CZ102" s="59"/>
      <c r="DA102" s="59"/>
    </row>
    <row r="103" customFormat="false" ht="15.75" hidden="false" customHeight="true" outlineLevel="0" collapsed="false">
      <c r="A103" s="115"/>
      <c r="B103" s="115"/>
      <c r="C103" s="115"/>
      <c r="D103" s="115"/>
      <c r="E103" s="115"/>
      <c r="F103" s="115"/>
      <c r="G103" s="115"/>
      <c r="H103" s="115"/>
      <c r="I103" s="59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  <c r="CK103" s="59"/>
      <c r="CL103" s="59"/>
      <c r="CM103" s="59"/>
      <c r="CN103" s="59"/>
      <c r="CO103" s="59"/>
      <c r="CP103" s="59"/>
      <c r="CQ103" s="59"/>
      <c r="CR103" s="59"/>
      <c r="CS103" s="59"/>
      <c r="CT103" s="59"/>
      <c r="CU103" s="59"/>
      <c r="CV103" s="59"/>
      <c r="CW103" s="59"/>
      <c r="CX103" s="59"/>
      <c r="CY103" s="59"/>
      <c r="CZ103" s="59"/>
      <c r="DA103" s="59"/>
    </row>
    <row r="104" customFormat="false" ht="15.75" hidden="false" customHeight="true" outlineLevel="0" collapsed="false">
      <c r="A104" s="115"/>
      <c r="B104" s="115"/>
      <c r="C104" s="115"/>
      <c r="D104" s="115"/>
      <c r="E104" s="115"/>
      <c r="F104" s="115"/>
      <c r="G104" s="115"/>
      <c r="H104" s="115"/>
      <c r="I104" s="59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  <c r="CH104" s="59"/>
      <c r="CI104" s="59"/>
      <c r="CJ104" s="59"/>
      <c r="CK104" s="59"/>
      <c r="CL104" s="59"/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</row>
    <row r="105" customFormat="false" ht="15.75" hidden="false" customHeight="true" outlineLevel="0" collapsed="false">
      <c r="A105" s="115"/>
      <c r="B105" s="115"/>
      <c r="C105" s="115"/>
      <c r="D105" s="115"/>
      <c r="E105" s="115"/>
      <c r="F105" s="115"/>
      <c r="G105" s="115"/>
      <c r="H105" s="115"/>
      <c r="I105" s="59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</row>
    <row r="106" customFormat="false" ht="15.75" hidden="false" customHeight="true" outlineLevel="0" collapsed="false">
      <c r="A106" s="115"/>
      <c r="B106" s="115"/>
      <c r="C106" s="115"/>
      <c r="D106" s="115"/>
      <c r="E106" s="115"/>
      <c r="F106" s="115"/>
      <c r="G106" s="115"/>
      <c r="H106" s="115"/>
      <c r="I106" s="59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  <c r="CL106" s="59"/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</row>
    <row r="107" customFormat="false" ht="15.75" hidden="false" customHeight="true" outlineLevel="0" collapsed="false">
      <c r="A107" s="115"/>
      <c r="B107" s="115"/>
      <c r="C107" s="115"/>
      <c r="D107" s="115"/>
      <c r="E107" s="115"/>
      <c r="F107" s="115"/>
      <c r="G107" s="115"/>
      <c r="H107" s="115"/>
      <c r="I107" s="59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  <c r="CL107" s="59"/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</row>
    <row r="108" customFormat="false" ht="15.75" hidden="false" customHeight="true" outlineLevel="0" collapsed="false">
      <c r="A108" s="115"/>
      <c r="B108" s="115"/>
      <c r="C108" s="115"/>
      <c r="D108" s="115"/>
      <c r="E108" s="115"/>
      <c r="F108" s="115"/>
      <c r="G108" s="115"/>
      <c r="H108" s="115"/>
      <c r="I108" s="59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</row>
    <row r="109" customFormat="false" ht="57" hidden="false" customHeight="true" outlineLevel="0" collapsed="false">
      <c r="A109" s="115"/>
      <c r="B109" s="115"/>
      <c r="C109" s="115"/>
      <c r="D109" s="115"/>
      <c r="E109" s="115"/>
      <c r="F109" s="115"/>
      <c r="G109" s="115"/>
      <c r="H109" s="115"/>
      <c r="I109" s="59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59"/>
      <c r="U109" s="59"/>
      <c r="V109" s="59"/>
      <c r="W109" s="59"/>
      <c r="X109" s="59"/>
      <c r="Y109" s="59"/>
      <c r="Z109" s="59"/>
      <c r="AA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</row>
    <row r="110" customFormat="false" ht="60" hidden="false" customHeight="true" outlineLevel="0" collapsed="false">
      <c r="A110" s="115"/>
      <c r="B110" s="115"/>
      <c r="C110" s="115"/>
      <c r="D110" s="115"/>
      <c r="E110" s="115"/>
      <c r="F110" s="115"/>
      <c r="G110" s="115"/>
      <c r="H110" s="115"/>
      <c r="I110" s="59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59"/>
      <c r="U110" s="59"/>
      <c r="V110" s="59"/>
      <c r="W110" s="59"/>
      <c r="X110" s="59"/>
      <c r="Y110" s="59"/>
      <c r="Z110" s="59"/>
      <c r="AA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</row>
    <row r="111" customFormat="false" ht="54.75" hidden="false" customHeight="true" outlineLevel="0" collapsed="false">
      <c r="A111" s="115"/>
      <c r="B111" s="115"/>
      <c r="C111" s="115"/>
      <c r="D111" s="115"/>
      <c r="E111" s="115"/>
      <c r="F111" s="115"/>
      <c r="G111" s="115"/>
      <c r="H111" s="115"/>
      <c r="I111" s="59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59"/>
      <c r="U111" s="59"/>
      <c r="V111" s="59"/>
      <c r="W111" s="59"/>
      <c r="X111" s="59"/>
      <c r="Y111" s="59"/>
      <c r="Z111" s="59"/>
      <c r="AA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</row>
    <row r="112" customFormat="false" ht="63" hidden="false" customHeight="true" outlineLevel="0" collapsed="false">
      <c r="A112" s="115"/>
      <c r="B112" s="115"/>
      <c r="C112" s="115"/>
      <c r="D112" s="115"/>
      <c r="E112" s="115"/>
      <c r="F112" s="115"/>
      <c r="G112" s="115"/>
      <c r="H112" s="115"/>
      <c r="I112" s="59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59"/>
      <c r="U112" s="59"/>
      <c r="V112" s="59"/>
      <c r="W112" s="59"/>
      <c r="X112" s="59"/>
      <c r="Y112" s="59"/>
      <c r="Z112" s="59"/>
      <c r="AA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</row>
    <row r="113" customFormat="false" ht="71.25" hidden="false" customHeight="true" outlineLevel="0" collapsed="false">
      <c r="A113" s="115"/>
      <c r="B113" s="115"/>
      <c r="C113" s="115"/>
      <c r="D113" s="115"/>
      <c r="E113" s="115"/>
      <c r="F113" s="115"/>
      <c r="G113" s="115"/>
      <c r="H113" s="115"/>
      <c r="I113" s="59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59"/>
      <c r="U113" s="59"/>
      <c r="V113" s="59"/>
      <c r="W113" s="59"/>
      <c r="X113" s="59"/>
      <c r="Y113" s="59"/>
      <c r="Z113" s="59"/>
      <c r="AA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  <c r="CH113" s="59"/>
      <c r="CI113" s="59"/>
      <c r="CJ113" s="59"/>
      <c r="CK113" s="59"/>
      <c r="CL113" s="59"/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</row>
    <row r="114" customFormat="false" ht="58.5" hidden="false" customHeight="true" outlineLevel="0" collapsed="false">
      <c r="A114" s="115"/>
      <c r="B114" s="115"/>
      <c r="C114" s="115"/>
      <c r="D114" s="115"/>
      <c r="E114" s="115"/>
      <c r="F114" s="115"/>
      <c r="G114" s="115"/>
      <c r="H114" s="115"/>
      <c r="I114" s="59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  <c r="CH114" s="59"/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</row>
    <row r="115" customFormat="false" ht="46.5" hidden="false" customHeight="true" outlineLevel="0" collapsed="false">
      <c r="A115" s="115"/>
      <c r="B115" s="115"/>
      <c r="C115" s="115"/>
      <c r="D115" s="115"/>
      <c r="E115" s="115"/>
      <c r="F115" s="115"/>
      <c r="G115" s="115"/>
      <c r="H115" s="115"/>
      <c r="I115" s="59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59"/>
      <c r="U115" s="59"/>
      <c r="V115" s="59"/>
      <c r="W115" s="59"/>
      <c r="X115" s="59"/>
      <c r="Y115" s="59"/>
      <c r="Z115" s="59"/>
      <c r="AA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59"/>
      <c r="CG115" s="59"/>
      <c r="CH115" s="59"/>
      <c r="CI115" s="59"/>
      <c r="CJ115" s="59"/>
      <c r="CK115" s="59"/>
      <c r="CL115" s="59"/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59"/>
      <c r="CZ115" s="59"/>
      <c r="DA115" s="59"/>
    </row>
    <row r="116" customFormat="false" ht="46.5" hidden="false" customHeight="true" outlineLevel="0" collapsed="false">
      <c r="A116" s="115"/>
      <c r="B116" s="115"/>
      <c r="C116" s="115"/>
      <c r="D116" s="115"/>
      <c r="E116" s="115"/>
      <c r="F116" s="115"/>
      <c r="G116" s="115"/>
      <c r="H116" s="115"/>
      <c r="I116" s="59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59"/>
      <c r="U116" s="59"/>
      <c r="V116" s="59"/>
      <c r="W116" s="59"/>
      <c r="X116" s="59"/>
      <c r="Y116" s="59"/>
      <c r="Z116" s="59"/>
      <c r="AA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G116" s="59"/>
      <c r="CH116" s="59"/>
      <c r="CI116" s="59"/>
      <c r="CJ116" s="59"/>
      <c r="CK116" s="59"/>
      <c r="CL116" s="59"/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</row>
    <row r="117" customFormat="false" ht="29.25" hidden="false" customHeight="true" outlineLevel="0" collapsed="false">
      <c r="A117" s="115"/>
      <c r="B117" s="115"/>
      <c r="C117" s="115"/>
      <c r="D117" s="115"/>
      <c r="E117" s="115"/>
      <c r="F117" s="115"/>
      <c r="G117" s="115"/>
      <c r="H117" s="115"/>
      <c r="I117" s="59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</row>
    <row r="118" customFormat="false" ht="15.75" hidden="false" customHeight="true" outlineLevel="0" collapsed="false">
      <c r="A118" s="115"/>
      <c r="B118" s="115"/>
      <c r="C118" s="115"/>
      <c r="D118" s="115"/>
      <c r="E118" s="115"/>
      <c r="F118" s="115"/>
      <c r="G118" s="115"/>
      <c r="H118" s="115"/>
      <c r="I118" s="59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  <c r="CL118" s="59"/>
      <c r="CM118" s="59"/>
      <c r="CN118" s="59"/>
      <c r="CO118" s="59"/>
      <c r="CP118" s="59"/>
      <c r="CQ118" s="59"/>
      <c r="CR118" s="59"/>
      <c r="CS118" s="59"/>
      <c r="CT118" s="59"/>
      <c r="CU118" s="59"/>
      <c r="CV118" s="59"/>
      <c r="CW118" s="59"/>
      <c r="CX118" s="59"/>
      <c r="CY118" s="59"/>
      <c r="CZ118" s="59"/>
      <c r="DA118" s="59"/>
    </row>
    <row r="119" customFormat="false" ht="12.75" hidden="false" customHeight="true" outlineLevel="0" collapsed="false">
      <c r="A119" s="115"/>
      <c r="B119" s="115"/>
      <c r="C119" s="115"/>
      <c r="D119" s="115"/>
      <c r="E119" s="115"/>
      <c r="F119" s="115"/>
      <c r="G119" s="115"/>
      <c r="H119" s="115"/>
      <c r="I119" s="59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  <c r="CL119" s="59"/>
      <c r="CM119" s="59"/>
      <c r="CN119" s="59"/>
      <c r="CO119" s="59"/>
      <c r="CP119" s="59"/>
      <c r="CQ119" s="59"/>
      <c r="CR119" s="59"/>
      <c r="CS119" s="59"/>
      <c r="CT119" s="59"/>
      <c r="CU119" s="59"/>
      <c r="CV119" s="59"/>
      <c r="CW119" s="59"/>
      <c r="CX119" s="59"/>
      <c r="CY119" s="59"/>
      <c r="CZ119" s="59"/>
      <c r="DA119" s="59"/>
    </row>
    <row r="120" customFormat="false" ht="12.75" hidden="false" customHeight="true" outlineLevel="0" collapsed="false">
      <c r="A120" s="115"/>
      <c r="B120" s="115"/>
      <c r="C120" s="115"/>
      <c r="D120" s="115"/>
      <c r="E120" s="115"/>
      <c r="F120" s="115"/>
      <c r="G120" s="115"/>
      <c r="H120" s="115"/>
      <c r="I120" s="59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</row>
    <row r="121" customFormat="false" ht="12.75" hidden="false" customHeight="true" outlineLevel="0" collapsed="false">
      <c r="A121" s="115"/>
      <c r="B121" s="115"/>
      <c r="C121" s="115"/>
      <c r="D121" s="115"/>
      <c r="E121" s="115"/>
      <c r="F121" s="115"/>
      <c r="G121" s="115"/>
      <c r="H121" s="115"/>
      <c r="I121" s="59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</row>
    <row r="122" customFormat="false" ht="12.75" hidden="false" customHeight="true" outlineLevel="0" collapsed="false">
      <c r="A122" s="115"/>
      <c r="B122" s="115"/>
      <c r="C122" s="115"/>
      <c r="D122" s="115"/>
      <c r="E122" s="115"/>
      <c r="F122" s="115"/>
      <c r="G122" s="115"/>
      <c r="H122" s="115"/>
      <c r="I122" s="59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CZ122" s="59"/>
      <c r="DA122" s="59"/>
    </row>
    <row r="123" customFormat="false" ht="12.75" hidden="false" customHeight="true" outlineLevel="0" collapsed="false">
      <c r="A123" s="115"/>
      <c r="B123" s="115"/>
      <c r="C123" s="115"/>
      <c r="D123" s="115"/>
      <c r="E123" s="115"/>
      <c r="F123" s="115"/>
      <c r="G123" s="115"/>
      <c r="H123" s="115"/>
      <c r="I123" s="59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59"/>
      <c r="CG123" s="59"/>
      <c r="CH123" s="59"/>
      <c r="CI123" s="59"/>
      <c r="CJ123" s="59"/>
      <c r="CK123" s="59"/>
      <c r="CL123" s="59"/>
      <c r="CM123" s="59"/>
      <c r="CN123" s="59"/>
      <c r="CO123" s="59"/>
      <c r="CP123" s="59"/>
      <c r="CQ123" s="59"/>
      <c r="CR123" s="59"/>
      <c r="CS123" s="59"/>
      <c r="CT123" s="59"/>
      <c r="CU123" s="59"/>
      <c r="CV123" s="59"/>
      <c r="CW123" s="59"/>
      <c r="CX123" s="59"/>
      <c r="CY123" s="59"/>
      <c r="CZ123" s="59"/>
      <c r="DA123" s="59"/>
    </row>
    <row r="124" customFormat="false" ht="12.75" hidden="false" customHeight="true" outlineLevel="0" collapsed="false">
      <c r="A124" s="115"/>
      <c r="B124" s="115"/>
      <c r="C124" s="115"/>
      <c r="D124" s="115"/>
      <c r="E124" s="115"/>
      <c r="F124" s="115"/>
      <c r="G124" s="115"/>
      <c r="H124" s="115"/>
      <c r="I124" s="59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  <c r="CK124" s="59"/>
      <c r="CL124" s="59"/>
      <c r="CM124" s="59"/>
      <c r="CN124" s="59"/>
      <c r="CO124" s="59"/>
      <c r="CP124" s="59"/>
      <c r="CQ124" s="59"/>
      <c r="CR124" s="59"/>
      <c r="CS124" s="59"/>
      <c r="CT124" s="59"/>
      <c r="CU124" s="59"/>
      <c r="CV124" s="59"/>
      <c r="CW124" s="59"/>
      <c r="CX124" s="59"/>
      <c r="CY124" s="59"/>
      <c r="CZ124" s="59"/>
      <c r="DA124" s="59"/>
    </row>
    <row r="125" customFormat="false" ht="12.75" hidden="false" customHeight="true" outlineLevel="0" collapsed="false">
      <c r="A125" s="115"/>
      <c r="B125" s="115"/>
      <c r="C125" s="115"/>
      <c r="D125" s="115"/>
      <c r="E125" s="115"/>
      <c r="F125" s="115"/>
      <c r="G125" s="115"/>
      <c r="H125" s="115"/>
      <c r="I125" s="59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59"/>
      <c r="CG125" s="59"/>
      <c r="CH125" s="59"/>
      <c r="CI125" s="59"/>
      <c r="CJ125" s="59"/>
      <c r="CK125" s="59"/>
      <c r="CL125" s="59"/>
      <c r="CM125" s="59"/>
      <c r="CN125" s="59"/>
      <c r="CO125" s="59"/>
      <c r="CP125" s="59"/>
      <c r="CQ125" s="59"/>
      <c r="CR125" s="59"/>
      <c r="CS125" s="59"/>
      <c r="CT125" s="59"/>
      <c r="CU125" s="59"/>
      <c r="CV125" s="59"/>
      <c r="CW125" s="59"/>
      <c r="CX125" s="59"/>
      <c r="CY125" s="59"/>
      <c r="CZ125" s="59"/>
      <c r="DA125" s="59"/>
    </row>
    <row r="126" customFormat="false" ht="15.75" hidden="false" customHeight="true" outlineLevel="0" collapsed="false">
      <c r="A126" s="115"/>
      <c r="B126" s="115"/>
      <c r="C126" s="115"/>
      <c r="D126" s="115"/>
      <c r="E126" s="115"/>
      <c r="F126" s="115"/>
      <c r="G126" s="115"/>
      <c r="H126" s="115"/>
      <c r="I126" s="59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</row>
    <row r="127" customFormat="false" ht="12.75" hidden="false" customHeight="true" outlineLevel="0" collapsed="false">
      <c r="A127" s="115"/>
      <c r="B127" s="115"/>
      <c r="C127" s="115"/>
      <c r="D127" s="115"/>
      <c r="E127" s="115"/>
      <c r="F127" s="115"/>
      <c r="G127" s="115"/>
      <c r="H127" s="115"/>
      <c r="I127" s="59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  <c r="CH127" s="59"/>
      <c r="CI127" s="59"/>
      <c r="CJ127" s="59"/>
      <c r="CK127" s="59"/>
      <c r="CL127" s="59"/>
      <c r="CM127" s="59"/>
      <c r="CN127" s="59"/>
      <c r="CO127" s="59"/>
      <c r="CP127" s="59"/>
      <c r="CQ127" s="59"/>
      <c r="CR127" s="59"/>
      <c r="CS127" s="59"/>
      <c r="CT127" s="59"/>
      <c r="CU127" s="59"/>
      <c r="CV127" s="59"/>
      <c r="CW127" s="59"/>
      <c r="CX127" s="59"/>
      <c r="CY127" s="59"/>
      <c r="CZ127" s="59"/>
      <c r="DA127" s="59"/>
    </row>
    <row r="128" customFormat="false" ht="12.75" hidden="false" customHeight="true" outlineLevel="0" collapsed="false">
      <c r="A128" s="115"/>
      <c r="B128" s="115"/>
      <c r="C128" s="115"/>
      <c r="D128" s="115"/>
      <c r="E128" s="115"/>
      <c r="F128" s="115"/>
      <c r="G128" s="115"/>
      <c r="H128" s="115"/>
      <c r="I128" s="59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  <c r="CL128" s="59"/>
      <c r="CM128" s="59"/>
      <c r="CN128" s="59"/>
      <c r="CO128" s="59"/>
      <c r="CP128" s="59"/>
      <c r="CQ128" s="59"/>
      <c r="CR128" s="59"/>
      <c r="CS128" s="59"/>
      <c r="CT128" s="59"/>
      <c r="CU128" s="59"/>
      <c r="CV128" s="59"/>
      <c r="CW128" s="59"/>
      <c r="CX128" s="59"/>
      <c r="CY128" s="59"/>
      <c r="CZ128" s="59"/>
      <c r="DA128" s="59"/>
    </row>
    <row r="129" customFormat="false" ht="18" hidden="false" customHeight="true" outlineLevel="0" collapsed="false">
      <c r="A129" s="115"/>
      <c r="B129" s="115"/>
      <c r="C129" s="115"/>
      <c r="D129" s="115"/>
      <c r="E129" s="115"/>
      <c r="F129" s="115"/>
      <c r="G129" s="115"/>
      <c r="H129" s="115"/>
      <c r="I129" s="59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  <c r="CH129" s="59"/>
      <c r="CI129" s="59"/>
      <c r="CJ129" s="59"/>
      <c r="CK129" s="59"/>
      <c r="CL129" s="59"/>
      <c r="CM129" s="59"/>
      <c r="CN129" s="59"/>
      <c r="CO129" s="59"/>
      <c r="CP129" s="59"/>
      <c r="CQ129" s="59"/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</row>
    <row r="130" customFormat="false" ht="18" hidden="false" customHeight="true" outlineLevel="0" collapsed="false">
      <c r="A130" s="115"/>
      <c r="B130" s="115"/>
      <c r="C130" s="115"/>
      <c r="D130" s="115"/>
      <c r="E130" s="115"/>
      <c r="F130" s="115"/>
      <c r="G130" s="115"/>
      <c r="H130" s="115"/>
      <c r="I130" s="59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  <c r="CH130" s="59"/>
      <c r="CI130" s="59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59"/>
      <c r="CZ130" s="59"/>
      <c r="DA130" s="59"/>
    </row>
    <row r="131" customFormat="false" ht="18" hidden="false" customHeight="true" outlineLevel="0" collapsed="false">
      <c r="A131" s="115"/>
      <c r="B131" s="115"/>
      <c r="C131" s="115"/>
      <c r="D131" s="115"/>
      <c r="E131" s="115"/>
      <c r="F131" s="115"/>
      <c r="G131" s="115"/>
      <c r="H131" s="115"/>
      <c r="I131" s="59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  <c r="CH131" s="59"/>
      <c r="CI131" s="59"/>
      <c r="CJ131" s="59"/>
      <c r="CK131" s="59"/>
      <c r="CL131" s="59"/>
      <c r="CM131" s="59"/>
      <c r="CN131" s="59"/>
      <c r="CO131" s="59"/>
      <c r="CP131" s="59"/>
      <c r="CQ131" s="59"/>
      <c r="CR131" s="59"/>
      <c r="CS131" s="59"/>
      <c r="CT131" s="59"/>
      <c r="CU131" s="59"/>
      <c r="CV131" s="59"/>
      <c r="CW131" s="59"/>
      <c r="CX131" s="59"/>
      <c r="CY131" s="59"/>
      <c r="CZ131" s="59"/>
      <c r="DA131" s="59"/>
    </row>
    <row r="132" customFormat="false" ht="12.75" hidden="false" customHeight="true" outlineLevel="0" collapsed="false">
      <c r="A132" s="115"/>
      <c r="B132" s="115"/>
      <c r="C132" s="115"/>
      <c r="D132" s="115"/>
      <c r="E132" s="115"/>
      <c r="F132" s="115"/>
      <c r="G132" s="115"/>
      <c r="H132" s="115"/>
      <c r="I132" s="59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  <c r="CL132" s="59"/>
      <c r="CM132" s="59"/>
      <c r="CN132" s="59"/>
      <c r="CO132" s="59"/>
      <c r="CP132" s="59"/>
      <c r="CQ132" s="59"/>
      <c r="CR132" s="59"/>
      <c r="CS132" s="59"/>
      <c r="CT132" s="59"/>
      <c r="CU132" s="59"/>
      <c r="CV132" s="59"/>
      <c r="CW132" s="59"/>
      <c r="CX132" s="59"/>
      <c r="CY132" s="59"/>
      <c r="CZ132" s="59"/>
      <c r="DA132" s="59"/>
    </row>
    <row r="133" customFormat="false" ht="15.75" hidden="false" customHeight="true" outlineLevel="0" collapsed="false">
      <c r="A133" s="115"/>
      <c r="B133" s="115"/>
      <c r="C133" s="115"/>
      <c r="D133" s="115"/>
      <c r="E133" s="115"/>
      <c r="F133" s="115"/>
      <c r="G133" s="115"/>
      <c r="H133" s="115"/>
      <c r="I133" s="59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  <c r="CH133" s="59"/>
      <c r="CI133" s="59"/>
      <c r="CJ133" s="59"/>
      <c r="CK133" s="59"/>
      <c r="CL133" s="59"/>
      <c r="CM133" s="59"/>
      <c r="CN133" s="59"/>
      <c r="CO133" s="59"/>
      <c r="CP133" s="59"/>
      <c r="CQ133" s="59"/>
      <c r="CR133" s="59"/>
      <c r="CS133" s="59"/>
      <c r="CT133" s="59"/>
      <c r="CU133" s="59"/>
      <c r="CV133" s="59"/>
      <c r="CW133" s="59"/>
      <c r="CX133" s="59"/>
      <c r="CY133" s="59"/>
      <c r="CZ133" s="59"/>
      <c r="DA133" s="59"/>
    </row>
    <row r="134" customFormat="false" ht="12.75" hidden="false" customHeight="true" outlineLevel="0" collapsed="false">
      <c r="A134" s="115"/>
      <c r="B134" s="115"/>
      <c r="C134" s="115"/>
      <c r="D134" s="115"/>
      <c r="E134" s="115"/>
      <c r="F134" s="115"/>
      <c r="G134" s="115"/>
      <c r="H134" s="115"/>
      <c r="I134" s="59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  <c r="CH134" s="59"/>
      <c r="CI134" s="59"/>
      <c r="CJ134" s="59"/>
      <c r="CK134" s="59"/>
      <c r="CL134" s="59"/>
      <c r="CM134" s="59"/>
      <c r="CN134" s="59"/>
      <c r="CO134" s="59"/>
      <c r="CP134" s="59"/>
      <c r="CQ134" s="59"/>
      <c r="CR134" s="59"/>
      <c r="CS134" s="59"/>
      <c r="CT134" s="59"/>
      <c r="CU134" s="59"/>
      <c r="CV134" s="59"/>
      <c r="CW134" s="59"/>
      <c r="CX134" s="59"/>
      <c r="CY134" s="59"/>
      <c r="CZ134" s="59"/>
      <c r="DA134" s="59"/>
    </row>
    <row r="135" customFormat="false" ht="12.75" hidden="false" customHeight="true" outlineLevel="0" collapsed="false">
      <c r="A135" s="115"/>
      <c r="B135" s="115"/>
      <c r="C135" s="115"/>
      <c r="D135" s="115"/>
      <c r="E135" s="115"/>
      <c r="F135" s="115"/>
      <c r="G135" s="115"/>
      <c r="H135" s="115"/>
      <c r="I135" s="59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  <c r="CH135" s="59"/>
      <c r="CI135" s="59"/>
      <c r="CJ135" s="59"/>
      <c r="CK135" s="59"/>
      <c r="CL135" s="59"/>
      <c r="CM135" s="59"/>
      <c r="CN135" s="59"/>
      <c r="CO135" s="59"/>
      <c r="CP135" s="59"/>
      <c r="CQ135" s="59"/>
      <c r="CR135" s="59"/>
      <c r="CS135" s="59"/>
      <c r="CT135" s="59"/>
      <c r="CU135" s="59"/>
      <c r="CV135" s="59"/>
      <c r="CW135" s="59"/>
      <c r="CX135" s="59"/>
      <c r="CY135" s="59"/>
      <c r="CZ135" s="59"/>
      <c r="DA135" s="59"/>
    </row>
    <row r="136" customFormat="false" ht="12.75" hidden="false" customHeight="true" outlineLevel="0" collapsed="false">
      <c r="A136" s="115"/>
      <c r="B136" s="115"/>
      <c r="C136" s="115"/>
      <c r="D136" s="115"/>
      <c r="E136" s="115"/>
      <c r="F136" s="115"/>
      <c r="G136" s="115"/>
      <c r="H136" s="115"/>
      <c r="I136" s="59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  <c r="CL136" s="59"/>
      <c r="CM136" s="59"/>
      <c r="CN136" s="59"/>
      <c r="CO136" s="59"/>
      <c r="CP136" s="59"/>
      <c r="CQ136" s="59"/>
      <c r="CR136" s="59"/>
      <c r="CS136" s="59"/>
      <c r="CT136" s="59"/>
      <c r="CU136" s="59"/>
      <c r="CV136" s="59"/>
      <c r="CW136" s="59"/>
      <c r="CX136" s="59"/>
      <c r="CY136" s="59"/>
      <c r="CZ136" s="59"/>
      <c r="DA136" s="59"/>
    </row>
    <row r="137" customFormat="false" ht="12.75" hidden="false" customHeight="true" outlineLevel="0" collapsed="false">
      <c r="A137" s="115"/>
      <c r="B137" s="115"/>
      <c r="C137" s="115"/>
      <c r="D137" s="115"/>
      <c r="E137" s="115"/>
      <c r="F137" s="115"/>
      <c r="G137" s="115"/>
      <c r="H137" s="115"/>
      <c r="I137" s="59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/>
      <c r="CT137" s="59"/>
      <c r="CU137" s="59"/>
      <c r="CV137" s="59"/>
      <c r="CW137" s="59"/>
      <c r="CX137" s="59"/>
      <c r="CY137" s="59"/>
      <c r="CZ137" s="59"/>
      <c r="DA137" s="59"/>
    </row>
    <row r="138" customFormat="false" ht="12.75" hidden="false" customHeight="true" outlineLevel="0" collapsed="false">
      <c r="A138" s="115"/>
      <c r="B138" s="115"/>
      <c r="C138" s="115"/>
      <c r="D138" s="115"/>
      <c r="E138" s="115"/>
      <c r="F138" s="115"/>
      <c r="G138" s="115"/>
      <c r="H138" s="115"/>
      <c r="I138" s="59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/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</row>
    <row r="139" customFormat="false" ht="12.75" hidden="false" customHeight="true" outlineLevel="0" collapsed="false">
      <c r="A139" s="115"/>
      <c r="B139" s="115"/>
      <c r="C139" s="115"/>
      <c r="D139" s="115"/>
      <c r="E139" s="115"/>
      <c r="F139" s="115"/>
      <c r="G139" s="115"/>
      <c r="H139" s="115"/>
      <c r="I139" s="59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</row>
    <row r="140" customFormat="false" ht="12.75" hidden="false" customHeight="true" outlineLevel="0" collapsed="false">
      <c r="A140" s="115"/>
      <c r="B140" s="115"/>
      <c r="C140" s="115"/>
      <c r="D140" s="115"/>
      <c r="E140" s="115"/>
      <c r="F140" s="115"/>
      <c r="G140" s="115"/>
      <c r="H140" s="115"/>
      <c r="I140" s="59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</row>
    <row r="141" customFormat="false" ht="12.75" hidden="false" customHeight="true" outlineLevel="0" collapsed="false">
      <c r="A141" s="115"/>
      <c r="B141" s="115"/>
      <c r="C141" s="115"/>
      <c r="D141" s="115"/>
      <c r="E141" s="115"/>
      <c r="F141" s="115"/>
      <c r="G141" s="115"/>
      <c r="H141" s="115"/>
      <c r="I141" s="59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</row>
    <row r="142" customFormat="false" ht="12.75" hidden="false" customHeight="true" outlineLevel="0" collapsed="false">
      <c r="A142" s="115"/>
      <c r="B142" s="115"/>
      <c r="C142" s="115"/>
      <c r="D142" s="115"/>
      <c r="E142" s="115"/>
      <c r="F142" s="115"/>
      <c r="G142" s="115"/>
      <c r="H142" s="115"/>
      <c r="I142" s="59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</row>
    <row r="143" customFormat="false" ht="12.75" hidden="false" customHeight="true" outlineLevel="0" collapsed="false">
      <c r="A143" s="115"/>
      <c r="B143" s="115"/>
      <c r="C143" s="115"/>
      <c r="D143" s="115"/>
      <c r="E143" s="115"/>
      <c r="F143" s="115"/>
      <c r="G143" s="115"/>
      <c r="H143" s="115"/>
      <c r="I143" s="59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</row>
    <row r="144" customFormat="false" ht="12.75" hidden="false" customHeight="true" outlineLevel="0" collapsed="false">
      <c r="A144" s="115"/>
      <c r="B144" s="115"/>
      <c r="C144" s="115"/>
      <c r="D144" s="115"/>
      <c r="E144" s="115"/>
      <c r="F144" s="115"/>
      <c r="G144" s="115"/>
      <c r="H144" s="115"/>
      <c r="I144" s="59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  <c r="CL144" s="59"/>
      <c r="CM144" s="59"/>
      <c r="CN144" s="59"/>
      <c r="CO144" s="59"/>
      <c r="CP144" s="59"/>
      <c r="CQ144" s="59"/>
      <c r="CR144" s="59"/>
      <c r="CS144" s="59"/>
      <c r="CT144" s="59"/>
      <c r="CU144" s="59"/>
      <c r="CV144" s="59"/>
      <c r="CW144" s="59"/>
      <c r="CX144" s="59"/>
      <c r="CY144" s="59"/>
      <c r="CZ144" s="59"/>
      <c r="DA144" s="59"/>
    </row>
    <row r="145" customFormat="false" ht="12.75" hidden="false" customHeight="true" outlineLevel="0" collapsed="false">
      <c r="A145" s="115"/>
      <c r="B145" s="115"/>
      <c r="C145" s="115"/>
      <c r="D145" s="115"/>
      <c r="E145" s="115"/>
      <c r="F145" s="115"/>
      <c r="G145" s="115"/>
      <c r="H145" s="115"/>
      <c r="I145" s="59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  <c r="CL145" s="59"/>
      <c r="CM145" s="59"/>
      <c r="CN145" s="59"/>
      <c r="CO145" s="59"/>
      <c r="CP145" s="59"/>
      <c r="CQ145" s="59"/>
      <c r="CR145" s="59"/>
      <c r="CS145" s="59"/>
      <c r="CT145" s="59"/>
      <c r="CU145" s="59"/>
      <c r="CV145" s="59"/>
      <c r="CW145" s="59"/>
      <c r="CX145" s="59"/>
      <c r="CY145" s="59"/>
      <c r="CZ145" s="59"/>
      <c r="DA145" s="59"/>
    </row>
    <row r="146" customFormat="false" ht="12.75" hidden="false" customHeight="true" outlineLevel="0" collapsed="false">
      <c r="A146" s="115"/>
      <c r="B146" s="115"/>
      <c r="C146" s="115"/>
      <c r="D146" s="115"/>
      <c r="E146" s="115"/>
      <c r="F146" s="115"/>
      <c r="G146" s="115"/>
      <c r="H146" s="115"/>
      <c r="I146" s="59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  <c r="CW146" s="59"/>
      <c r="CX146" s="59"/>
      <c r="CY146" s="59"/>
      <c r="CZ146" s="59"/>
      <c r="DA146" s="59"/>
    </row>
    <row r="147" customFormat="false" ht="12.75" hidden="false" customHeight="true" outlineLevel="0" collapsed="false">
      <c r="A147" s="115"/>
      <c r="B147" s="115"/>
      <c r="C147" s="115"/>
      <c r="D147" s="115"/>
      <c r="E147" s="115"/>
      <c r="F147" s="115"/>
      <c r="G147" s="115"/>
      <c r="H147" s="115"/>
      <c r="I147" s="59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  <c r="CL147" s="59"/>
      <c r="CM147" s="59"/>
      <c r="CN147" s="59"/>
      <c r="CO147" s="59"/>
      <c r="CP147" s="59"/>
      <c r="CQ147" s="59"/>
      <c r="CR147" s="59"/>
      <c r="CS147" s="59"/>
      <c r="CT147" s="59"/>
      <c r="CU147" s="59"/>
      <c r="CV147" s="59"/>
      <c r="CW147" s="59"/>
      <c r="CX147" s="59"/>
      <c r="CY147" s="59"/>
      <c r="CZ147" s="59"/>
      <c r="DA147" s="59"/>
    </row>
    <row r="148" customFormat="false" ht="12.75" hidden="false" customHeight="true" outlineLevel="0" collapsed="false">
      <c r="A148" s="115"/>
      <c r="B148" s="115"/>
      <c r="C148" s="115"/>
      <c r="D148" s="115"/>
      <c r="E148" s="115"/>
      <c r="F148" s="115"/>
      <c r="G148" s="115"/>
      <c r="H148" s="115"/>
      <c r="I148" s="59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</row>
    <row r="149" customFormat="false" ht="12.75" hidden="false" customHeight="true" outlineLevel="0" collapsed="false">
      <c r="A149" s="115"/>
      <c r="B149" s="115"/>
      <c r="C149" s="115"/>
      <c r="D149" s="115"/>
      <c r="E149" s="115"/>
      <c r="F149" s="115"/>
      <c r="G149" s="115"/>
      <c r="H149" s="115"/>
      <c r="I149" s="59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</row>
    <row r="150" customFormat="false" ht="12.75" hidden="false" customHeight="true" outlineLevel="0" collapsed="false">
      <c r="A150" s="115"/>
      <c r="B150" s="115"/>
      <c r="C150" s="115"/>
      <c r="D150" s="115"/>
      <c r="E150" s="115"/>
      <c r="F150" s="115"/>
      <c r="G150" s="115"/>
      <c r="H150" s="115"/>
      <c r="I150" s="59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  <c r="CL150" s="59"/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</row>
    <row r="151" customFormat="false" ht="12.75" hidden="false" customHeight="true" outlineLevel="0" collapsed="false">
      <c r="A151" s="115"/>
      <c r="B151" s="115"/>
      <c r="C151" s="115"/>
      <c r="D151" s="115"/>
      <c r="E151" s="115"/>
      <c r="F151" s="115"/>
      <c r="G151" s="115"/>
      <c r="H151" s="115"/>
      <c r="I151" s="59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</row>
    <row r="152" customFormat="false" ht="12.75" hidden="false" customHeight="true" outlineLevel="0" collapsed="false">
      <c r="A152" s="115"/>
      <c r="B152" s="115"/>
      <c r="C152" s="115"/>
      <c r="D152" s="115"/>
      <c r="E152" s="115"/>
      <c r="F152" s="115"/>
      <c r="G152" s="115"/>
      <c r="H152" s="115"/>
      <c r="I152" s="59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</row>
    <row r="153" customFormat="false" ht="12.75" hidden="false" customHeight="true" outlineLevel="0" collapsed="false">
      <c r="A153" s="115"/>
      <c r="B153" s="115"/>
      <c r="C153" s="115"/>
      <c r="D153" s="115"/>
      <c r="E153" s="115"/>
      <c r="F153" s="115"/>
      <c r="G153" s="115"/>
      <c r="H153" s="115"/>
      <c r="I153" s="59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</row>
    <row r="154" customFormat="false" ht="12.75" hidden="false" customHeight="true" outlineLevel="0" collapsed="false">
      <c r="A154" s="115"/>
      <c r="B154" s="115"/>
      <c r="C154" s="115"/>
      <c r="D154" s="115"/>
      <c r="E154" s="115"/>
      <c r="F154" s="115"/>
      <c r="G154" s="115"/>
      <c r="H154" s="115"/>
      <c r="I154" s="59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</row>
    <row r="155" customFormat="false" ht="12.75" hidden="false" customHeight="true" outlineLevel="0" collapsed="false">
      <c r="A155" s="115"/>
      <c r="B155" s="115"/>
      <c r="C155" s="115"/>
      <c r="D155" s="115"/>
      <c r="E155" s="115"/>
      <c r="F155" s="115"/>
      <c r="G155" s="115"/>
      <c r="H155" s="115"/>
      <c r="I155" s="59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</row>
    <row r="156" customFormat="false" ht="12.75" hidden="false" customHeight="true" outlineLevel="0" collapsed="false">
      <c r="A156" s="115"/>
      <c r="B156" s="115"/>
      <c r="C156" s="115"/>
      <c r="D156" s="115"/>
      <c r="E156" s="115"/>
      <c r="F156" s="115"/>
      <c r="G156" s="115"/>
      <c r="H156" s="115"/>
      <c r="I156" s="59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</row>
    <row r="157" customFormat="false" ht="12.75" hidden="false" customHeight="true" outlineLevel="0" collapsed="false">
      <c r="A157" s="115"/>
      <c r="B157" s="115"/>
      <c r="C157" s="115"/>
      <c r="D157" s="115"/>
      <c r="E157" s="115"/>
      <c r="F157" s="115"/>
      <c r="G157" s="115"/>
      <c r="H157" s="115"/>
      <c r="I157" s="59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</row>
    <row r="158" customFormat="false" ht="12.75" hidden="false" customHeight="true" outlineLevel="0" collapsed="false">
      <c r="A158" s="115"/>
      <c r="B158" s="115"/>
      <c r="C158" s="115"/>
      <c r="D158" s="115"/>
      <c r="E158" s="115"/>
      <c r="F158" s="115"/>
      <c r="G158" s="115"/>
      <c r="H158" s="115"/>
      <c r="I158" s="59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</row>
    <row r="159" customFormat="false" ht="12.75" hidden="false" customHeight="true" outlineLevel="0" collapsed="false">
      <c r="A159" s="115"/>
      <c r="B159" s="115"/>
      <c r="C159" s="115"/>
      <c r="D159" s="115"/>
      <c r="E159" s="115"/>
      <c r="F159" s="115"/>
      <c r="G159" s="115"/>
      <c r="H159" s="115"/>
      <c r="I159" s="59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</row>
    <row r="160" customFormat="false" ht="12.75" hidden="false" customHeight="true" outlineLevel="0" collapsed="false">
      <c r="A160" s="115"/>
      <c r="B160" s="115"/>
      <c r="C160" s="115"/>
      <c r="D160" s="115"/>
      <c r="E160" s="115"/>
      <c r="F160" s="115"/>
      <c r="G160" s="115"/>
      <c r="H160" s="115"/>
      <c r="I160" s="59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59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</row>
    <row r="161" customFormat="false" ht="12.75" hidden="false" customHeight="true" outlineLevel="0" collapsed="false">
      <c r="A161" s="115"/>
      <c r="B161" s="115"/>
      <c r="C161" s="115"/>
      <c r="D161" s="115"/>
      <c r="E161" s="115"/>
      <c r="F161" s="115"/>
      <c r="G161" s="115"/>
      <c r="H161" s="115"/>
      <c r="I161" s="59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59"/>
      <c r="CG161" s="59"/>
      <c r="CH161" s="59"/>
      <c r="CI161" s="59"/>
      <c r="CJ161" s="59"/>
      <c r="CK161" s="59"/>
      <c r="CL161" s="59"/>
      <c r="CM161" s="59"/>
      <c r="CN161" s="59"/>
      <c r="CO161" s="59"/>
      <c r="CP161" s="59"/>
      <c r="CQ161" s="59"/>
      <c r="CR161" s="59"/>
      <c r="CS161" s="59"/>
      <c r="CT161" s="59"/>
      <c r="CU161" s="59"/>
      <c r="CV161" s="59"/>
      <c r="CW161" s="59"/>
      <c r="CX161" s="59"/>
      <c r="CY161" s="59"/>
      <c r="CZ161" s="59"/>
      <c r="DA161" s="59"/>
    </row>
    <row r="162" customFormat="false" ht="12.75" hidden="false" customHeight="true" outlineLevel="0" collapsed="false">
      <c r="A162" s="115"/>
      <c r="B162" s="115"/>
      <c r="C162" s="115"/>
      <c r="D162" s="115"/>
      <c r="E162" s="115"/>
      <c r="F162" s="115"/>
      <c r="G162" s="115"/>
      <c r="H162" s="115"/>
      <c r="I162" s="59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/>
      <c r="CJ162" s="59"/>
      <c r="CK162" s="59"/>
      <c r="CL162" s="59"/>
      <c r="CM162" s="59"/>
      <c r="CN162" s="59"/>
      <c r="CO162" s="59"/>
      <c r="CP162" s="59"/>
      <c r="CQ162" s="59"/>
      <c r="CR162" s="59"/>
      <c r="CS162" s="59"/>
      <c r="CT162" s="59"/>
      <c r="CU162" s="59"/>
      <c r="CV162" s="59"/>
      <c r="CW162" s="59"/>
      <c r="CX162" s="59"/>
      <c r="CY162" s="59"/>
      <c r="CZ162" s="59"/>
      <c r="DA162" s="59"/>
    </row>
    <row r="163" customFormat="false" ht="12.75" hidden="false" customHeight="true" outlineLevel="0" collapsed="false">
      <c r="A163" s="115"/>
      <c r="B163" s="115"/>
      <c r="C163" s="115"/>
      <c r="D163" s="115"/>
      <c r="E163" s="115"/>
      <c r="F163" s="115"/>
      <c r="G163" s="115"/>
      <c r="H163" s="115"/>
      <c r="I163" s="59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  <c r="CL163" s="59"/>
      <c r="CM163" s="59"/>
      <c r="CN163" s="59"/>
      <c r="CO163" s="59"/>
      <c r="CP163" s="59"/>
      <c r="CQ163" s="59"/>
      <c r="CR163" s="59"/>
      <c r="CS163" s="59"/>
      <c r="CT163" s="59"/>
      <c r="CU163" s="59"/>
      <c r="CV163" s="59"/>
      <c r="CW163" s="59"/>
      <c r="CX163" s="59"/>
      <c r="CY163" s="59"/>
      <c r="CZ163" s="59"/>
      <c r="DA163" s="59"/>
    </row>
    <row r="164" customFormat="false" ht="12.75" hidden="false" customHeight="true" outlineLevel="0" collapsed="false">
      <c r="A164" s="115"/>
      <c r="B164" s="115"/>
      <c r="C164" s="115"/>
      <c r="D164" s="115"/>
      <c r="E164" s="115"/>
      <c r="F164" s="115"/>
      <c r="G164" s="115"/>
      <c r="H164" s="115"/>
      <c r="I164" s="59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</row>
    <row r="165" customFormat="false" ht="12.75" hidden="false" customHeight="true" outlineLevel="0" collapsed="false">
      <c r="A165" s="115"/>
      <c r="B165" s="115"/>
      <c r="C165" s="115"/>
      <c r="D165" s="115"/>
      <c r="E165" s="115"/>
      <c r="F165" s="115"/>
      <c r="G165" s="115"/>
      <c r="H165" s="115"/>
      <c r="I165" s="59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</row>
    <row r="166" customFormat="false" ht="12.75" hidden="false" customHeight="true" outlineLevel="0" collapsed="false">
      <c r="A166" s="115"/>
      <c r="B166" s="115"/>
      <c r="C166" s="115"/>
      <c r="D166" s="115"/>
      <c r="E166" s="115"/>
      <c r="F166" s="115"/>
      <c r="G166" s="115"/>
      <c r="H166" s="115"/>
      <c r="I166" s="59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  <c r="CL166" s="59"/>
      <c r="CM166" s="59"/>
      <c r="CN166" s="59"/>
      <c r="CO166" s="59"/>
      <c r="CP166" s="59"/>
      <c r="CQ166" s="59"/>
      <c r="CR166" s="59"/>
      <c r="CS166" s="59"/>
      <c r="CT166" s="59"/>
      <c r="CU166" s="59"/>
      <c r="CV166" s="59"/>
      <c r="CW166" s="59"/>
      <c r="CX166" s="59"/>
      <c r="CY166" s="59"/>
      <c r="CZ166" s="59"/>
      <c r="DA166" s="59"/>
    </row>
    <row r="167" customFormat="false" ht="12.75" hidden="false" customHeight="true" outlineLevel="0" collapsed="false">
      <c r="A167" s="115"/>
      <c r="B167" s="115"/>
      <c r="C167" s="115"/>
      <c r="D167" s="115"/>
      <c r="E167" s="115"/>
      <c r="F167" s="115"/>
      <c r="G167" s="115"/>
      <c r="H167" s="115"/>
      <c r="I167" s="59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  <c r="CL167" s="59"/>
      <c r="CM167" s="59"/>
      <c r="CN167" s="59"/>
      <c r="CO167" s="59"/>
      <c r="CP167" s="59"/>
      <c r="CQ167" s="59"/>
      <c r="CR167" s="59"/>
      <c r="CS167" s="59"/>
      <c r="CT167" s="59"/>
      <c r="CU167" s="59"/>
      <c r="CV167" s="59"/>
      <c r="CW167" s="59"/>
      <c r="CX167" s="59"/>
      <c r="CY167" s="59"/>
      <c r="CZ167" s="59"/>
      <c r="DA167" s="59"/>
    </row>
    <row r="168" customFormat="false" ht="12.75" hidden="false" customHeight="true" outlineLevel="0" collapsed="false">
      <c r="A168" s="115"/>
      <c r="B168" s="115"/>
      <c r="C168" s="115"/>
      <c r="D168" s="115"/>
      <c r="E168" s="115"/>
      <c r="F168" s="115"/>
      <c r="G168" s="115"/>
      <c r="H168" s="115"/>
      <c r="I168" s="59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</row>
    <row r="169" customFormat="false" ht="12.75" hidden="false" customHeight="true" outlineLevel="0" collapsed="false">
      <c r="A169" s="115"/>
      <c r="B169" s="115"/>
      <c r="C169" s="115"/>
      <c r="D169" s="115"/>
      <c r="E169" s="115"/>
      <c r="F169" s="115"/>
      <c r="G169" s="115"/>
      <c r="H169" s="115"/>
      <c r="I169" s="59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</row>
    <row r="170" customFormat="false" ht="12.75" hidden="false" customHeight="true" outlineLevel="0" collapsed="false">
      <c r="A170" s="115"/>
      <c r="B170" s="115"/>
      <c r="C170" s="115"/>
      <c r="D170" s="115"/>
      <c r="E170" s="115"/>
      <c r="F170" s="115"/>
      <c r="G170" s="115"/>
      <c r="H170" s="115"/>
      <c r="I170" s="59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</row>
    <row r="171" customFormat="false" ht="12.75" hidden="false" customHeight="true" outlineLevel="0" collapsed="false">
      <c r="A171" s="115"/>
      <c r="B171" s="115"/>
      <c r="C171" s="115"/>
      <c r="D171" s="115"/>
      <c r="E171" s="115"/>
      <c r="F171" s="115"/>
      <c r="G171" s="115"/>
      <c r="H171" s="115"/>
      <c r="I171" s="59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</row>
    <row r="172" customFormat="false" ht="12.75" hidden="false" customHeight="true" outlineLevel="0" collapsed="false">
      <c r="A172" s="115"/>
      <c r="B172" s="115"/>
      <c r="C172" s="115"/>
      <c r="D172" s="115"/>
      <c r="E172" s="115"/>
      <c r="F172" s="115"/>
      <c r="G172" s="115"/>
      <c r="H172" s="115"/>
      <c r="I172" s="59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</row>
    <row r="173" customFormat="false" ht="12.75" hidden="false" customHeight="true" outlineLevel="0" collapsed="false">
      <c r="A173" s="115"/>
      <c r="B173" s="115"/>
      <c r="C173" s="115"/>
      <c r="D173" s="115"/>
      <c r="E173" s="115"/>
      <c r="F173" s="115"/>
      <c r="G173" s="115"/>
      <c r="H173" s="115"/>
      <c r="I173" s="59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</row>
    <row r="174" customFormat="false" ht="12.75" hidden="false" customHeight="true" outlineLevel="0" collapsed="false">
      <c r="A174" s="115"/>
      <c r="B174" s="115"/>
      <c r="C174" s="115"/>
      <c r="D174" s="115"/>
      <c r="E174" s="115"/>
      <c r="F174" s="115"/>
      <c r="G174" s="115"/>
      <c r="H174" s="115"/>
      <c r="I174" s="59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  <c r="CL174" s="59"/>
      <c r="CM174" s="59"/>
      <c r="CN174" s="59"/>
      <c r="CO174" s="59"/>
      <c r="CP174" s="59"/>
      <c r="CQ174" s="59"/>
      <c r="CR174" s="59"/>
      <c r="CS174" s="59"/>
      <c r="CT174" s="59"/>
      <c r="CU174" s="59"/>
      <c r="CV174" s="59"/>
      <c r="CW174" s="59"/>
      <c r="CX174" s="59"/>
      <c r="CY174" s="59"/>
      <c r="CZ174" s="59"/>
      <c r="DA174" s="59"/>
    </row>
    <row r="175" customFormat="false" ht="12.75" hidden="false" customHeight="true" outlineLevel="0" collapsed="false">
      <c r="A175" s="115"/>
      <c r="B175" s="115"/>
      <c r="C175" s="115"/>
      <c r="D175" s="115"/>
      <c r="E175" s="115"/>
      <c r="F175" s="115"/>
      <c r="G175" s="115"/>
      <c r="H175" s="115"/>
      <c r="I175" s="59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</row>
    <row r="176" customFormat="false" ht="12.75" hidden="false" customHeight="true" outlineLevel="0" collapsed="false">
      <c r="A176" s="115"/>
      <c r="B176" s="115"/>
      <c r="C176" s="115"/>
      <c r="D176" s="115"/>
      <c r="E176" s="115"/>
      <c r="F176" s="115"/>
      <c r="G176" s="115"/>
      <c r="H176" s="115"/>
      <c r="I176" s="59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  <c r="CL176" s="59"/>
      <c r="CM176" s="59"/>
      <c r="CN176" s="59"/>
      <c r="CO176" s="59"/>
      <c r="CP176" s="59"/>
      <c r="CQ176" s="59"/>
      <c r="CR176" s="59"/>
      <c r="CS176" s="59"/>
      <c r="CT176" s="59"/>
      <c r="CU176" s="59"/>
      <c r="CV176" s="59"/>
      <c r="CW176" s="59"/>
      <c r="CX176" s="59"/>
      <c r="CY176" s="59"/>
      <c r="CZ176" s="59"/>
      <c r="DA176" s="59"/>
    </row>
    <row r="177" customFormat="false" ht="12.75" hidden="false" customHeight="true" outlineLevel="0" collapsed="false">
      <c r="A177" s="115"/>
      <c r="B177" s="115"/>
      <c r="C177" s="115"/>
      <c r="D177" s="115"/>
      <c r="E177" s="115"/>
      <c r="F177" s="115"/>
      <c r="G177" s="115"/>
      <c r="H177" s="115"/>
      <c r="I177" s="59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</row>
    <row r="178" customFormat="false" ht="12.75" hidden="false" customHeight="true" outlineLevel="0" collapsed="false">
      <c r="A178" s="115"/>
      <c r="B178" s="115"/>
      <c r="C178" s="115"/>
      <c r="D178" s="115"/>
      <c r="E178" s="115"/>
      <c r="F178" s="115"/>
      <c r="G178" s="115"/>
      <c r="H178" s="115"/>
      <c r="I178" s="59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</row>
    <row r="179" customFormat="false" ht="12.75" hidden="false" customHeight="true" outlineLevel="0" collapsed="false">
      <c r="A179" s="115"/>
      <c r="B179" s="115"/>
      <c r="C179" s="115"/>
      <c r="D179" s="115"/>
      <c r="E179" s="115"/>
      <c r="F179" s="115"/>
      <c r="G179" s="115"/>
      <c r="H179" s="115"/>
      <c r="I179" s="59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</row>
    <row r="180" customFormat="false" ht="12.75" hidden="false" customHeight="true" outlineLevel="0" collapsed="false">
      <c r="A180" s="115"/>
      <c r="B180" s="115"/>
      <c r="C180" s="115"/>
      <c r="D180" s="115"/>
      <c r="E180" s="115"/>
      <c r="F180" s="115"/>
      <c r="G180" s="115"/>
      <c r="H180" s="115"/>
      <c r="I180" s="59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  <c r="CH180" s="59"/>
      <c r="CI180" s="59"/>
      <c r="CJ180" s="59"/>
      <c r="CK180" s="59"/>
      <c r="CL180" s="59"/>
      <c r="CM180" s="59"/>
      <c r="CN180" s="59"/>
      <c r="CO180" s="59"/>
      <c r="CP180" s="59"/>
      <c r="CQ180" s="59"/>
      <c r="CR180" s="59"/>
      <c r="CS180" s="59"/>
      <c r="CT180" s="59"/>
      <c r="CU180" s="59"/>
      <c r="CV180" s="59"/>
      <c r="CW180" s="59"/>
      <c r="CX180" s="59"/>
      <c r="CY180" s="59"/>
      <c r="CZ180" s="59"/>
      <c r="DA180" s="59"/>
    </row>
    <row r="181" customFormat="false" ht="12.75" hidden="false" customHeight="true" outlineLevel="0" collapsed="false">
      <c r="A181" s="115"/>
      <c r="B181" s="115"/>
      <c r="C181" s="115"/>
      <c r="D181" s="115"/>
      <c r="E181" s="115"/>
      <c r="F181" s="115"/>
      <c r="G181" s="115"/>
      <c r="H181" s="115"/>
      <c r="I181" s="59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  <c r="CL181" s="59"/>
      <c r="CM181" s="59"/>
      <c r="CN181" s="59"/>
      <c r="CO181" s="59"/>
      <c r="CP181" s="59"/>
      <c r="CQ181" s="59"/>
      <c r="CR181" s="59"/>
      <c r="CS181" s="59"/>
      <c r="CT181" s="59"/>
      <c r="CU181" s="59"/>
      <c r="CV181" s="59"/>
      <c r="CW181" s="59"/>
      <c r="CX181" s="59"/>
      <c r="CY181" s="59"/>
      <c r="CZ181" s="59"/>
      <c r="DA181" s="59"/>
    </row>
    <row r="182" customFormat="false" ht="12.75" hidden="false" customHeight="true" outlineLevel="0" collapsed="false">
      <c r="A182" s="115"/>
      <c r="B182" s="115"/>
      <c r="C182" s="115"/>
      <c r="D182" s="115"/>
      <c r="E182" s="115"/>
      <c r="F182" s="115"/>
      <c r="G182" s="115"/>
      <c r="H182" s="115"/>
      <c r="I182" s="59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  <c r="CH182" s="59"/>
      <c r="CI182" s="59"/>
      <c r="CJ182" s="59"/>
      <c r="CK182" s="59"/>
      <c r="CL182" s="59"/>
      <c r="CM182" s="59"/>
      <c r="CN182" s="59"/>
      <c r="CO182" s="59"/>
      <c r="CP182" s="59"/>
      <c r="CQ182" s="59"/>
      <c r="CR182" s="59"/>
      <c r="CS182" s="59"/>
      <c r="CT182" s="59"/>
      <c r="CU182" s="59"/>
      <c r="CV182" s="59"/>
      <c r="CW182" s="59"/>
      <c r="CX182" s="59"/>
      <c r="CY182" s="59"/>
      <c r="CZ182" s="59"/>
      <c r="DA182" s="59"/>
    </row>
    <row r="183" customFormat="false" ht="12.75" hidden="false" customHeight="true" outlineLevel="0" collapsed="false">
      <c r="A183" s="115"/>
      <c r="B183" s="115"/>
      <c r="C183" s="115"/>
      <c r="D183" s="115"/>
      <c r="E183" s="115"/>
      <c r="F183" s="115"/>
      <c r="G183" s="115"/>
      <c r="H183" s="115"/>
      <c r="I183" s="59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59"/>
      <c r="CN183" s="59"/>
      <c r="CO183" s="59"/>
      <c r="CP183" s="59"/>
      <c r="CQ183" s="59"/>
      <c r="CR183" s="59"/>
      <c r="CS183" s="59"/>
      <c r="CT183" s="59"/>
      <c r="CU183" s="59"/>
      <c r="CV183" s="59"/>
      <c r="CW183" s="59"/>
      <c r="CX183" s="59"/>
      <c r="CY183" s="59"/>
      <c r="CZ183" s="59"/>
      <c r="DA183" s="59"/>
    </row>
    <row r="184" customFormat="false" ht="12.75" hidden="false" customHeight="true" outlineLevel="0" collapsed="false">
      <c r="A184" s="115"/>
      <c r="B184" s="115"/>
      <c r="C184" s="115"/>
      <c r="D184" s="115"/>
      <c r="E184" s="115"/>
      <c r="F184" s="115"/>
      <c r="G184" s="115"/>
      <c r="H184" s="115"/>
      <c r="I184" s="59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  <c r="CH184" s="59"/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</row>
    <row r="185" customFormat="false" ht="12.75" hidden="false" customHeight="true" outlineLevel="0" collapsed="false">
      <c r="A185" s="115"/>
      <c r="B185" s="115"/>
      <c r="C185" s="115"/>
      <c r="D185" s="115"/>
      <c r="E185" s="115"/>
      <c r="F185" s="115"/>
      <c r="G185" s="115"/>
      <c r="H185" s="115"/>
      <c r="I185" s="59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</row>
    <row r="186" customFormat="false" ht="12.75" hidden="false" customHeight="true" outlineLevel="0" collapsed="false">
      <c r="A186" s="115"/>
      <c r="B186" s="115"/>
      <c r="C186" s="115"/>
      <c r="D186" s="115"/>
      <c r="E186" s="115"/>
      <c r="F186" s="115"/>
      <c r="G186" s="115"/>
      <c r="H186" s="115"/>
      <c r="I186" s="59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  <c r="CH186" s="59"/>
      <c r="CI186" s="59"/>
      <c r="CJ186" s="59"/>
      <c r="CK186" s="59"/>
      <c r="CL186" s="59"/>
      <c r="CM186" s="59"/>
      <c r="CN186" s="59"/>
      <c r="CO186" s="59"/>
      <c r="CP186" s="59"/>
      <c r="CQ186" s="59"/>
      <c r="CR186" s="59"/>
      <c r="CS186" s="59"/>
      <c r="CT186" s="59"/>
      <c r="CU186" s="59"/>
      <c r="CV186" s="59"/>
      <c r="CW186" s="59"/>
      <c r="CX186" s="59"/>
      <c r="CY186" s="59"/>
      <c r="CZ186" s="59"/>
      <c r="DA186" s="59"/>
    </row>
    <row r="187" customFormat="false" ht="12.75" hidden="false" customHeight="true" outlineLevel="0" collapsed="false">
      <c r="A187" s="115"/>
      <c r="B187" s="115"/>
      <c r="C187" s="115"/>
      <c r="D187" s="115"/>
      <c r="E187" s="115"/>
      <c r="F187" s="115"/>
      <c r="G187" s="115"/>
      <c r="H187" s="115"/>
      <c r="I187" s="59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  <c r="CH187" s="59"/>
      <c r="CI187" s="59"/>
      <c r="CJ187" s="59"/>
      <c r="CK187" s="59"/>
      <c r="CL187" s="59"/>
      <c r="CM187" s="59"/>
      <c r="CN187" s="59"/>
      <c r="CO187" s="59"/>
      <c r="CP187" s="59"/>
      <c r="CQ187" s="59"/>
      <c r="CR187" s="59"/>
      <c r="CS187" s="59"/>
      <c r="CT187" s="59"/>
      <c r="CU187" s="59"/>
      <c r="CV187" s="59"/>
      <c r="CW187" s="59"/>
      <c r="CX187" s="59"/>
      <c r="CY187" s="59"/>
      <c r="CZ187" s="59"/>
      <c r="DA187" s="59"/>
    </row>
    <row r="188" customFormat="false" ht="12.75" hidden="false" customHeight="true" outlineLevel="0" collapsed="false">
      <c r="A188" s="115"/>
      <c r="B188" s="115"/>
      <c r="C188" s="115"/>
      <c r="D188" s="115"/>
      <c r="E188" s="115"/>
      <c r="F188" s="115"/>
      <c r="G188" s="115"/>
      <c r="H188" s="115"/>
      <c r="I188" s="59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  <c r="BY188" s="59"/>
      <c r="BZ188" s="59"/>
      <c r="CA188" s="59"/>
      <c r="CB188" s="59"/>
      <c r="CC188" s="59"/>
      <c r="CD188" s="59"/>
      <c r="CE188" s="59"/>
      <c r="CF188" s="59"/>
      <c r="CG188" s="59"/>
      <c r="CH188" s="59"/>
      <c r="CI188" s="59"/>
      <c r="CJ188" s="59"/>
      <c r="CK188" s="59"/>
      <c r="CL188" s="59"/>
      <c r="CM188" s="59"/>
      <c r="CN188" s="59"/>
      <c r="CO188" s="59"/>
      <c r="CP188" s="59"/>
      <c r="CQ188" s="59"/>
      <c r="CR188" s="59"/>
      <c r="CS188" s="59"/>
      <c r="CT188" s="59"/>
      <c r="CU188" s="59"/>
      <c r="CV188" s="59"/>
      <c r="CW188" s="59"/>
      <c r="CX188" s="59"/>
      <c r="CY188" s="59"/>
      <c r="CZ188" s="59"/>
      <c r="DA188" s="59"/>
    </row>
    <row r="189" customFormat="false" ht="12.75" hidden="false" customHeight="true" outlineLevel="0" collapsed="false">
      <c r="A189" s="115"/>
      <c r="B189" s="115"/>
      <c r="C189" s="115"/>
      <c r="D189" s="115"/>
      <c r="E189" s="115"/>
      <c r="F189" s="115"/>
      <c r="G189" s="115"/>
      <c r="H189" s="115"/>
      <c r="I189" s="59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  <c r="CH189" s="59"/>
      <c r="CI189" s="59"/>
      <c r="CJ189" s="59"/>
      <c r="CK189" s="59"/>
      <c r="CL189" s="59"/>
      <c r="CM189" s="59"/>
      <c r="CN189" s="59"/>
      <c r="CO189" s="59"/>
      <c r="CP189" s="59"/>
      <c r="CQ189" s="59"/>
      <c r="CR189" s="59"/>
      <c r="CS189" s="59"/>
      <c r="CT189" s="59"/>
      <c r="CU189" s="59"/>
      <c r="CV189" s="59"/>
      <c r="CW189" s="59"/>
      <c r="CX189" s="59"/>
      <c r="CY189" s="59"/>
      <c r="CZ189" s="59"/>
      <c r="DA189" s="59"/>
    </row>
    <row r="190" customFormat="false" ht="12.75" hidden="false" customHeight="true" outlineLevel="0" collapsed="false">
      <c r="A190" s="115"/>
      <c r="B190" s="115"/>
      <c r="C190" s="115"/>
      <c r="D190" s="115"/>
      <c r="E190" s="115"/>
      <c r="F190" s="115"/>
      <c r="G190" s="115"/>
      <c r="H190" s="115"/>
      <c r="I190" s="59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  <c r="CL190" s="59"/>
      <c r="CM190" s="59"/>
      <c r="CN190" s="59"/>
      <c r="CO190" s="59"/>
      <c r="CP190" s="59"/>
      <c r="CQ190" s="59"/>
      <c r="CR190" s="59"/>
      <c r="CS190" s="59"/>
      <c r="CT190" s="59"/>
      <c r="CU190" s="59"/>
      <c r="CV190" s="59"/>
      <c r="CW190" s="59"/>
      <c r="CX190" s="59"/>
      <c r="CY190" s="59"/>
      <c r="CZ190" s="59"/>
      <c r="DA190" s="59"/>
    </row>
    <row r="191" customFormat="false" ht="12.75" hidden="false" customHeight="true" outlineLevel="0" collapsed="false">
      <c r="A191" s="115"/>
      <c r="B191" s="115"/>
      <c r="C191" s="115"/>
      <c r="D191" s="115"/>
      <c r="E191" s="115"/>
      <c r="F191" s="115"/>
      <c r="G191" s="115"/>
      <c r="H191" s="115"/>
      <c r="I191" s="59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</row>
    <row r="192" customFormat="false" ht="12.75" hidden="false" customHeight="true" outlineLevel="0" collapsed="false">
      <c r="A192" s="115"/>
      <c r="B192" s="115"/>
      <c r="C192" s="115"/>
      <c r="D192" s="115"/>
      <c r="E192" s="115"/>
      <c r="F192" s="115"/>
      <c r="G192" s="115"/>
      <c r="H192" s="115"/>
      <c r="I192" s="59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</row>
    <row r="193" customFormat="false" ht="12.75" hidden="false" customHeight="true" outlineLevel="0" collapsed="false">
      <c r="A193" s="115"/>
      <c r="B193" s="115"/>
      <c r="C193" s="115"/>
      <c r="D193" s="115"/>
      <c r="E193" s="115"/>
      <c r="F193" s="115"/>
      <c r="G193" s="115"/>
      <c r="H193" s="115"/>
      <c r="I193" s="59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</row>
    <row r="194" customFormat="false" ht="12.75" hidden="false" customHeight="true" outlineLevel="0" collapsed="false">
      <c r="A194" s="115"/>
      <c r="B194" s="115"/>
      <c r="C194" s="115"/>
      <c r="D194" s="115"/>
      <c r="E194" s="115"/>
      <c r="F194" s="115"/>
      <c r="G194" s="115"/>
      <c r="H194" s="115"/>
      <c r="I194" s="59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</row>
    <row r="195" customFormat="false" ht="12.75" hidden="false" customHeight="true" outlineLevel="0" collapsed="false">
      <c r="A195" s="115"/>
      <c r="B195" s="115"/>
      <c r="C195" s="115"/>
      <c r="D195" s="115"/>
      <c r="E195" s="115"/>
      <c r="F195" s="115"/>
      <c r="G195" s="115"/>
      <c r="H195" s="115"/>
      <c r="I195" s="59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/>
      <c r="CA195" s="59"/>
      <c r="CB195" s="59"/>
      <c r="CC195" s="59"/>
      <c r="CD195" s="59"/>
      <c r="CE195" s="59"/>
      <c r="CF195" s="59"/>
      <c r="CG195" s="59"/>
      <c r="CH195" s="59"/>
      <c r="CI195" s="59"/>
      <c r="CJ195" s="59"/>
      <c r="CK195" s="59"/>
      <c r="CL195" s="59"/>
      <c r="CM195" s="59"/>
      <c r="CN195" s="59"/>
      <c r="CO195" s="59"/>
      <c r="CP195" s="59"/>
      <c r="CQ195" s="59"/>
      <c r="CR195" s="59"/>
      <c r="CS195" s="59"/>
      <c r="CT195" s="59"/>
      <c r="CU195" s="59"/>
      <c r="CV195" s="59"/>
      <c r="CW195" s="59"/>
      <c r="CX195" s="59"/>
      <c r="CY195" s="59"/>
      <c r="CZ195" s="59"/>
      <c r="DA195" s="59"/>
    </row>
    <row r="196" customFormat="false" ht="12.75" hidden="false" customHeight="true" outlineLevel="0" collapsed="false">
      <c r="A196" s="115"/>
      <c r="B196" s="115"/>
      <c r="C196" s="115"/>
      <c r="D196" s="115"/>
      <c r="E196" s="115"/>
      <c r="F196" s="115"/>
      <c r="G196" s="115"/>
      <c r="H196" s="115"/>
      <c r="I196" s="59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  <c r="CH196" s="59"/>
      <c r="CI196" s="59"/>
      <c r="CJ196" s="59"/>
      <c r="CK196" s="59"/>
      <c r="CL196" s="59"/>
      <c r="CM196" s="59"/>
      <c r="CN196" s="59"/>
      <c r="CO196" s="59"/>
      <c r="CP196" s="59"/>
      <c r="CQ196" s="59"/>
      <c r="CR196" s="59"/>
      <c r="CS196" s="59"/>
      <c r="CT196" s="59"/>
      <c r="CU196" s="59"/>
      <c r="CV196" s="59"/>
      <c r="CW196" s="59"/>
      <c r="CX196" s="59"/>
      <c r="CY196" s="59"/>
      <c r="CZ196" s="59"/>
      <c r="DA196" s="59"/>
    </row>
    <row r="197" customFormat="false" ht="12.75" hidden="false" customHeight="true" outlineLevel="0" collapsed="false">
      <c r="A197" s="115"/>
      <c r="B197" s="115"/>
      <c r="C197" s="115"/>
      <c r="D197" s="115"/>
      <c r="E197" s="115"/>
      <c r="F197" s="115"/>
      <c r="G197" s="115"/>
      <c r="H197" s="115"/>
      <c r="I197" s="59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/>
      <c r="BZ197" s="59"/>
      <c r="CA197" s="59"/>
      <c r="CB197" s="59"/>
      <c r="CC197" s="59"/>
      <c r="CD197" s="59"/>
      <c r="CE197" s="59"/>
      <c r="CF197" s="59"/>
      <c r="CG197" s="59"/>
      <c r="CH197" s="59"/>
      <c r="CI197" s="59"/>
      <c r="CJ197" s="59"/>
      <c r="CK197" s="59"/>
      <c r="CL197" s="59"/>
      <c r="CM197" s="59"/>
      <c r="CN197" s="59"/>
      <c r="CO197" s="59"/>
      <c r="CP197" s="59"/>
      <c r="CQ197" s="59"/>
      <c r="CR197" s="59"/>
      <c r="CS197" s="59"/>
      <c r="CT197" s="59"/>
      <c r="CU197" s="59"/>
      <c r="CV197" s="59"/>
      <c r="CW197" s="59"/>
      <c r="CX197" s="59"/>
      <c r="CY197" s="59"/>
      <c r="CZ197" s="59"/>
      <c r="DA197" s="59"/>
    </row>
    <row r="198" customFormat="false" ht="12.75" hidden="false" customHeight="true" outlineLevel="0" collapsed="false">
      <c r="A198" s="115"/>
      <c r="B198" s="115"/>
      <c r="C198" s="115"/>
      <c r="D198" s="115"/>
      <c r="E198" s="115"/>
      <c r="F198" s="115"/>
      <c r="G198" s="115"/>
      <c r="H198" s="115"/>
      <c r="I198" s="59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  <c r="CL198" s="59"/>
      <c r="CM198" s="59"/>
      <c r="CN198" s="59"/>
      <c r="CO198" s="59"/>
      <c r="CP198" s="59"/>
      <c r="CQ198" s="59"/>
      <c r="CR198" s="59"/>
      <c r="CS198" s="59"/>
      <c r="CT198" s="59"/>
      <c r="CU198" s="59"/>
      <c r="CV198" s="59"/>
      <c r="CW198" s="59"/>
      <c r="CX198" s="59"/>
      <c r="CY198" s="59"/>
      <c r="CZ198" s="59"/>
      <c r="DA198" s="59"/>
    </row>
    <row r="199" customFormat="false" ht="12.75" hidden="false" customHeight="true" outlineLevel="0" collapsed="false">
      <c r="A199" s="115"/>
      <c r="B199" s="115"/>
      <c r="C199" s="115"/>
      <c r="D199" s="115"/>
      <c r="E199" s="115"/>
      <c r="F199" s="115"/>
      <c r="G199" s="115"/>
      <c r="H199" s="115"/>
      <c r="I199" s="59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  <c r="CL199" s="59"/>
      <c r="CM199" s="59"/>
      <c r="CN199" s="59"/>
      <c r="CO199" s="59"/>
      <c r="CP199" s="59"/>
      <c r="CQ199" s="59"/>
      <c r="CR199" s="59"/>
      <c r="CS199" s="59"/>
      <c r="CT199" s="59"/>
      <c r="CU199" s="59"/>
      <c r="CV199" s="59"/>
      <c r="CW199" s="59"/>
      <c r="CX199" s="59"/>
      <c r="CY199" s="59"/>
      <c r="CZ199" s="59"/>
      <c r="DA199" s="59"/>
    </row>
    <row r="200" customFormat="false" ht="12.75" hidden="false" customHeight="true" outlineLevel="0" collapsed="false">
      <c r="A200" s="115"/>
      <c r="B200" s="115"/>
      <c r="C200" s="115"/>
      <c r="D200" s="115"/>
      <c r="E200" s="115"/>
      <c r="F200" s="115"/>
      <c r="G200" s="115"/>
      <c r="H200" s="115"/>
      <c r="I200" s="59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</row>
    <row r="201" customFormat="false" ht="12.75" hidden="false" customHeight="true" outlineLevel="0" collapsed="false">
      <c r="A201" s="115"/>
      <c r="B201" s="115"/>
      <c r="C201" s="115"/>
      <c r="D201" s="115"/>
      <c r="E201" s="115"/>
      <c r="F201" s="115"/>
      <c r="G201" s="115"/>
      <c r="H201" s="115"/>
      <c r="I201" s="59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</row>
    <row r="202" customFormat="false" ht="12.75" hidden="false" customHeight="true" outlineLevel="0" collapsed="false">
      <c r="A202" s="115"/>
      <c r="B202" s="115"/>
      <c r="C202" s="115"/>
      <c r="D202" s="115"/>
      <c r="E202" s="115"/>
      <c r="F202" s="115"/>
      <c r="G202" s="115"/>
      <c r="H202" s="115"/>
      <c r="I202" s="59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</row>
    <row r="203" customFormat="false" ht="12.75" hidden="false" customHeight="true" outlineLevel="0" collapsed="false">
      <c r="A203" s="115"/>
      <c r="B203" s="115"/>
      <c r="C203" s="115"/>
      <c r="D203" s="115"/>
      <c r="E203" s="115"/>
      <c r="F203" s="115"/>
      <c r="G203" s="115"/>
      <c r="H203" s="115"/>
      <c r="I203" s="59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  <c r="CH203" s="59"/>
      <c r="CI203" s="59"/>
      <c r="CJ203" s="59"/>
      <c r="CK203" s="59"/>
      <c r="CL203" s="59"/>
      <c r="CM203" s="59"/>
      <c r="CN203" s="59"/>
      <c r="CO203" s="59"/>
      <c r="CP203" s="59"/>
      <c r="CQ203" s="59"/>
      <c r="CR203" s="59"/>
      <c r="CS203" s="59"/>
      <c r="CT203" s="59"/>
      <c r="CU203" s="59"/>
      <c r="CV203" s="59"/>
      <c r="CW203" s="59"/>
      <c r="CX203" s="59"/>
      <c r="CY203" s="59"/>
      <c r="CZ203" s="59"/>
      <c r="DA203" s="59"/>
    </row>
    <row r="204" customFormat="false" ht="12.75" hidden="false" customHeight="true" outlineLevel="0" collapsed="false">
      <c r="A204" s="115"/>
      <c r="B204" s="115"/>
      <c r="C204" s="115"/>
      <c r="D204" s="115"/>
      <c r="E204" s="115"/>
      <c r="F204" s="115"/>
      <c r="G204" s="115"/>
      <c r="H204" s="115"/>
      <c r="I204" s="59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  <c r="CL204" s="59"/>
      <c r="CM204" s="59"/>
      <c r="CN204" s="59"/>
      <c r="CO204" s="59"/>
      <c r="CP204" s="59"/>
      <c r="CQ204" s="59"/>
      <c r="CR204" s="59"/>
      <c r="CS204" s="59"/>
      <c r="CT204" s="59"/>
      <c r="CU204" s="59"/>
      <c r="CV204" s="59"/>
      <c r="CW204" s="59"/>
      <c r="CX204" s="59"/>
      <c r="CY204" s="59"/>
      <c r="CZ204" s="59"/>
      <c r="DA204" s="59"/>
    </row>
    <row r="205" customFormat="false" ht="12.75" hidden="false" customHeight="true" outlineLevel="0" collapsed="false">
      <c r="A205" s="115"/>
      <c r="B205" s="115"/>
      <c r="C205" s="115"/>
      <c r="D205" s="115"/>
      <c r="E205" s="115"/>
      <c r="F205" s="115"/>
      <c r="G205" s="115"/>
      <c r="H205" s="115"/>
      <c r="I205" s="59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59"/>
      <c r="CG205" s="59"/>
      <c r="CH205" s="59"/>
      <c r="CI205" s="59"/>
      <c r="CJ205" s="59"/>
      <c r="CK205" s="59"/>
      <c r="CL205" s="59"/>
      <c r="CM205" s="59"/>
      <c r="CN205" s="59"/>
      <c r="CO205" s="59"/>
      <c r="CP205" s="59"/>
      <c r="CQ205" s="59"/>
      <c r="CR205" s="59"/>
      <c r="CS205" s="59"/>
      <c r="CT205" s="59"/>
      <c r="CU205" s="59"/>
      <c r="CV205" s="59"/>
      <c r="CW205" s="59"/>
      <c r="CX205" s="59"/>
      <c r="CY205" s="59"/>
      <c r="CZ205" s="59"/>
      <c r="DA205" s="59"/>
    </row>
    <row r="206" customFormat="false" ht="12.75" hidden="false" customHeight="true" outlineLevel="0" collapsed="false">
      <c r="A206" s="115"/>
      <c r="B206" s="115"/>
      <c r="C206" s="115"/>
      <c r="D206" s="115"/>
      <c r="E206" s="115"/>
      <c r="F206" s="115"/>
      <c r="G206" s="115"/>
      <c r="H206" s="115"/>
      <c r="I206" s="59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59"/>
    </row>
    <row r="207" customFormat="false" ht="12.75" hidden="false" customHeight="true" outlineLevel="0" collapsed="false">
      <c r="A207" s="115"/>
      <c r="B207" s="115"/>
      <c r="C207" s="115"/>
      <c r="D207" s="115"/>
      <c r="E207" s="115"/>
      <c r="F207" s="115"/>
      <c r="G207" s="115"/>
      <c r="H207" s="115"/>
      <c r="I207" s="59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59"/>
      <c r="CG207" s="59"/>
      <c r="CH207" s="59"/>
      <c r="CI207" s="59"/>
      <c r="CJ207" s="59"/>
      <c r="CK207" s="59"/>
      <c r="CL207" s="59"/>
      <c r="CM207" s="59"/>
      <c r="CN207" s="59"/>
      <c r="CO207" s="59"/>
      <c r="CP207" s="59"/>
      <c r="CQ207" s="59"/>
      <c r="CR207" s="59"/>
      <c r="CS207" s="59"/>
      <c r="CT207" s="59"/>
      <c r="CU207" s="59"/>
      <c r="CV207" s="59"/>
      <c r="CW207" s="59"/>
      <c r="CX207" s="59"/>
      <c r="CY207" s="59"/>
      <c r="CZ207" s="59"/>
      <c r="DA207" s="59"/>
    </row>
    <row r="208" customFormat="false" ht="12.75" hidden="false" customHeight="true" outlineLevel="0" collapsed="false">
      <c r="A208" s="115"/>
      <c r="B208" s="115"/>
      <c r="C208" s="115"/>
      <c r="D208" s="115"/>
      <c r="E208" s="115"/>
      <c r="F208" s="115"/>
      <c r="G208" s="115"/>
      <c r="H208" s="115"/>
      <c r="I208" s="59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59"/>
      <c r="CG208" s="59"/>
      <c r="CH208" s="59"/>
      <c r="CI208" s="59"/>
      <c r="CJ208" s="59"/>
      <c r="CK208" s="59"/>
      <c r="CL208" s="59"/>
      <c r="CM208" s="59"/>
      <c r="CN208" s="59"/>
      <c r="CO208" s="59"/>
      <c r="CP208" s="59"/>
      <c r="CQ208" s="59"/>
      <c r="CR208" s="59"/>
      <c r="CS208" s="59"/>
      <c r="CT208" s="59"/>
      <c r="CU208" s="59"/>
      <c r="CV208" s="59"/>
      <c r="CW208" s="59"/>
      <c r="CX208" s="59"/>
      <c r="CY208" s="59"/>
      <c r="CZ208" s="59"/>
      <c r="DA208" s="59"/>
    </row>
    <row r="209" customFormat="false" ht="12.75" hidden="false" customHeight="true" outlineLevel="0" collapsed="false">
      <c r="A209" s="115"/>
      <c r="B209" s="115"/>
      <c r="C209" s="115"/>
      <c r="D209" s="115"/>
      <c r="E209" s="115"/>
      <c r="F209" s="115"/>
      <c r="G209" s="115"/>
      <c r="H209" s="115"/>
      <c r="I209" s="59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  <c r="CH209" s="59"/>
      <c r="CI209" s="59"/>
      <c r="CJ209" s="59"/>
      <c r="CK209" s="59"/>
      <c r="CL209" s="59"/>
      <c r="CM209" s="59"/>
      <c r="CN209" s="59"/>
      <c r="CO209" s="59"/>
      <c r="CP209" s="59"/>
      <c r="CQ209" s="59"/>
      <c r="CR209" s="59"/>
      <c r="CS209" s="59"/>
      <c r="CT209" s="59"/>
      <c r="CU209" s="59"/>
      <c r="CV209" s="59"/>
      <c r="CW209" s="59"/>
      <c r="CX209" s="59"/>
      <c r="CY209" s="59"/>
      <c r="CZ209" s="59"/>
      <c r="DA209" s="59"/>
    </row>
    <row r="210" customFormat="false" ht="12.75" hidden="false" customHeight="true" outlineLevel="0" collapsed="false">
      <c r="A210" s="115"/>
      <c r="B210" s="115"/>
      <c r="C210" s="115"/>
      <c r="D210" s="115"/>
      <c r="E210" s="115"/>
      <c r="F210" s="115"/>
      <c r="G210" s="115"/>
      <c r="H210" s="115"/>
      <c r="I210" s="59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59"/>
      <c r="CG210" s="59"/>
      <c r="CH210" s="59"/>
      <c r="CI210" s="59"/>
      <c r="CJ210" s="59"/>
      <c r="CK210" s="59"/>
      <c r="CL210" s="59"/>
      <c r="CM210" s="59"/>
      <c r="CN210" s="59"/>
      <c r="CO210" s="59"/>
      <c r="CP210" s="59"/>
      <c r="CQ210" s="59"/>
      <c r="CR210" s="59"/>
      <c r="CS210" s="59"/>
      <c r="CT210" s="59"/>
      <c r="CU210" s="59"/>
      <c r="CV210" s="59"/>
      <c r="CW210" s="59"/>
      <c r="CX210" s="59"/>
      <c r="CY210" s="59"/>
      <c r="CZ210" s="59"/>
      <c r="DA210" s="59"/>
    </row>
    <row r="211" customFormat="false" ht="12.75" hidden="false" customHeight="true" outlineLevel="0" collapsed="false">
      <c r="A211" s="115"/>
      <c r="B211" s="115"/>
      <c r="C211" s="115"/>
      <c r="D211" s="115"/>
      <c r="E211" s="115"/>
      <c r="F211" s="115"/>
      <c r="G211" s="115"/>
      <c r="H211" s="115"/>
      <c r="I211" s="59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59"/>
      <c r="CG211" s="59"/>
      <c r="CH211" s="59"/>
      <c r="CI211" s="59"/>
      <c r="CJ211" s="59"/>
      <c r="CK211" s="59"/>
      <c r="CL211" s="59"/>
      <c r="CM211" s="59"/>
      <c r="CN211" s="59"/>
      <c r="CO211" s="59"/>
      <c r="CP211" s="59"/>
      <c r="CQ211" s="59"/>
      <c r="CR211" s="59"/>
      <c r="CS211" s="59"/>
      <c r="CT211" s="59"/>
      <c r="CU211" s="59"/>
      <c r="CV211" s="59"/>
      <c r="CW211" s="59"/>
      <c r="CX211" s="59"/>
      <c r="CY211" s="59"/>
      <c r="CZ211" s="59"/>
      <c r="DA211" s="59"/>
    </row>
    <row r="212" customFormat="false" ht="12.75" hidden="false" customHeight="true" outlineLevel="0" collapsed="false">
      <c r="A212" s="115"/>
      <c r="B212" s="115"/>
      <c r="C212" s="115"/>
      <c r="D212" s="115"/>
      <c r="E212" s="115"/>
      <c r="F212" s="115"/>
      <c r="G212" s="115"/>
      <c r="H212" s="115"/>
      <c r="I212" s="59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59"/>
      <c r="CG212" s="59"/>
      <c r="CH212" s="59"/>
      <c r="CI212" s="59"/>
      <c r="CJ212" s="59"/>
      <c r="CK212" s="59"/>
      <c r="CL212" s="59"/>
      <c r="CM212" s="59"/>
      <c r="CN212" s="59"/>
      <c r="CO212" s="59"/>
      <c r="CP212" s="59"/>
      <c r="CQ212" s="59"/>
      <c r="CR212" s="59"/>
      <c r="CS212" s="59"/>
      <c r="CT212" s="59"/>
      <c r="CU212" s="59"/>
      <c r="CV212" s="59"/>
      <c r="CW212" s="59"/>
      <c r="CX212" s="59"/>
      <c r="CY212" s="59"/>
      <c r="CZ212" s="59"/>
      <c r="DA212" s="59"/>
    </row>
    <row r="213" customFormat="false" ht="12.75" hidden="false" customHeight="true" outlineLevel="0" collapsed="false">
      <c r="A213" s="115"/>
      <c r="B213" s="115"/>
      <c r="C213" s="115"/>
      <c r="D213" s="115"/>
      <c r="E213" s="115"/>
      <c r="F213" s="115"/>
      <c r="G213" s="115"/>
      <c r="H213" s="115"/>
      <c r="I213" s="59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59"/>
      <c r="CG213" s="59"/>
      <c r="CH213" s="59"/>
      <c r="CI213" s="59"/>
      <c r="CJ213" s="59"/>
      <c r="CK213" s="59"/>
      <c r="CL213" s="59"/>
      <c r="CM213" s="59"/>
      <c r="CN213" s="59"/>
      <c r="CO213" s="59"/>
      <c r="CP213" s="59"/>
      <c r="CQ213" s="59"/>
      <c r="CR213" s="59"/>
      <c r="CS213" s="59"/>
      <c r="CT213" s="59"/>
      <c r="CU213" s="59"/>
      <c r="CV213" s="59"/>
      <c r="CW213" s="59"/>
      <c r="CX213" s="59"/>
      <c r="CY213" s="59"/>
      <c r="CZ213" s="59"/>
      <c r="DA213" s="59"/>
    </row>
    <row r="214" customFormat="false" ht="12.75" hidden="false" customHeight="true" outlineLevel="0" collapsed="false">
      <c r="A214" s="115"/>
      <c r="B214" s="115"/>
      <c r="C214" s="115"/>
      <c r="D214" s="115"/>
      <c r="E214" s="115"/>
      <c r="F214" s="115"/>
      <c r="G214" s="115"/>
      <c r="H214" s="115"/>
      <c r="I214" s="59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  <c r="CK214" s="59"/>
      <c r="CL214" s="59"/>
      <c r="CM214" s="59"/>
      <c r="CN214" s="59"/>
      <c r="CO214" s="59"/>
      <c r="CP214" s="59"/>
      <c r="CQ214" s="59"/>
      <c r="CR214" s="59"/>
      <c r="CS214" s="59"/>
      <c r="CT214" s="59"/>
      <c r="CU214" s="59"/>
      <c r="CV214" s="59"/>
      <c r="CW214" s="59"/>
      <c r="CX214" s="59"/>
      <c r="CY214" s="59"/>
      <c r="CZ214" s="59"/>
      <c r="DA214" s="59"/>
    </row>
    <row r="215" customFormat="false" ht="12.75" hidden="false" customHeight="true" outlineLevel="0" collapsed="false">
      <c r="A215" s="115"/>
      <c r="B215" s="115"/>
      <c r="C215" s="115"/>
      <c r="D215" s="115"/>
      <c r="E215" s="115"/>
      <c r="F215" s="115"/>
      <c r="G215" s="115"/>
      <c r="H215" s="115"/>
      <c r="I215" s="59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59"/>
      <c r="CG215" s="59"/>
      <c r="CH215" s="59"/>
      <c r="CI215" s="59"/>
      <c r="CJ215" s="59"/>
      <c r="CK215" s="59"/>
      <c r="CL215" s="59"/>
      <c r="CM215" s="59"/>
      <c r="CN215" s="59"/>
      <c r="CO215" s="59"/>
      <c r="CP215" s="59"/>
      <c r="CQ215" s="59"/>
      <c r="CR215" s="59"/>
      <c r="CS215" s="59"/>
      <c r="CT215" s="59"/>
      <c r="CU215" s="59"/>
      <c r="CV215" s="59"/>
      <c r="CW215" s="59"/>
      <c r="CX215" s="59"/>
      <c r="CY215" s="59"/>
      <c r="CZ215" s="59"/>
      <c r="DA215" s="59"/>
    </row>
    <row r="216" customFormat="false" ht="12.75" hidden="false" customHeight="true" outlineLevel="0" collapsed="false">
      <c r="A216" s="115"/>
      <c r="B216" s="115"/>
      <c r="C216" s="115"/>
      <c r="D216" s="115"/>
      <c r="E216" s="115"/>
      <c r="F216" s="115"/>
      <c r="G216" s="115"/>
      <c r="H216" s="115"/>
      <c r="I216" s="59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  <c r="CH216" s="59"/>
      <c r="CI216" s="59"/>
      <c r="CJ216" s="59"/>
      <c r="CK216" s="59"/>
      <c r="CL216" s="59"/>
      <c r="CM216" s="59"/>
      <c r="CN216" s="59"/>
      <c r="CO216" s="59"/>
      <c r="CP216" s="59"/>
      <c r="CQ216" s="59"/>
      <c r="CR216" s="59"/>
      <c r="CS216" s="59"/>
      <c r="CT216" s="59"/>
      <c r="CU216" s="59"/>
      <c r="CV216" s="59"/>
      <c r="CW216" s="59"/>
      <c r="CX216" s="59"/>
      <c r="CY216" s="59"/>
      <c r="CZ216" s="59"/>
      <c r="DA216" s="59"/>
    </row>
    <row r="217" customFormat="false" ht="12.75" hidden="false" customHeight="true" outlineLevel="0" collapsed="false">
      <c r="A217" s="115"/>
      <c r="B217" s="115"/>
      <c r="C217" s="115"/>
      <c r="D217" s="115"/>
      <c r="E217" s="115"/>
      <c r="F217" s="115"/>
      <c r="G217" s="115"/>
      <c r="H217" s="115"/>
      <c r="I217" s="59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59"/>
      <c r="CG217" s="59"/>
      <c r="CH217" s="59"/>
      <c r="CI217" s="59"/>
      <c r="CJ217" s="59"/>
      <c r="CK217" s="59"/>
      <c r="CL217" s="59"/>
      <c r="CM217" s="59"/>
      <c r="CN217" s="59"/>
      <c r="CO217" s="59"/>
      <c r="CP217" s="59"/>
      <c r="CQ217" s="59"/>
      <c r="CR217" s="59"/>
      <c r="CS217" s="59"/>
      <c r="CT217" s="59"/>
      <c r="CU217" s="59"/>
      <c r="CV217" s="59"/>
      <c r="CW217" s="59"/>
      <c r="CX217" s="59"/>
      <c r="CY217" s="59"/>
      <c r="CZ217" s="59"/>
      <c r="DA217" s="59"/>
    </row>
    <row r="218" customFormat="false" ht="12.75" hidden="false" customHeight="true" outlineLevel="0" collapsed="false">
      <c r="A218" s="115"/>
      <c r="B218" s="115"/>
      <c r="C218" s="115"/>
      <c r="D218" s="115"/>
      <c r="E218" s="115"/>
      <c r="F218" s="115"/>
      <c r="G218" s="115"/>
      <c r="H218" s="115"/>
      <c r="I218" s="59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  <c r="CH218" s="59"/>
      <c r="CI218" s="59"/>
      <c r="CJ218" s="59"/>
      <c r="CK218" s="59"/>
      <c r="CL218" s="59"/>
      <c r="CM218" s="59"/>
      <c r="CN218" s="59"/>
      <c r="CO218" s="59"/>
      <c r="CP218" s="59"/>
      <c r="CQ218" s="59"/>
      <c r="CR218" s="59"/>
      <c r="CS218" s="59"/>
      <c r="CT218" s="59"/>
      <c r="CU218" s="59"/>
      <c r="CV218" s="59"/>
      <c r="CW218" s="59"/>
      <c r="CX218" s="59"/>
      <c r="CY218" s="59"/>
      <c r="CZ218" s="59"/>
      <c r="DA218" s="59"/>
    </row>
    <row r="219" customFormat="false" ht="12.75" hidden="false" customHeight="true" outlineLevel="0" collapsed="false">
      <c r="A219" s="115"/>
      <c r="B219" s="115"/>
      <c r="C219" s="115"/>
      <c r="D219" s="115"/>
      <c r="E219" s="115"/>
      <c r="F219" s="115"/>
      <c r="G219" s="115"/>
      <c r="H219" s="115"/>
      <c r="I219" s="59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59"/>
      <c r="CG219" s="59"/>
      <c r="CH219" s="59"/>
      <c r="CI219" s="59"/>
      <c r="CJ219" s="59"/>
      <c r="CK219" s="59"/>
      <c r="CL219" s="59"/>
      <c r="CM219" s="59"/>
      <c r="CN219" s="59"/>
      <c r="CO219" s="59"/>
      <c r="CP219" s="59"/>
      <c r="CQ219" s="59"/>
      <c r="CR219" s="59"/>
      <c r="CS219" s="59"/>
      <c r="CT219" s="59"/>
      <c r="CU219" s="59"/>
      <c r="CV219" s="59"/>
      <c r="CW219" s="59"/>
      <c r="CX219" s="59"/>
      <c r="CY219" s="59"/>
      <c r="CZ219" s="59"/>
      <c r="DA219" s="59"/>
    </row>
    <row r="220" customFormat="false" ht="12.75" hidden="false" customHeight="true" outlineLevel="0" collapsed="false">
      <c r="A220" s="115"/>
      <c r="B220" s="115"/>
      <c r="C220" s="115"/>
      <c r="D220" s="115"/>
      <c r="E220" s="115"/>
      <c r="F220" s="115"/>
      <c r="G220" s="115"/>
      <c r="H220" s="115"/>
      <c r="I220" s="59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59"/>
      <c r="CG220" s="59"/>
      <c r="CH220" s="59"/>
      <c r="CI220" s="59"/>
      <c r="CJ220" s="59"/>
      <c r="CK220" s="59"/>
      <c r="CL220" s="59"/>
      <c r="CM220" s="59"/>
      <c r="CN220" s="59"/>
      <c r="CO220" s="59"/>
      <c r="CP220" s="59"/>
      <c r="CQ220" s="59"/>
      <c r="CR220" s="59"/>
      <c r="CS220" s="59"/>
      <c r="CT220" s="59"/>
      <c r="CU220" s="59"/>
      <c r="CV220" s="59"/>
      <c r="CW220" s="59"/>
      <c r="CX220" s="59"/>
      <c r="CY220" s="59"/>
      <c r="CZ220" s="59"/>
      <c r="DA220" s="59"/>
    </row>
    <row r="221" customFormat="false" ht="12.75" hidden="false" customHeight="true" outlineLevel="0" collapsed="false">
      <c r="A221" s="115"/>
      <c r="B221" s="115"/>
      <c r="C221" s="115"/>
      <c r="D221" s="115"/>
      <c r="E221" s="115"/>
      <c r="F221" s="115"/>
      <c r="G221" s="115"/>
      <c r="H221" s="115"/>
      <c r="I221" s="59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59"/>
      <c r="CG221" s="59"/>
      <c r="CH221" s="59"/>
      <c r="CI221" s="59"/>
      <c r="CJ221" s="59"/>
      <c r="CK221" s="59"/>
      <c r="CL221" s="59"/>
      <c r="CM221" s="59"/>
      <c r="CN221" s="59"/>
      <c r="CO221" s="59"/>
      <c r="CP221" s="59"/>
      <c r="CQ221" s="59"/>
      <c r="CR221" s="59"/>
      <c r="CS221" s="59"/>
      <c r="CT221" s="59"/>
      <c r="CU221" s="59"/>
      <c r="CV221" s="59"/>
      <c r="CW221" s="59"/>
      <c r="CX221" s="59"/>
      <c r="CY221" s="59"/>
      <c r="CZ221" s="59"/>
      <c r="DA221" s="59"/>
    </row>
    <row r="222" customFormat="false" ht="12.75" hidden="false" customHeight="true" outlineLevel="0" collapsed="false">
      <c r="A222" s="115"/>
      <c r="B222" s="115"/>
      <c r="C222" s="115"/>
      <c r="D222" s="115"/>
      <c r="E222" s="115"/>
      <c r="F222" s="115"/>
      <c r="G222" s="115"/>
      <c r="H222" s="115"/>
      <c r="I222" s="59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59"/>
      <c r="CG222" s="59"/>
      <c r="CH222" s="59"/>
      <c r="CI222" s="59"/>
      <c r="CJ222" s="59"/>
      <c r="CK222" s="59"/>
      <c r="CL222" s="59"/>
      <c r="CM222" s="59"/>
      <c r="CN222" s="59"/>
      <c r="CO222" s="59"/>
      <c r="CP222" s="59"/>
      <c r="CQ222" s="59"/>
      <c r="CR222" s="59"/>
      <c r="CS222" s="59"/>
      <c r="CT222" s="59"/>
      <c r="CU222" s="59"/>
      <c r="CV222" s="59"/>
      <c r="CW222" s="59"/>
      <c r="CX222" s="59"/>
      <c r="CY222" s="59"/>
      <c r="CZ222" s="59"/>
      <c r="DA222" s="59"/>
    </row>
    <row r="223" customFormat="false" ht="12.75" hidden="false" customHeight="true" outlineLevel="0" collapsed="false">
      <c r="A223" s="115"/>
      <c r="B223" s="115"/>
      <c r="C223" s="115"/>
      <c r="D223" s="115"/>
      <c r="E223" s="115"/>
      <c r="F223" s="115"/>
      <c r="G223" s="115"/>
      <c r="H223" s="115"/>
      <c r="I223" s="59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</row>
    <row r="224" customFormat="false" ht="12.75" hidden="false" customHeight="true" outlineLevel="0" collapsed="false">
      <c r="A224" s="115"/>
      <c r="B224" s="115"/>
      <c r="C224" s="115"/>
      <c r="D224" s="115"/>
      <c r="E224" s="115"/>
      <c r="F224" s="115"/>
      <c r="G224" s="115"/>
      <c r="H224" s="115"/>
      <c r="I224" s="59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</row>
    <row r="225" customFormat="false" ht="12.75" hidden="false" customHeight="true" outlineLevel="0" collapsed="false">
      <c r="A225" s="115"/>
      <c r="B225" s="115"/>
      <c r="C225" s="115"/>
      <c r="D225" s="115"/>
      <c r="E225" s="115"/>
      <c r="F225" s="115"/>
      <c r="G225" s="115"/>
      <c r="H225" s="115"/>
      <c r="I225" s="59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</row>
    <row r="226" customFormat="false" ht="12.75" hidden="false" customHeight="true" outlineLevel="0" collapsed="false">
      <c r="A226" s="115"/>
      <c r="B226" s="115"/>
      <c r="C226" s="115"/>
      <c r="D226" s="115"/>
      <c r="E226" s="115"/>
      <c r="F226" s="115"/>
      <c r="G226" s="115"/>
      <c r="H226" s="115"/>
      <c r="I226" s="59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</row>
    <row r="227" customFormat="false" ht="12.75" hidden="false" customHeight="true" outlineLevel="0" collapsed="false">
      <c r="A227" s="115"/>
      <c r="B227" s="115"/>
      <c r="C227" s="115"/>
      <c r="D227" s="115"/>
      <c r="E227" s="115"/>
      <c r="F227" s="115"/>
      <c r="G227" s="115"/>
      <c r="H227" s="115"/>
      <c r="I227" s="59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</row>
    <row r="228" customFormat="false" ht="12.75" hidden="false" customHeight="true" outlineLevel="0" collapsed="false">
      <c r="A228" s="115"/>
      <c r="B228" s="115"/>
      <c r="C228" s="115"/>
      <c r="D228" s="115"/>
      <c r="E228" s="115"/>
      <c r="F228" s="115"/>
      <c r="G228" s="115"/>
      <c r="H228" s="115"/>
      <c r="I228" s="59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</row>
    <row r="229" customFormat="false" ht="12.75" hidden="false" customHeight="true" outlineLevel="0" collapsed="false">
      <c r="A229" s="115"/>
      <c r="B229" s="115"/>
      <c r="C229" s="115"/>
      <c r="D229" s="115"/>
      <c r="E229" s="115"/>
      <c r="F229" s="115"/>
      <c r="G229" s="115"/>
      <c r="H229" s="115"/>
      <c r="I229" s="59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59"/>
      <c r="CF229" s="59"/>
      <c r="CG229" s="59"/>
      <c r="CH229" s="59"/>
      <c r="CI229" s="59"/>
      <c r="CJ229" s="59"/>
      <c r="CK229" s="59"/>
      <c r="CL229" s="59"/>
      <c r="CM229" s="59"/>
      <c r="CN229" s="59"/>
      <c r="CO229" s="59"/>
      <c r="CP229" s="59"/>
      <c r="CQ229" s="59"/>
      <c r="CR229" s="59"/>
      <c r="CS229" s="59"/>
      <c r="CT229" s="59"/>
      <c r="CU229" s="59"/>
      <c r="CV229" s="59"/>
      <c r="CW229" s="59"/>
      <c r="CX229" s="59"/>
      <c r="CY229" s="59"/>
      <c r="CZ229" s="59"/>
      <c r="DA229" s="59"/>
    </row>
    <row r="230" customFormat="false" ht="12.75" hidden="false" customHeight="true" outlineLevel="0" collapsed="false">
      <c r="A230" s="115"/>
      <c r="B230" s="115"/>
      <c r="C230" s="115"/>
      <c r="D230" s="115"/>
      <c r="E230" s="115"/>
      <c r="F230" s="115"/>
      <c r="G230" s="115"/>
      <c r="H230" s="115"/>
      <c r="I230" s="59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59"/>
      <c r="CG230" s="59"/>
      <c r="CH230" s="59"/>
      <c r="CI230" s="59"/>
      <c r="CJ230" s="59"/>
      <c r="CK230" s="59"/>
      <c r="CL230" s="59"/>
      <c r="CM230" s="59"/>
      <c r="CN230" s="59"/>
      <c r="CO230" s="59"/>
      <c r="CP230" s="59"/>
      <c r="CQ230" s="59"/>
      <c r="CR230" s="59"/>
      <c r="CS230" s="59"/>
      <c r="CT230" s="59"/>
      <c r="CU230" s="59"/>
      <c r="CV230" s="59"/>
      <c r="CW230" s="59"/>
      <c r="CX230" s="59"/>
      <c r="CY230" s="59"/>
      <c r="CZ230" s="59"/>
      <c r="DA230" s="59"/>
    </row>
    <row r="231" customFormat="false" ht="12.75" hidden="false" customHeight="true" outlineLevel="0" collapsed="false">
      <c r="A231" s="115"/>
      <c r="B231" s="115"/>
      <c r="C231" s="115"/>
      <c r="D231" s="115"/>
      <c r="E231" s="115"/>
      <c r="F231" s="115"/>
      <c r="G231" s="115"/>
      <c r="H231" s="115"/>
      <c r="I231" s="59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59"/>
      <c r="CG231" s="59"/>
      <c r="CH231" s="59"/>
      <c r="CI231" s="59"/>
      <c r="CJ231" s="59"/>
      <c r="CK231" s="59"/>
      <c r="CL231" s="59"/>
      <c r="CM231" s="59"/>
      <c r="CN231" s="59"/>
      <c r="CO231" s="59"/>
      <c r="CP231" s="59"/>
      <c r="CQ231" s="59"/>
      <c r="CR231" s="59"/>
      <c r="CS231" s="59"/>
      <c r="CT231" s="59"/>
      <c r="CU231" s="59"/>
      <c r="CV231" s="59"/>
      <c r="CW231" s="59"/>
      <c r="CX231" s="59"/>
      <c r="CY231" s="59"/>
      <c r="CZ231" s="59"/>
      <c r="DA231" s="59"/>
    </row>
    <row r="232" customFormat="false" ht="12.75" hidden="false" customHeight="true" outlineLevel="0" collapsed="false">
      <c r="A232" s="115"/>
      <c r="B232" s="115"/>
      <c r="C232" s="115"/>
      <c r="D232" s="115"/>
      <c r="E232" s="115"/>
      <c r="F232" s="115"/>
      <c r="G232" s="115"/>
      <c r="H232" s="115"/>
      <c r="I232" s="59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/>
      <c r="CA232" s="59"/>
      <c r="CB232" s="59"/>
      <c r="CC232" s="59"/>
      <c r="CD232" s="59"/>
      <c r="CE232" s="59"/>
      <c r="CF232" s="59"/>
      <c r="CG232" s="59"/>
      <c r="CH232" s="59"/>
      <c r="CI232" s="59"/>
      <c r="CJ232" s="59"/>
      <c r="CK232" s="59"/>
      <c r="CL232" s="59"/>
      <c r="CM232" s="59"/>
      <c r="CN232" s="59"/>
      <c r="CO232" s="59"/>
      <c r="CP232" s="59"/>
      <c r="CQ232" s="59"/>
      <c r="CR232" s="59"/>
      <c r="CS232" s="59"/>
      <c r="CT232" s="59"/>
      <c r="CU232" s="59"/>
      <c r="CV232" s="59"/>
      <c r="CW232" s="59"/>
      <c r="CX232" s="59"/>
      <c r="CY232" s="59"/>
      <c r="CZ232" s="59"/>
      <c r="DA232" s="59"/>
    </row>
    <row r="233" customFormat="false" ht="12.75" hidden="false" customHeight="true" outlineLevel="0" collapsed="false">
      <c r="A233" s="115"/>
      <c r="B233" s="115"/>
      <c r="C233" s="115"/>
      <c r="D233" s="115"/>
      <c r="E233" s="115"/>
      <c r="F233" s="115"/>
      <c r="G233" s="115"/>
      <c r="H233" s="115"/>
      <c r="I233" s="59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  <c r="CL233" s="59"/>
      <c r="CM233" s="59"/>
      <c r="CN233" s="59"/>
      <c r="CO233" s="59"/>
      <c r="CP233" s="59"/>
      <c r="CQ233" s="59"/>
      <c r="CR233" s="59"/>
      <c r="CS233" s="59"/>
      <c r="CT233" s="59"/>
      <c r="CU233" s="59"/>
      <c r="CV233" s="59"/>
      <c r="CW233" s="59"/>
      <c r="CX233" s="59"/>
      <c r="CY233" s="59"/>
      <c r="CZ233" s="59"/>
      <c r="DA233" s="59"/>
    </row>
    <row r="234" customFormat="false" ht="12.75" hidden="false" customHeight="true" outlineLevel="0" collapsed="false">
      <c r="A234" s="115"/>
      <c r="B234" s="115"/>
      <c r="C234" s="115"/>
      <c r="D234" s="115"/>
      <c r="E234" s="115"/>
      <c r="F234" s="115"/>
      <c r="G234" s="115"/>
      <c r="H234" s="115"/>
      <c r="I234" s="59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59"/>
      <c r="CH234" s="59"/>
      <c r="CI234" s="59"/>
      <c r="CJ234" s="59"/>
      <c r="CK234" s="59"/>
      <c r="CL234" s="59"/>
      <c r="CM234" s="59"/>
      <c r="CN234" s="59"/>
      <c r="CO234" s="59"/>
      <c r="CP234" s="59"/>
      <c r="CQ234" s="59"/>
      <c r="CR234" s="59"/>
      <c r="CS234" s="59"/>
      <c r="CT234" s="59"/>
      <c r="CU234" s="59"/>
      <c r="CV234" s="59"/>
      <c r="CW234" s="59"/>
      <c r="CX234" s="59"/>
      <c r="CY234" s="59"/>
      <c r="CZ234" s="59"/>
      <c r="DA234" s="59"/>
    </row>
    <row r="235" customFormat="false" ht="12.75" hidden="false" customHeight="true" outlineLevel="0" collapsed="false">
      <c r="A235" s="115"/>
      <c r="B235" s="115"/>
      <c r="C235" s="115"/>
      <c r="D235" s="115"/>
      <c r="E235" s="115"/>
      <c r="F235" s="115"/>
      <c r="G235" s="115"/>
      <c r="H235" s="115"/>
      <c r="I235" s="59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  <c r="CK235" s="59"/>
      <c r="CL235" s="59"/>
      <c r="CM235" s="59"/>
      <c r="CN235" s="59"/>
      <c r="CO235" s="59"/>
      <c r="CP235" s="59"/>
      <c r="CQ235" s="59"/>
      <c r="CR235" s="59"/>
      <c r="CS235" s="59"/>
      <c r="CT235" s="59"/>
      <c r="CU235" s="59"/>
      <c r="CV235" s="59"/>
      <c r="CW235" s="59"/>
      <c r="CX235" s="59"/>
      <c r="CY235" s="59"/>
      <c r="CZ235" s="59"/>
      <c r="DA235" s="59"/>
    </row>
    <row r="236" customFormat="false" ht="12.75" hidden="false" customHeight="true" outlineLevel="0" collapsed="false">
      <c r="A236" s="115"/>
      <c r="B236" s="115"/>
      <c r="C236" s="115"/>
      <c r="D236" s="115"/>
      <c r="E236" s="115"/>
      <c r="F236" s="115"/>
      <c r="G236" s="115"/>
      <c r="H236" s="115"/>
      <c r="I236" s="59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  <c r="BY236" s="59"/>
      <c r="BZ236" s="59"/>
      <c r="CA236" s="59"/>
      <c r="CB236" s="59"/>
      <c r="CC236" s="59"/>
      <c r="CD236" s="59"/>
      <c r="CE236" s="59"/>
      <c r="CF236" s="59"/>
      <c r="CG236" s="59"/>
      <c r="CH236" s="59"/>
      <c r="CI236" s="59"/>
      <c r="CJ236" s="59"/>
      <c r="CK236" s="59"/>
      <c r="CL236" s="59"/>
      <c r="CM236" s="59"/>
      <c r="CN236" s="59"/>
      <c r="CO236" s="59"/>
      <c r="CP236" s="59"/>
      <c r="CQ236" s="59"/>
      <c r="CR236" s="59"/>
      <c r="CS236" s="59"/>
      <c r="CT236" s="59"/>
      <c r="CU236" s="59"/>
      <c r="CV236" s="59"/>
      <c r="CW236" s="59"/>
      <c r="CX236" s="59"/>
      <c r="CY236" s="59"/>
      <c r="CZ236" s="59"/>
      <c r="DA236" s="59"/>
    </row>
    <row r="237" customFormat="false" ht="12.75" hidden="false" customHeight="true" outlineLevel="0" collapsed="false">
      <c r="A237" s="115"/>
      <c r="B237" s="115"/>
      <c r="C237" s="115"/>
      <c r="D237" s="115"/>
      <c r="E237" s="115"/>
      <c r="F237" s="115"/>
      <c r="G237" s="115"/>
      <c r="H237" s="115"/>
      <c r="I237" s="59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59"/>
      <c r="CF237" s="59"/>
      <c r="CG237" s="59"/>
      <c r="CH237" s="59"/>
      <c r="CI237" s="59"/>
      <c r="CJ237" s="59"/>
      <c r="CK237" s="59"/>
      <c r="CL237" s="59"/>
      <c r="CM237" s="59"/>
      <c r="CN237" s="59"/>
      <c r="CO237" s="59"/>
      <c r="CP237" s="59"/>
      <c r="CQ237" s="59"/>
      <c r="CR237" s="59"/>
      <c r="CS237" s="59"/>
      <c r="CT237" s="59"/>
      <c r="CU237" s="59"/>
      <c r="CV237" s="59"/>
      <c r="CW237" s="59"/>
      <c r="CX237" s="59"/>
      <c r="CY237" s="59"/>
      <c r="CZ237" s="59"/>
      <c r="DA237" s="59"/>
    </row>
    <row r="238" customFormat="false" ht="12.75" hidden="false" customHeight="true" outlineLevel="0" collapsed="false">
      <c r="A238" s="115"/>
      <c r="B238" s="115"/>
      <c r="C238" s="115"/>
      <c r="D238" s="115"/>
      <c r="E238" s="115"/>
      <c r="F238" s="115"/>
      <c r="G238" s="115"/>
      <c r="H238" s="115"/>
      <c r="I238" s="59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  <c r="BY238" s="59"/>
      <c r="BZ238" s="59"/>
      <c r="CA238" s="59"/>
      <c r="CB238" s="59"/>
      <c r="CC238" s="59"/>
      <c r="CD238" s="59"/>
      <c r="CE238" s="59"/>
      <c r="CF238" s="59"/>
      <c r="CG238" s="59"/>
      <c r="CH238" s="59"/>
      <c r="CI238" s="59"/>
      <c r="CJ238" s="59"/>
      <c r="CK238" s="59"/>
      <c r="CL238" s="59"/>
      <c r="CM238" s="59"/>
      <c r="CN238" s="59"/>
      <c r="CO238" s="59"/>
      <c r="CP238" s="59"/>
      <c r="CQ238" s="59"/>
      <c r="CR238" s="59"/>
      <c r="CS238" s="59"/>
      <c r="CT238" s="59"/>
      <c r="CU238" s="59"/>
      <c r="CV238" s="59"/>
      <c r="CW238" s="59"/>
      <c r="CX238" s="59"/>
      <c r="CY238" s="59"/>
      <c r="CZ238" s="59"/>
      <c r="DA238" s="59"/>
    </row>
    <row r="239" customFormat="false" ht="12.75" hidden="false" customHeight="true" outlineLevel="0" collapsed="false">
      <c r="A239" s="115"/>
      <c r="B239" s="115"/>
      <c r="C239" s="115"/>
      <c r="D239" s="115"/>
      <c r="E239" s="115"/>
      <c r="F239" s="115"/>
      <c r="G239" s="115"/>
      <c r="H239" s="115"/>
      <c r="I239" s="59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  <c r="BY239" s="59"/>
      <c r="BZ239" s="59"/>
      <c r="CA239" s="59"/>
      <c r="CB239" s="59"/>
      <c r="CC239" s="59"/>
      <c r="CD239" s="59"/>
      <c r="CE239" s="59"/>
      <c r="CF239" s="59"/>
      <c r="CG239" s="59"/>
      <c r="CH239" s="59"/>
      <c r="CI239" s="59"/>
      <c r="CJ239" s="59"/>
      <c r="CK239" s="59"/>
      <c r="CL239" s="59"/>
      <c r="CM239" s="59"/>
      <c r="CN239" s="59"/>
      <c r="CO239" s="59"/>
      <c r="CP239" s="59"/>
      <c r="CQ239" s="59"/>
      <c r="CR239" s="59"/>
      <c r="CS239" s="59"/>
      <c r="CT239" s="59"/>
      <c r="CU239" s="59"/>
      <c r="CV239" s="59"/>
      <c r="CW239" s="59"/>
      <c r="CX239" s="59"/>
      <c r="CY239" s="59"/>
      <c r="CZ239" s="59"/>
      <c r="DA239" s="59"/>
    </row>
    <row r="240" customFormat="false" ht="12.75" hidden="false" customHeight="true" outlineLevel="0" collapsed="false">
      <c r="A240" s="115"/>
      <c r="B240" s="115"/>
      <c r="C240" s="115"/>
      <c r="D240" s="115"/>
      <c r="E240" s="115"/>
      <c r="F240" s="115"/>
      <c r="G240" s="115"/>
      <c r="H240" s="115"/>
      <c r="I240" s="59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59"/>
      <c r="CG240" s="59"/>
      <c r="CH240" s="59"/>
      <c r="CI240" s="59"/>
      <c r="CJ240" s="59"/>
      <c r="CK240" s="59"/>
      <c r="CL240" s="59"/>
      <c r="CM240" s="59"/>
      <c r="CN240" s="59"/>
      <c r="CO240" s="59"/>
      <c r="CP240" s="59"/>
      <c r="CQ240" s="59"/>
      <c r="CR240" s="59"/>
      <c r="CS240" s="59"/>
      <c r="CT240" s="59"/>
      <c r="CU240" s="59"/>
      <c r="CV240" s="59"/>
      <c r="CW240" s="59"/>
      <c r="CX240" s="59"/>
      <c r="CY240" s="59"/>
      <c r="CZ240" s="59"/>
      <c r="DA240" s="59"/>
    </row>
    <row r="241" customFormat="false" ht="12.75" hidden="false" customHeight="true" outlineLevel="0" collapsed="false">
      <c r="A241" s="115"/>
      <c r="B241" s="115"/>
      <c r="C241" s="115"/>
      <c r="D241" s="115"/>
      <c r="E241" s="115"/>
      <c r="F241" s="115"/>
      <c r="G241" s="115"/>
      <c r="H241" s="115"/>
      <c r="I241" s="59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59"/>
      <c r="CG241" s="59"/>
      <c r="CH241" s="59"/>
      <c r="CI241" s="59"/>
      <c r="CJ241" s="59"/>
      <c r="CK241" s="59"/>
      <c r="CL241" s="59"/>
      <c r="CM241" s="59"/>
      <c r="CN241" s="59"/>
      <c r="CO241" s="59"/>
      <c r="CP241" s="59"/>
      <c r="CQ241" s="59"/>
      <c r="CR241" s="59"/>
      <c r="CS241" s="59"/>
      <c r="CT241" s="59"/>
      <c r="CU241" s="59"/>
      <c r="CV241" s="59"/>
      <c r="CW241" s="59"/>
      <c r="CX241" s="59"/>
      <c r="CY241" s="59"/>
      <c r="CZ241" s="59"/>
      <c r="DA241" s="59"/>
    </row>
    <row r="242" customFormat="false" ht="12.75" hidden="false" customHeight="true" outlineLevel="0" collapsed="false">
      <c r="A242" s="115"/>
      <c r="B242" s="115"/>
      <c r="C242" s="115"/>
      <c r="D242" s="115"/>
      <c r="E242" s="115"/>
      <c r="F242" s="115"/>
      <c r="G242" s="115"/>
      <c r="H242" s="115"/>
      <c r="I242" s="59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  <c r="CL242" s="59"/>
      <c r="CM242" s="59"/>
      <c r="CN242" s="59"/>
      <c r="CO242" s="59"/>
      <c r="CP242" s="59"/>
      <c r="CQ242" s="59"/>
      <c r="CR242" s="59"/>
      <c r="CS242" s="59"/>
      <c r="CT242" s="59"/>
      <c r="CU242" s="59"/>
      <c r="CV242" s="59"/>
      <c r="CW242" s="59"/>
      <c r="CX242" s="59"/>
      <c r="CY242" s="59"/>
      <c r="CZ242" s="59"/>
      <c r="DA242" s="59"/>
    </row>
    <row r="243" customFormat="false" ht="12.75" hidden="false" customHeight="true" outlineLevel="0" collapsed="false">
      <c r="A243" s="115"/>
      <c r="B243" s="115"/>
      <c r="C243" s="115"/>
      <c r="D243" s="115"/>
      <c r="E243" s="115"/>
      <c r="F243" s="115"/>
      <c r="G243" s="115"/>
      <c r="H243" s="115"/>
      <c r="I243" s="59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  <c r="BY243" s="59"/>
      <c r="BZ243" s="59"/>
      <c r="CA243" s="59"/>
      <c r="CB243" s="59"/>
      <c r="CC243" s="59"/>
      <c r="CD243" s="59"/>
      <c r="CE243" s="59"/>
      <c r="CF243" s="59"/>
      <c r="CG243" s="59"/>
      <c r="CH243" s="59"/>
      <c r="CI243" s="59"/>
      <c r="CJ243" s="59"/>
      <c r="CK243" s="59"/>
      <c r="CL243" s="59"/>
      <c r="CM243" s="59"/>
      <c r="CN243" s="59"/>
      <c r="CO243" s="59"/>
      <c r="CP243" s="59"/>
      <c r="CQ243" s="59"/>
      <c r="CR243" s="59"/>
      <c r="CS243" s="59"/>
      <c r="CT243" s="59"/>
      <c r="CU243" s="59"/>
      <c r="CV243" s="59"/>
      <c r="CW243" s="59"/>
      <c r="CX243" s="59"/>
      <c r="CY243" s="59"/>
      <c r="CZ243" s="59"/>
      <c r="DA243" s="59"/>
    </row>
    <row r="244" customFormat="false" ht="12.75" hidden="false" customHeight="true" outlineLevel="0" collapsed="false">
      <c r="A244" s="115"/>
      <c r="B244" s="115"/>
      <c r="C244" s="115"/>
      <c r="D244" s="115"/>
      <c r="E244" s="115"/>
      <c r="F244" s="115"/>
      <c r="G244" s="115"/>
      <c r="H244" s="115"/>
      <c r="I244" s="59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59"/>
      <c r="CG244" s="59"/>
      <c r="CH244" s="59"/>
      <c r="CI244" s="59"/>
      <c r="CJ244" s="59"/>
      <c r="CK244" s="59"/>
      <c r="CL244" s="59"/>
      <c r="CM244" s="59"/>
      <c r="CN244" s="59"/>
      <c r="CO244" s="59"/>
      <c r="CP244" s="59"/>
      <c r="CQ244" s="59"/>
      <c r="CR244" s="59"/>
      <c r="CS244" s="59"/>
      <c r="CT244" s="59"/>
      <c r="CU244" s="59"/>
      <c r="CV244" s="59"/>
      <c r="CW244" s="59"/>
      <c r="CX244" s="59"/>
      <c r="CY244" s="59"/>
      <c r="CZ244" s="59"/>
      <c r="DA244" s="59"/>
    </row>
    <row r="245" customFormat="false" ht="12.75" hidden="false" customHeight="true" outlineLevel="0" collapsed="false">
      <c r="A245" s="115"/>
      <c r="B245" s="115"/>
      <c r="C245" s="115"/>
      <c r="D245" s="115"/>
      <c r="E245" s="115"/>
      <c r="F245" s="115"/>
      <c r="G245" s="115"/>
      <c r="H245" s="115"/>
      <c r="I245" s="59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59"/>
      <c r="CF245" s="59"/>
      <c r="CG245" s="59"/>
      <c r="CH245" s="59"/>
      <c r="CI245" s="59"/>
      <c r="CJ245" s="59"/>
      <c r="CK245" s="59"/>
      <c r="CL245" s="59"/>
      <c r="CM245" s="59"/>
      <c r="CN245" s="59"/>
      <c r="CO245" s="59"/>
      <c r="CP245" s="59"/>
      <c r="CQ245" s="59"/>
      <c r="CR245" s="59"/>
      <c r="CS245" s="59"/>
      <c r="CT245" s="59"/>
      <c r="CU245" s="59"/>
      <c r="CV245" s="59"/>
      <c r="CW245" s="59"/>
      <c r="CX245" s="59"/>
      <c r="CY245" s="59"/>
      <c r="CZ245" s="59"/>
      <c r="DA245" s="59"/>
    </row>
    <row r="246" customFormat="false" ht="12.75" hidden="false" customHeight="true" outlineLevel="0" collapsed="false">
      <c r="A246" s="115"/>
      <c r="B246" s="115"/>
      <c r="C246" s="115"/>
      <c r="D246" s="115"/>
      <c r="E246" s="115"/>
      <c r="F246" s="115"/>
      <c r="G246" s="115"/>
      <c r="H246" s="115"/>
      <c r="I246" s="59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59"/>
      <c r="CG246" s="59"/>
      <c r="CH246" s="59"/>
      <c r="CI246" s="59"/>
      <c r="CJ246" s="59"/>
      <c r="CK246" s="59"/>
      <c r="CL246" s="59"/>
      <c r="CM246" s="59"/>
      <c r="CN246" s="59"/>
      <c r="CO246" s="59"/>
      <c r="CP246" s="59"/>
      <c r="CQ246" s="59"/>
      <c r="CR246" s="59"/>
      <c r="CS246" s="59"/>
      <c r="CT246" s="59"/>
      <c r="CU246" s="59"/>
      <c r="CV246" s="59"/>
      <c r="CW246" s="59"/>
      <c r="CX246" s="59"/>
      <c r="CY246" s="59"/>
      <c r="CZ246" s="59"/>
      <c r="DA246" s="59"/>
    </row>
    <row r="247" customFormat="false" ht="12.75" hidden="false" customHeight="true" outlineLevel="0" collapsed="false"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  <c r="CK247" s="59"/>
      <c r="CL247" s="59"/>
      <c r="CM247" s="59"/>
      <c r="CN247" s="59"/>
      <c r="CO247" s="59"/>
      <c r="CP247" s="59"/>
      <c r="CQ247" s="59"/>
      <c r="CR247" s="59"/>
      <c r="CS247" s="59"/>
      <c r="CT247" s="59"/>
      <c r="CU247" s="59"/>
      <c r="CV247" s="59"/>
      <c r="CW247" s="59"/>
      <c r="CX247" s="59"/>
      <c r="CY247" s="59"/>
      <c r="CZ247" s="59"/>
      <c r="DA247" s="59"/>
    </row>
    <row r="248" customFormat="false" ht="12.75" hidden="false" customHeight="true" outlineLevel="0" collapsed="false"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  <c r="BY248" s="59"/>
      <c r="BZ248" s="59"/>
      <c r="CA248" s="59"/>
      <c r="CB248" s="59"/>
      <c r="CC248" s="59"/>
      <c r="CD248" s="59"/>
      <c r="CE248" s="59"/>
      <c r="CF248" s="59"/>
      <c r="CG248" s="59"/>
      <c r="CH248" s="59"/>
      <c r="CI248" s="59"/>
      <c r="CJ248" s="59"/>
      <c r="CK248" s="59"/>
      <c r="CL248" s="59"/>
      <c r="CM248" s="59"/>
      <c r="CN248" s="59"/>
      <c r="CO248" s="59"/>
      <c r="CP248" s="59"/>
      <c r="CQ248" s="59"/>
      <c r="CR248" s="59"/>
      <c r="CS248" s="59"/>
      <c r="CT248" s="59"/>
      <c r="CU248" s="59"/>
      <c r="CV248" s="59"/>
      <c r="CW248" s="59"/>
      <c r="CX248" s="59"/>
      <c r="CY248" s="59"/>
      <c r="CZ248" s="59"/>
      <c r="DA248" s="59"/>
    </row>
    <row r="249" customFormat="false" ht="12.75" hidden="false" customHeight="true" outlineLevel="0" collapsed="false"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59"/>
      <c r="CF249" s="59"/>
      <c r="CG249" s="59"/>
      <c r="CH249" s="59"/>
      <c r="CI249" s="59"/>
      <c r="CJ249" s="59"/>
      <c r="CK249" s="59"/>
      <c r="CL249" s="59"/>
      <c r="CM249" s="59"/>
      <c r="CN249" s="59"/>
      <c r="CO249" s="59"/>
      <c r="CP249" s="59"/>
      <c r="CQ249" s="59"/>
      <c r="CR249" s="59"/>
      <c r="CS249" s="59"/>
      <c r="CT249" s="59"/>
      <c r="CU249" s="59"/>
      <c r="CV249" s="59"/>
      <c r="CW249" s="59"/>
      <c r="CX249" s="59"/>
      <c r="CY249" s="59"/>
      <c r="CZ249" s="59"/>
      <c r="DA249" s="59"/>
    </row>
    <row r="250" customFormat="false" ht="12.75" hidden="false" customHeight="true" outlineLevel="0" collapsed="false"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59"/>
      <c r="CF250" s="59"/>
      <c r="CG250" s="59"/>
      <c r="CH250" s="59"/>
      <c r="CI250" s="59"/>
      <c r="CJ250" s="59"/>
      <c r="CK250" s="59"/>
      <c r="CL250" s="59"/>
      <c r="CM250" s="59"/>
      <c r="CN250" s="59"/>
      <c r="CO250" s="59"/>
      <c r="CP250" s="59"/>
      <c r="CQ250" s="59"/>
      <c r="CR250" s="59"/>
      <c r="CS250" s="59"/>
      <c r="CT250" s="59"/>
      <c r="CU250" s="59"/>
      <c r="CV250" s="59"/>
      <c r="CW250" s="59"/>
      <c r="CX250" s="59"/>
      <c r="CY250" s="59"/>
      <c r="CZ250" s="59"/>
      <c r="DA250" s="59"/>
    </row>
    <row r="251" customFormat="false" ht="12.75" hidden="false" customHeight="true" outlineLevel="0" collapsed="false"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59"/>
      <c r="CF251" s="59"/>
      <c r="CG251" s="59"/>
      <c r="CH251" s="59"/>
      <c r="CI251" s="59"/>
      <c r="CJ251" s="59"/>
      <c r="CK251" s="59"/>
      <c r="CL251" s="59"/>
      <c r="CM251" s="59"/>
      <c r="CN251" s="59"/>
      <c r="CO251" s="59"/>
      <c r="CP251" s="59"/>
      <c r="CQ251" s="59"/>
      <c r="CR251" s="59"/>
      <c r="CS251" s="59"/>
      <c r="CT251" s="59"/>
      <c r="CU251" s="59"/>
      <c r="CV251" s="59"/>
      <c r="CW251" s="59"/>
      <c r="CX251" s="59"/>
      <c r="CY251" s="59"/>
      <c r="CZ251" s="59"/>
      <c r="DA251" s="59"/>
    </row>
    <row r="252" customFormat="false" ht="12.75" hidden="false" customHeight="true" outlineLevel="0" collapsed="false"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59"/>
      <c r="CG252" s="59"/>
      <c r="CH252" s="59"/>
      <c r="CI252" s="59"/>
      <c r="CJ252" s="59"/>
      <c r="CK252" s="59"/>
      <c r="CL252" s="59"/>
      <c r="CM252" s="59"/>
      <c r="CN252" s="59"/>
      <c r="CO252" s="59"/>
      <c r="CP252" s="59"/>
      <c r="CQ252" s="59"/>
      <c r="CR252" s="59"/>
      <c r="CS252" s="59"/>
      <c r="CT252" s="59"/>
      <c r="CU252" s="59"/>
      <c r="CV252" s="59"/>
      <c r="CW252" s="59"/>
      <c r="CX252" s="59"/>
      <c r="CY252" s="59"/>
      <c r="CZ252" s="59"/>
      <c r="DA252" s="59"/>
    </row>
    <row r="253" customFormat="false" ht="12.75" hidden="false" customHeight="true" outlineLevel="0" collapsed="false"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59"/>
      <c r="CG253" s="59"/>
      <c r="CH253" s="59"/>
      <c r="CI253" s="59"/>
      <c r="CJ253" s="59"/>
      <c r="CK253" s="59"/>
      <c r="CL253" s="59"/>
      <c r="CM253" s="59"/>
      <c r="CN253" s="59"/>
      <c r="CO253" s="59"/>
      <c r="CP253" s="59"/>
      <c r="CQ253" s="59"/>
      <c r="CR253" s="59"/>
      <c r="CS253" s="59"/>
      <c r="CT253" s="59"/>
      <c r="CU253" s="59"/>
      <c r="CV253" s="59"/>
      <c r="CW253" s="59"/>
      <c r="CX253" s="59"/>
      <c r="CY253" s="59"/>
      <c r="CZ253" s="59"/>
      <c r="DA253" s="59"/>
    </row>
    <row r="254" customFormat="false" ht="12.75" hidden="false" customHeight="true" outlineLevel="0" collapsed="false"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59"/>
      <c r="CF254" s="59"/>
      <c r="CG254" s="59"/>
      <c r="CH254" s="59"/>
      <c r="CI254" s="59"/>
      <c r="CJ254" s="59"/>
      <c r="CK254" s="59"/>
      <c r="CL254" s="59"/>
      <c r="CM254" s="59"/>
      <c r="CN254" s="59"/>
      <c r="CO254" s="59"/>
      <c r="CP254" s="59"/>
      <c r="CQ254" s="59"/>
      <c r="CR254" s="59"/>
      <c r="CS254" s="59"/>
      <c r="CT254" s="59"/>
      <c r="CU254" s="59"/>
      <c r="CV254" s="59"/>
      <c r="CW254" s="59"/>
      <c r="CX254" s="59"/>
      <c r="CY254" s="59"/>
      <c r="CZ254" s="59"/>
      <c r="DA254" s="59"/>
    </row>
    <row r="255" customFormat="false" ht="12.75" hidden="false" customHeight="true" outlineLevel="0" collapsed="false"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59"/>
      <c r="CF255" s="59"/>
      <c r="CG255" s="59"/>
      <c r="CH255" s="59"/>
      <c r="CI255" s="59"/>
      <c r="CJ255" s="59"/>
      <c r="CK255" s="59"/>
      <c r="CL255" s="59"/>
      <c r="CM255" s="59"/>
      <c r="CN255" s="59"/>
      <c r="CO255" s="59"/>
      <c r="CP255" s="59"/>
      <c r="CQ255" s="59"/>
      <c r="CR255" s="59"/>
      <c r="CS255" s="59"/>
      <c r="CT255" s="59"/>
      <c r="CU255" s="59"/>
      <c r="CV255" s="59"/>
      <c r="CW255" s="59"/>
      <c r="CX255" s="59"/>
      <c r="CY255" s="59"/>
      <c r="CZ255" s="59"/>
      <c r="DA255" s="59"/>
    </row>
    <row r="256" customFormat="false" ht="12.75" hidden="false" customHeight="true" outlineLevel="0" collapsed="false"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  <c r="CL256" s="59"/>
      <c r="CM256" s="59"/>
      <c r="CN256" s="59"/>
      <c r="CO256" s="59"/>
      <c r="CP256" s="59"/>
      <c r="CQ256" s="59"/>
      <c r="CR256" s="59"/>
      <c r="CS256" s="59"/>
      <c r="CT256" s="59"/>
      <c r="CU256" s="59"/>
      <c r="CV256" s="59"/>
      <c r="CW256" s="59"/>
      <c r="CX256" s="59"/>
      <c r="CY256" s="59"/>
      <c r="CZ256" s="59"/>
      <c r="DA256" s="59"/>
    </row>
    <row r="257" customFormat="false" ht="12.75" hidden="false" customHeight="true" outlineLevel="0" collapsed="false"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  <c r="CP257" s="59"/>
      <c r="CQ257" s="59"/>
      <c r="CR257" s="59"/>
      <c r="CS257" s="59"/>
      <c r="CT257" s="59"/>
      <c r="CU257" s="59"/>
      <c r="CV257" s="59"/>
      <c r="CW257" s="59"/>
      <c r="CX257" s="59"/>
      <c r="CY257" s="59"/>
      <c r="CZ257" s="59"/>
      <c r="DA257" s="59"/>
    </row>
    <row r="258" customFormat="false" ht="12.75" hidden="false" customHeight="true" outlineLevel="0" collapsed="false"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  <c r="CP258" s="59"/>
      <c r="CQ258" s="59"/>
      <c r="CR258" s="59"/>
      <c r="CS258" s="59"/>
      <c r="CT258" s="59"/>
      <c r="CU258" s="59"/>
      <c r="CV258" s="59"/>
      <c r="CW258" s="59"/>
      <c r="CX258" s="59"/>
      <c r="CY258" s="59"/>
      <c r="CZ258" s="59"/>
      <c r="DA258" s="59"/>
    </row>
    <row r="259" customFormat="false" ht="12.75" hidden="false" customHeight="true" outlineLevel="0" collapsed="false"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  <c r="CP259" s="59"/>
      <c r="CQ259" s="59"/>
      <c r="CR259" s="59"/>
      <c r="CS259" s="59"/>
      <c r="CT259" s="59"/>
      <c r="CU259" s="59"/>
      <c r="CV259" s="59"/>
      <c r="CW259" s="59"/>
      <c r="CX259" s="59"/>
      <c r="CY259" s="59"/>
      <c r="CZ259" s="59"/>
      <c r="DA259" s="59"/>
    </row>
    <row r="260" customFormat="false" ht="12.75" hidden="false" customHeight="true" outlineLevel="0" collapsed="false"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59"/>
      <c r="CG260" s="59"/>
      <c r="CH260" s="59"/>
      <c r="CI260" s="59"/>
      <c r="CJ260" s="59"/>
      <c r="CK260" s="59"/>
      <c r="CL260" s="59"/>
      <c r="CM260" s="59"/>
      <c r="CN260" s="59"/>
      <c r="CO260" s="59"/>
      <c r="CP260" s="59"/>
      <c r="CQ260" s="59"/>
      <c r="CR260" s="59"/>
      <c r="CS260" s="59"/>
      <c r="CT260" s="59"/>
      <c r="CU260" s="59"/>
      <c r="CV260" s="59"/>
      <c r="CW260" s="59"/>
      <c r="CX260" s="59"/>
      <c r="CY260" s="59"/>
      <c r="CZ260" s="59"/>
      <c r="DA260" s="59"/>
    </row>
    <row r="261" customFormat="false" ht="12.75" hidden="false" customHeight="true" outlineLevel="0" collapsed="false"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</row>
    <row r="262" customFormat="false" ht="12.75" hidden="false" customHeight="true" outlineLevel="0" collapsed="false"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59"/>
      <c r="CG262" s="59"/>
      <c r="CH262" s="59"/>
      <c r="CI262" s="59"/>
      <c r="CJ262" s="59"/>
      <c r="CK262" s="59"/>
      <c r="CL262" s="59"/>
      <c r="CM262" s="59"/>
      <c r="CN262" s="59"/>
      <c r="CO262" s="59"/>
      <c r="CP262" s="59"/>
      <c r="CQ262" s="59"/>
      <c r="CR262" s="59"/>
      <c r="CS262" s="59"/>
      <c r="CT262" s="59"/>
      <c r="CU262" s="59"/>
      <c r="CV262" s="59"/>
      <c r="CW262" s="59"/>
      <c r="CX262" s="59"/>
      <c r="CY262" s="59"/>
      <c r="CZ262" s="59"/>
      <c r="DA262" s="59"/>
    </row>
    <row r="263" customFormat="false" ht="12.75" hidden="false" customHeight="true" outlineLevel="0" collapsed="false"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59"/>
      <c r="CG263" s="59"/>
      <c r="CH263" s="59"/>
      <c r="CI263" s="59"/>
      <c r="CJ263" s="59"/>
      <c r="CK263" s="59"/>
      <c r="CL263" s="59"/>
      <c r="CM263" s="59"/>
      <c r="CN263" s="59"/>
      <c r="CO263" s="59"/>
      <c r="CP263" s="59"/>
      <c r="CQ263" s="59"/>
      <c r="CR263" s="59"/>
      <c r="CS263" s="59"/>
      <c r="CT263" s="59"/>
      <c r="CU263" s="59"/>
      <c r="CV263" s="59"/>
      <c r="CW263" s="59"/>
      <c r="CX263" s="59"/>
      <c r="CY263" s="59"/>
      <c r="CZ263" s="59"/>
      <c r="DA263" s="59"/>
    </row>
    <row r="264" customFormat="false" ht="12.75" hidden="false" customHeight="true" outlineLevel="0" collapsed="false"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  <c r="CP264" s="59"/>
      <c r="CQ264" s="59"/>
      <c r="CR264" s="59"/>
      <c r="CS264" s="59"/>
      <c r="CT264" s="59"/>
      <c r="CU264" s="59"/>
      <c r="CV264" s="59"/>
      <c r="CW264" s="59"/>
      <c r="CX264" s="59"/>
      <c r="CY264" s="59"/>
      <c r="CZ264" s="59"/>
      <c r="DA264" s="59"/>
    </row>
    <row r="265" customFormat="false" ht="12.75" hidden="false" customHeight="true" outlineLevel="0" collapsed="false"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  <c r="CP265" s="59"/>
      <c r="CQ265" s="59"/>
      <c r="CR265" s="59"/>
      <c r="CS265" s="59"/>
      <c r="CT265" s="59"/>
      <c r="CU265" s="59"/>
      <c r="CV265" s="59"/>
      <c r="CW265" s="59"/>
      <c r="CX265" s="59"/>
      <c r="CY265" s="59"/>
      <c r="CZ265" s="59"/>
      <c r="DA265" s="59"/>
    </row>
    <row r="266" customFormat="false" ht="12.75" hidden="false" customHeight="true" outlineLevel="0" collapsed="false"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59"/>
      <c r="CG266" s="59"/>
      <c r="CH266" s="59"/>
      <c r="CI266" s="59"/>
      <c r="CJ266" s="59"/>
      <c r="CK266" s="59"/>
      <c r="CL266" s="59"/>
      <c r="CM266" s="59"/>
      <c r="CN266" s="59"/>
      <c r="CO266" s="59"/>
      <c r="CP266" s="59"/>
      <c r="CQ266" s="59"/>
      <c r="CR266" s="59"/>
      <c r="CS266" s="59"/>
      <c r="CT266" s="59"/>
      <c r="CU266" s="59"/>
      <c r="CV266" s="59"/>
      <c r="CW266" s="59"/>
      <c r="CX266" s="59"/>
      <c r="CY266" s="59"/>
      <c r="CZ266" s="59"/>
      <c r="DA266" s="59"/>
    </row>
    <row r="267" customFormat="false" ht="12.75" hidden="false" customHeight="true" outlineLevel="0" collapsed="false"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59"/>
      <c r="CG267" s="59"/>
      <c r="CH267" s="59"/>
      <c r="CI267" s="59"/>
      <c r="CJ267" s="59"/>
      <c r="CK267" s="59"/>
      <c r="CL267" s="59"/>
      <c r="CM267" s="59"/>
      <c r="CN267" s="59"/>
      <c r="CO267" s="59"/>
      <c r="CP267" s="59"/>
      <c r="CQ267" s="59"/>
      <c r="CR267" s="59"/>
      <c r="CS267" s="59"/>
      <c r="CT267" s="59"/>
      <c r="CU267" s="59"/>
      <c r="CV267" s="59"/>
      <c r="CW267" s="59"/>
      <c r="CX267" s="59"/>
      <c r="CY267" s="59"/>
      <c r="CZ267" s="59"/>
      <c r="DA267" s="59"/>
    </row>
    <row r="268" customFormat="false" ht="12.75" hidden="false" customHeight="true" outlineLevel="0" collapsed="false"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  <c r="CK268" s="59"/>
      <c r="CL268" s="59"/>
      <c r="CM268" s="59"/>
      <c r="CN268" s="59"/>
      <c r="CO268" s="59"/>
      <c r="CP268" s="59"/>
      <c r="CQ268" s="59"/>
      <c r="CR268" s="59"/>
      <c r="CS268" s="59"/>
      <c r="CT268" s="59"/>
      <c r="CU268" s="59"/>
      <c r="CV268" s="59"/>
      <c r="CW268" s="59"/>
      <c r="CX268" s="59"/>
      <c r="CY268" s="59"/>
      <c r="CZ268" s="59"/>
      <c r="DA268" s="59"/>
    </row>
    <row r="269" customFormat="false" ht="12.75" hidden="false" customHeight="true" outlineLevel="0" collapsed="false"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59"/>
      <c r="CG269" s="59"/>
      <c r="CH269" s="59"/>
      <c r="CI269" s="59"/>
      <c r="CJ269" s="59"/>
      <c r="CK269" s="59"/>
      <c r="CL269" s="59"/>
      <c r="CM269" s="59"/>
      <c r="CN269" s="59"/>
      <c r="CO269" s="59"/>
      <c r="CP269" s="59"/>
      <c r="CQ269" s="59"/>
      <c r="CR269" s="59"/>
      <c r="CS269" s="59"/>
      <c r="CT269" s="59"/>
      <c r="CU269" s="59"/>
      <c r="CV269" s="59"/>
      <c r="CW269" s="59"/>
      <c r="CX269" s="59"/>
      <c r="CY269" s="59"/>
      <c r="CZ269" s="59"/>
      <c r="DA269" s="59"/>
    </row>
    <row r="270" customFormat="false" ht="12.75" hidden="false" customHeight="true" outlineLevel="0" collapsed="false"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59"/>
      <c r="CH270" s="59"/>
      <c r="CI270" s="59"/>
      <c r="CJ270" s="59"/>
      <c r="CK270" s="59"/>
      <c r="CL270" s="59"/>
      <c r="CM270" s="59"/>
      <c r="CN270" s="59"/>
      <c r="CO270" s="59"/>
      <c r="CP270" s="59"/>
      <c r="CQ270" s="59"/>
      <c r="CR270" s="59"/>
      <c r="CS270" s="59"/>
      <c r="CT270" s="59"/>
      <c r="CU270" s="59"/>
      <c r="CV270" s="59"/>
      <c r="CW270" s="59"/>
      <c r="CX270" s="59"/>
      <c r="CY270" s="59"/>
      <c r="CZ270" s="59"/>
      <c r="DA270" s="59"/>
    </row>
    <row r="271" customFormat="false" ht="12.75" hidden="false" customHeight="true" outlineLevel="0" collapsed="false"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59"/>
      <c r="CG271" s="59"/>
      <c r="CH271" s="59"/>
      <c r="CI271" s="59"/>
      <c r="CJ271" s="59"/>
      <c r="CK271" s="59"/>
      <c r="CL271" s="59"/>
      <c r="CM271" s="59"/>
      <c r="CN271" s="59"/>
      <c r="CO271" s="59"/>
      <c r="CP271" s="59"/>
      <c r="CQ271" s="59"/>
      <c r="CR271" s="59"/>
      <c r="CS271" s="59"/>
      <c r="CT271" s="59"/>
      <c r="CU271" s="59"/>
      <c r="CV271" s="59"/>
      <c r="CW271" s="59"/>
      <c r="CX271" s="59"/>
      <c r="CY271" s="59"/>
      <c r="CZ271" s="59"/>
      <c r="DA271" s="59"/>
    </row>
    <row r="272" customFormat="false" ht="12.75" hidden="false" customHeight="true" outlineLevel="0" collapsed="false"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59"/>
      <c r="CG272" s="59"/>
      <c r="CH272" s="59"/>
      <c r="CI272" s="59"/>
      <c r="CJ272" s="59"/>
      <c r="CK272" s="59"/>
      <c r="CL272" s="59"/>
      <c r="CM272" s="59"/>
      <c r="CN272" s="59"/>
      <c r="CO272" s="59"/>
      <c r="CP272" s="59"/>
      <c r="CQ272" s="59"/>
      <c r="CR272" s="59"/>
      <c r="CS272" s="59"/>
      <c r="CT272" s="59"/>
      <c r="CU272" s="59"/>
      <c r="CV272" s="59"/>
      <c r="CW272" s="59"/>
      <c r="CX272" s="59"/>
      <c r="CY272" s="59"/>
      <c r="CZ272" s="59"/>
      <c r="DA272" s="59"/>
    </row>
    <row r="273" customFormat="false" ht="12.75" hidden="false" customHeight="true" outlineLevel="0" collapsed="false"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  <c r="CP273" s="59"/>
      <c r="CQ273" s="59"/>
      <c r="CR273" s="59"/>
      <c r="CS273" s="59"/>
      <c r="CT273" s="59"/>
      <c r="CU273" s="59"/>
      <c r="CV273" s="59"/>
      <c r="CW273" s="59"/>
      <c r="CX273" s="59"/>
      <c r="CY273" s="59"/>
      <c r="CZ273" s="59"/>
      <c r="DA273" s="59"/>
    </row>
    <row r="274" customFormat="false" ht="12.75" hidden="false" customHeight="true" outlineLevel="0" collapsed="false"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59"/>
      <c r="CG274" s="59"/>
      <c r="CH274" s="59"/>
      <c r="CI274" s="59"/>
      <c r="CJ274" s="59"/>
      <c r="CK274" s="59"/>
      <c r="CL274" s="59"/>
      <c r="CM274" s="59"/>
      <c r="CN274" s="59"/>
      <c r="CO274" s="59"/>
      <c r="CP274" s="59"/>
      <c r="CQ274" s="59"/>
      <c r="CR274" s="59"/>
      <c r="CS274" s="59"/>
      <c r="CT274" s="59"/>
      <c r="CU274" s="59"/>
      <c r="CV274" s="59"/>
      <c r="CW274" s="59"/>
      <c r="CX274" s="59"/>
      <c r="CY274" s="59"/>
      <c r="CZ274" s="59"/>
      <c r="DA274" s="59"/>
    </row>
    <row r="275" customFormat="false" ht="12.75" hidden="false" customHeight="true" outlineLevel="0" collapsed="false"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  <c r="BY275" s="59"/>
      <c r="BZ275" s="59"/>
      <c r="CA275" s="59"/>
      <c r="CB275" s="59"/>
      <c r="CC275" s="59"/>
      <c r="CD275" s="59"/>
      <c r="CE275" s="59"/>
      <c r="CF275" s="59"/>
      <c r="CG275" s="59"/>
      <c r="CH275" s="59"/>
      <c r="CI275" s="59"/>
      <c r="CJ275" s="59"/>
      <c r="CK275" s="59"/>
      <c r="CL275" s="59"/>
      <c r="CM275" s="59"/>
      <c r="CN275" s="59"/>
      <c r="CO275" s="59"/>
      <c r="CP275" s="59"/>
      <c r="CQ275" s="59"/>
      <c r="CR275" s="59"/>
      <c r="CS275" s="59"/>
      <c r="CT275" s="59"/>
      <c r="CU275" s="59"/>
      <c r="CV275" s="59"/>
      <c r="CW275" s="59"/>
      <c r="CX275" s="59"/>
      <c r="CY275" s="59"/>
      <c r="CZ275" s="59"/>
      <c r="DA275" s="59"/>
    </row>
    <row r="276" customFormat="false" ht="12.75" hidden="false" customHeight="true" outlineLevel="0" collapsed="false"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/>
      <c r="CA276" s="59"/>
      <c r="CB276" s="59"/>
      <c r="CC276" s="59"/>
      <c r="CD276" s="59"/>
      <c r="CE276" s="59"/>
      <c r="CF276" s="59"/>
      <c r="CG276" s="59"/>
      <c r="CH276" s="59"/>
      <c r="CI276" s="59"/>
      <c r="CJ276" s="59"/>
      <c r="CK276" s="59"/>
      <c r="CL276" s="59"/>
      <c r="CM276" s="59"/>
      <c r="CN276" s="59"/>
      <c r="CO276" s="59"/>
      <c r="CP276" s="59"/>
      <c r="CQ276" s="59"/>
      <c r="CR276" s="59"/>
      <c r="CS276" s="59"/>
      <c r="CT276" s="59"/>
      <c r="CU276" s="59"/>
      <c r="CV276" s="59"/>
      <c r="CW276" s="59"/>
      <c r="CX276" s="59"/>
      <c r="CY276" s="59"/>
      <c r="CZ276" s="59"/>
      <c r="DA276" s="59"/>
    </row>
    <row r="277" customFormat="false" ht="12.75" hidden="false" customHeight="true" outlineLevel="0" collapsed="false"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  <c r="BY277" s="59"/>
      <c r="BZ277" s="59"/>
      <c r="CA277" s="59"/>
      <c r="CB277" s="59"/>
      <c r="CC277" s="59"/>
      <c r="CD277" s="59"/>
      <c r="CE277" s="59"/>
      <c r="CF277" s="59"/>
      <c r="CG277" s="59"/>
      <c r="CH277" s="59"/>
      <c r="CI277" s="59"/>
      <c r="CJ277" s="59"/>
      <c r="CK277" s="59"/>
      <c r="CL277" s="59"/>
      <c r="CM277" s="59"/>
      <c r="CN277" s="59"/>
      <c r="CO277" s="59"/>
      <c r="CP277" s="59"/>
      <c r="CQ277" s="59"/>
      <c r="CR277" s="59"/>
      <c r="CS277" s="59"/>
      <c r="CT277" s="59"/>
      <c r="CU277" s="59"/>
      <c r="CV277" s="59"/>
      <c r="CW277" s="59"/>
      <c r="CX277" s="59"/>
      <c r="CY277" s="59"/>
      <c r="CZ277" s="59"/>
      <c r="DA277" s="59"/>
    </row>
    <row r="278" customFormat="false" ht="12.75" hidden="false" customHeight="true" outlineLevel="0" collapsed="false"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  <c r="BY278" s="59"/>
      <c r="BZ278" s="59"/>
      <c r="CA278" s="59"/>
      <c r="CB278" s="59"/>
      <c r="CC278" s="59"/>
      <c r="CD278" s="59"/>
      <c r="CE278" s="59"/>
      <c r="CF278" s="59"/>
      <c r="CG278" s="59"/>
      <c r="CH278" s="59"/>
      <c r="CI278" s="59"/>
      <c r="CJ278" s="59"/>
      <c r="CK278" s="59"/>
      <c r="CL278" s="59"/>
      <c r="CM278" s="59"/>
      <c r="CN278" s="59"/>
      <c r="CO278" s="59"/>
      <c r="CP278" s="59"/>
      <c r="CQ278" s="59"/>
      <c r="CR278" s="59"/>
      <c r="CS278" s="59"/>
      <c r="CT278" s="59"/>
      <c r="CU278" s="59"/>
      <c r="CV278" s="59"/>
      <c r="CW278" s="59"/>
      <c r="CX278" s="59"/>
      <c r="CY278" s="59"/>
      <c r="CZ278" s="59"/>
      <c r="DA278" s="59"/>
    </row>
    <row r="279" customFormat="false" ht="12.75" hidden="false" customHeight="true" outlineLevel="0" collapsed="false"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  <c r="BY279" s="59"/>
      <c r="BZ279" s="59"/>
      <c r="CA279" s="59"/>
      <c r="CB279" s="59"/>
      <c r="CC279" s="59"/>
      <c r="CD279" s="59"/>
      <c r="CE279" s="59"/>
      <c r="CF279" s="59"/>
      <c r="CG279" s="59"/>
      <c r="CH279" s="59"/>
      <c r="CI279" s="59"/>
      <c r="CJ279" s="59"/>
      <c r="CK279" s="59"/>
      <c r="CL279" s="59"/>
      <c r="CM279" s="59"/>
      <c r="CN279" s="59"/>
      <c r="CO279" s="59"/>
      <c r="CP279" s="59"/>
      <c r="CQ279" s="59"/>
      <c r="CR279" s="59"/>
      <c r="CS279" s="59"/>
      <c r="CT279" s="59"/>
      <c r="CU279" s="59"/>
      <c r="CV279" s="59"/>
      <c r="CW279" s="59"/>
      <c r="CX279" s="59"/>
      <c r="CY279" s="59"/>
      <c r="CZ279" s="59"/>
      <c r="DA279" s="59"/>
    </row>
    <row r="280" customFormat="false" ht="12.75" hidden="false" customHeight="true" outlineLevel="0" collapsed="false"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  <c r="CG280" s="59"/>
      <c r="CH280" s="59"/>
      <c r="CI280" s="59"/>
      <c r="CJ280" s="59"/>
      <c r="CK280" s="59"/>
      <c r="CL280" s="59"/>
      <c r="CM280" s="59"/>
      <c r="CN280" s="59"/>
      <c r="CO280" s="59"/>
      <c r="CP280" s="59"/>
      <c r="CQ280" s="59"/>
      <c r="CR280" s="59"/>
      <c r="CS280" s="59"/>
      <c r="CT280" s="59"/>
      <c r="CU280" s="59"/>
      <c r="CV280" s="59"/>
      <c r="CW280" s="59"/>
      <c r="CX280" s="59"/>
      <c r="CY280" s="59"/>
      <c r="CZ280" s="59"/>
      <c r="DA280" s="59"/>
    </row>
    <row r="281" customFormat="false" ht="12.75" hidden="false" customHeight="true" outlineLevel="0" collapsed="false"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  <c r="BY281" s="59"/>
      <c r="BZ281" s="59"/>
      <c r="CA281" s="59"/>
      <c r="CB281" s="59"/>
      <c r="CC281" s="59"/>
      <c r="CD281" s="59"/>
      <c r="CE281" s="59"/>
      <c r="CF281" s="59"/>
      <c r="CG281" s="59"/>
      <c r="CH281" s="59"/>
      <c r="CI281" s="59"/>
      <c r="CJ281" s="59"/>
      <c r="CK281" s="59"/>
      <c r="CL281" s="59"/>
      <c r="CM281" s="59"/>
      <c r="CN281" s="59"/>
      <c r="CO281" s="59"/>
      <c r="CP281" s="59"/>
      <c r="CQ281" s="59"/>
      <c r="CR281" s="59"/>
      <c r="CS281" s="59"/>
      <c r="CT281" s="59"/>
      <c r="CU281" s="59"/>
      <c r="CV281" s="59"/>
      <c r="CW281" s="59"/>
      <c r="CX281" s="59"/>
      <c r="CY281" s="59"/>
      <c r="CZ281" s="59"/>
      <c r="DA281" s="59"/>
    </row>
    <row r="282" customFormat="false" ht="12.75" hidden="false" customHeight="true" outlineLevel="0" collapsed="false"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  <c r="BY282" s="59"/>
      <c r="BZ282" s="59"/>
      <c r="CA282" s="59"/>
      <c r="CB282" s="59"/>
      <c r="CC282" s="59"/>
      <c r="CD282" s="59"/>
      <c r="CE282" s="59"/>
      <c r="CF282" s="59"/>
      <c r="CG282" s="59"/>
      <c r="CH282" s="59"/>
      <c r="CI282" s="59"/>
      <c r="CJ282" s="59"/>
      <c r="CK282" s="59"/>
      <c r="CL282" s="59"/>
      <c r="CM282" s="59"/>
      <c r="CN282" s="59"/>
      <c r="CO282" s="59"/>
      <c r="CP282" s="59"/>
      <c r="CQ282" s="59"/>
      <c r="CR282" s="59"/>
      <c r="CS282" s="59"/>
      <c r="CT282" s="59"/>
      <c r="CU282" s="59"/>
      <c r="CV282" s="59"/>
      <c r="CW282" s="59"/>
      <c r="CX282" s="59"/>
      <c r="CY282" s="59"/>
      <c r="CZ282" s="59"/>
      <c r="DA282" s="59"/>
    </row>
    <row r="283" customFormat="false" ht="12.75" hidden="false" customHeight="true" outlineLevel="0" collapsed="false"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  <c r="BY283" s="59"/>
      <c r="BZ283" s="59"/>
      <c r="CA283" s="59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  <c r="CL283" s="59"/>
      <c r="CM283" s="59"/>
      <c r="CN283" s="59"/>
      <c r="CO283" s="59"/>
      <c r="CP283" s="59"/>
      <c r="CQ283" s="59"/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</row>
    <row r="284" customFormat="false" ht="12.75" hidden="false" customHeight="true" outlineLevel="0" collapsed="false"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  <c r="BY284" s="59"/>
      <c r="BZ284" s="59"/>
      <c r="CA284" s="59"/>
      <c r="CB284" s="59"/>
      <c r="CC284" s="59"/>
      <c r="CD284" s="59"/>
      <c r="CE284" s="59"/>
      <c r="CF284" s="59"/>
      <c r="CG284" s="59"/>
      <c r="CH284" s="59"/>
      <c r="CI284" s="59"/>
      <c r="CJ284" s="59"/>
      <c r="CK284" s="59"/>
      <c r="CL284" s="59"/>
      <c r="CM284" s="59"/>
      <c r="CN284" s="59"/>
      <c r="CO284" s="59"/>
      <c r="CP284" s="59"/>
      <c r="CQ284" s="59"/>
      <c r="CR284" s="59"/>
      <c r="CS284" s="59"/>
      <c r="CT284" s="59"/>
      <c r="CU284" s="59"/>
      <c r="CV284" s="59"/>
      <c r="CW284" s="59"/>
      <c r="CX284" s="59"/>
      <c r="CY284" s="59"/>
      <c r="CZ284" s="59"/>
      <c r="DA284" s="59"/>
    </row>
    <row r="285" customFormat="false" ht="12.75" hidden="false" customHeight="true" outlineLevel="0" collapsed="false"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  <c r="CL285" s="59"/>
      <c r="CM285" s="59"/>
      <c r="CN285" s="59"/>
      <c r="CO285" s="59"/>
      <c r="CP285" s="59"/>
      <c r="CQ285" s="59"/>
      <c r="CR285" s="59"/>
      <c r="CS285" s="59"/>
      <c r="CT285" s="59"/>
      <c r="CU285" s="59"/>
      <c r="CV285" s="59"/>
      <c r="CW285" s="59"/>
      <c r="CX285" s="59"/>
      <c r="CY285" s="59"/>
      <c r="CZ285" s="59"/>
      <c r="DA285" s="59"/>
    </row>
    <row r="286" customFormat="false" ht="12.75" hidden="false" customHeight="true" outlineLevel="0" collapsed="false"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  <c r="BY286" s="59"/>
      <c r="BZ286" s="59"/>
      <c r="CA286" s="59"/>
      <c r="CB286" s="59"/>
      <c r="CC286" s="59"/>
      <c r="CD286" s="59"/>
      <c r="CE286" s="59"/>
      <c r="CF286" s="59"/>
      <c r="CG286" s="59"/>
      <c r="CH286" s="59"/>
      <c r="CI286" s="59"/>
      <c r="CJ286" s="59"/>
      <c r="CK286" s="59"/>
      <c r="CL286" s="59"/>
      <c r="CM286" s="59"/>
      <c r="CN286" s="59"/>
      <c r="CO286" s="59"/>
      <c r="CP286" s="59"/>
      <c r="CQ286" s="59"/>
      <c r="CR286" s="59"/>
      <c r="CS286" s="59"/>
      <c r="CT286" s="59"/>
      <c r="CU286" s="59"/>
      <c r="CV286" s="59"/>
      <c r="CW286" s="59"/>
      <c r="CX286" s="59"/>
      <c r="CY286" s="59"/>
      <c r="CZ286" s="59"/>
      <c r="DA286" s="59"/>
    </row>
    <row r="287" customFormat="false" ht="12.75" hidden="false" customHeight="true" outlineLevel="0" collapsed="false"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  <c r="BY287" s="59"/>
      <c r="BZ287" s="59"/>
      <c r="CA287" s="59"/>
      <c r="CB287" s="59"/>
      <c r="CC287" s="59"/>
      <c r="CD287" s="59"/>
      <c r="CE287" s="59"/>
      <c r="CF287" s="59"/>
      <c r="CG287" s="59"/>
      <c r="CH287" s="59"/>
      <c r="CI287" s="59"/>
      <c r="CJ287" s="59"/>
      <c r="CK287" s="59"/>
      <c r="CL287" s="59"/>
      <c r="CM287" s="59"/>
      <c r="CN287" s="59"/>
      <c r="CO287" s="59"/>
      <c r="CP287" s="59"/>
      <c r="CQ287" s="59"/>
      <c r="CR287" s="59"/>
      <c r="CS287" s="59"/>
      <c r="CT287" s="59"/>
      <c r="CU287" s="59"/>
      <c r="CV287" s="59"/>
      <c r="CW287" s="59"/>
      <c r="CX287" s="59"/>
      <c r="CY287" s="59"/>
      <c r="CZ287" s="59"/>
      <c r="DA287" s="59"/>
    </row>
    <row r="288" customFormat="false" ht="12.75" hidden="false" customHeight="true" outlineLevel="0" collapsed="false"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  <c r="CL288" s="59"/>
      <c r="CM288" s="59"/>
      <c r="CN288" s="59"/>
      <c r="CO288" s="59"/>
      <c r="CP288" s="59"/>
      <c r="CQ288" s="59"/>
      <c r="CR288" s="59"/>
      <c r="CS288" s="59"/>
      <c r="CT288" s="59"/>
      <c r="CU288" s="59"/>
      <c r="CV288" s="59"/>
      <c r="CW288" s="59"/>
      <c r="CX288" s="59"/>
      <c r="CY288" s="59"/>
      <c r="CZ288" s="59"/>
      <c r="DA288" s="59"/>
    </row>
    <row r="289" customFormat="false" ht="12.75" hidden="false" customHeight="true" outlineLevel="0" collapsed="false"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  <c r="CL289" s="59"/>
      <c r="CM289" s="59"/>
      <c r="CN289" s="59"/>
      <c r="CO289" s="59"/>
      <c r="CP289" s="59"/>
      <c r="CQ289" s="59"/>
      <c r="CR289" s="59"/>
      <c r="CS289" s="59"/>
      <c r="CT289" s="59"/>
      <c r="CU289" s="59"/>
      <c r="CV289" s="59"/>
      <c r="CW289" s="59"/>
      <c r="CX289" s="59"/>
      <c r="CY289" s="59"/>
      <c r="CZ289" s="59"/>
      <c r="DA289" s="59"/>
    </row>
    <row r="290" customFormat="false" ht="12.75" hidden="false" customHeight="true" outlineLevel="0" collapsed="false"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  <c r="CL290" s="59"/>
      <c r="CM290" s="59"/>
      <c r="CN290" s="59"/>
      <c r="CO290" s="59"/>
      <c r="CP290" s="59"/>
      <c r="CQ290" s="59"/>
      <c r="CR290" s="59"/>
      <c r="CS290" s="59"/>
      <c r="CT290" s="59"/>
      <c r="CU290" s="59"/>
      <c r="CV290" s="59"/>
      <c r="CW290" s="59"/>
      <c r="CX290" s="59"/>
      <c r="CY290" s="59"/>
      <c r="CZ290" s="59"/>
      <c r="DA290" s="59"/>
    </row>
    <row r="291" customFormat="false" ht="12.75" hidden="false" customHeight="true" outlineLevel="0" collapsed="false"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</row>
    <row r="292" customFormat="false" ht="12.75" hidden="false" customHeight="true" outlineLevel="0" collapsed="false"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</row>
    <row r="293" customFormat="false" ht="12.75" hidden="false" customHeight="true" outlineLevel="0" collapsed="false"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  <c r="BY293" s="59"/>
      <c r="BZ293" s="59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</row>
    <row r="294" customFormat="false" ht="12.75" hidden="false" customHeight="true" outlineLevel="0" collapsed="false"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  <c r="BY294" s="59"/>
      <c r="BZ294" s="59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</row>
    <row r="295" customFormat="false" ht="12.75" hidden="false" customHeight="true" outlineLevel="0" collapsed="false"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59"/>
      <c r="CG295" s="59"/>
      <c r="CH295" s="59"/>
      <c r="CI295" s="59"/>
      <c r="CJ295" s="59"/>
      <c r="CK295" s="59"/>
      <c r="CL295" s="59"/>
      <c r="CM295" s="59"/>
      <c r="CN295" s="59"/>
      <c r="CO295" s="59"/>
      <c r="CP295" s="59"/>
      <c r="CQ295" s="59"/>
      <c r="CR295" s="59"/>
      <c r="CS295" s="59"/>
      <c r="CT295" s="59"/>
      <c r="CU295" s="59"/>
      <c r="CV295" s="59"/>
      <c r="CW295" s="59"/>
      <c r="CX295" s="59"/>
      <c r="CY295" s="59"/>
      <c r="CZ295" s="59"/>
      <c r="DA295" s="59"/>
    </row>
    <row r="296" customFormat="false" ht="12.75" hidden="false" customHeight="true" outlineLevel="0" collapsed="false"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59"/>
      <c r="CG296" s="59"/>
      <c r="CH296" s="59"/>
      <c r="CI296" s="59"/>
      <c r="CJ296" s="59"/>
      <c r="CK296" s="59"/>
      <c r="CL296" s="59"/>
      <c r="CM296" s="59"/>
      <c r="CN296" s="59"/>
      <c r="CO296" s="59"/>
      <c r="CP296" s="59"/>
      <c r="CQ296" s="59"/>
      <c r="CR296" s="59"/>
      <c r="CS296" s="59"/>
      <c r="CT296" s="59"/>
      <c r="CU296" s="59"/>
      <c r="CV296" s="59"/>
      <c r="CW296" s="59"/>
      <c r="CX296" s="59"/>
      <c r="CY296" s="59"/>
      <c r="CZ296" s="59"/>
      <c r="DA296" s="59"/>
    </row>
    <row r="297" customFormat="false" ht="12.75" hidden="false" customHeight="true" outlineLevel="0" collapsed="false"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59"/>
      <c r="CG297" s="59"/>
      <c r="CH297" s="59"/>
      <c r="CI297" s="59"/>
      <c r="CJ297" s="59"/>
      <c r="CK297" s="59"/>
      <c r="CL297" s="59"/>
      <c r="CM297" s="59"/>
      <c r="CN297" s="59"/>
      <c r="CO297" s="59"/>
      <c r="CP297" s="59"/>
      <c r="CQ297" s="59"/>
      <c r="CR297" s="59"/>
      <c r="CS297" s="59"/>
      <c r="CT297" s="59"/>
      <c r="CU297" s="59"/>
      <c r="CV297" s="59"/>
      <c r="CW297" s="59"/>
      <c r="CX297" s="59"/>
      <c r="CY297" s="59"/>
      <c r="CZ297" s="59"/>
      <c r="DA297" s="59"/>
    </row>
    <row r="298" customFormat="false" ht="12.75" hidden="false" customHeight="true" outlineLevel="0" collapsed="false"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  <c r="BY298" s="59"/>
      <c r="BZ298" s="59"/>
      <c r="CA298" s="59"/>
      <c r="CB298" s="59"/>
      <c r="CC298" s="59"/>
      <c r="CD298" s="59"/>
      <c r="CE298" s="59"/>
      <c r="CF298" s="59"/>
      <c r="CG298" s="59"/>
      <c r="CH298" s="59"/>
      <c r="CI298" s="59"/>
      <c r="CJ298" s="59"/>
      <c r="CK298" s="59"/>
      <c r="CL298" s="59"/>
      <c r="CM298" s="59"/>
      <c r="CN298" s="59"/>
      <c r="CO298" s="59"/>
      <c r="CP298" s="59"/>
      <c r="CQ298" s="59"/>
      <c r="CR298" s="59"/>
      <c r="CS298" s="59"/>
      <c r="CT298" s="59"/>
      <c r="CU298" s="59"/>
      <c r="CV298" s="59"/>
      <c r="CW298" s="59"/>
      <c r="CX298" s="59"/>
      <c r="CY298" s="59"/>
      <c r="CZ298" s="59"/>
      <c r="DA298" s="59"/>
    </row>
    <row r="299" customFormat="false" ht="12.75" hidden="false" customHeight="true" outlineLevel="0" collapsed="false"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  <c r="CL299" s="59"/>
      <c r="CM299" s="59"/>
      <c r="CN299" s="59"/>
      <c r="CO299" s="59"/>
      <c r="CP299" s="59"/>
      <c r="CQ299" s="59"/>
      <c r="CR299" s="59"/>
      <c r="CS299" s="59"/>
      <c r="CT299" s="59"/>
      <c r="CU299" s="59"/>
      <c r="CV299" s="59"/>
      <c r="CW299" s="59"/>
      <c r="CX299" s="59"/>
      <c r="CY299" s="59"/>
      <c r="CZ299" s="59"/>
      <c r="DA299" s="59"/>
    </row>
    <row r="300" customFormat="false" ht="12.75" hidden="false" customHeight="true" outlineLevel="0" collapsed="false"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  <c r="CL300" s="59"/>
      <c r="CM300" s="59"/>
      <c r="CN300" s="59"/>
      <c r="CO300" s="59"/>
      <c r="CP300" s="59"/>
      <c r="CQ300" s="59"/>
      <c r="CR300" s="59"/>
      <c r="CS300" s="59"/>
      <c r="CT300" s="59"/>
      <c r="CU300" s="59"/>
      <c r="CV300" s="59"/>
      <c r="CW300" s="59"/>
      <c r="CX300" s="59"/>
      <c r="CY300" s="59"/>
      <c r="CZ300" s="59"/>
      <c r="DA300" s="59"/>
    </row>
    <row r="301" customFormat="false" ht="12.75" hidden="false" customHeight="true" outlineLevel="0" collapsed="false"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59"/>
      <c r="BX301" s="59"/>
      <c r="BY301" s="59"/>
      <c r="BZ301" s="59"/>
      <c r="CA301" s="59"/>
      <c r="CB301" s="59"/>
      <c r="CC301" s="59"/>
      <c r="CD301" s="59"/>
      <c r="CE301" s="59"/>
      <c r="CF301" s="59"/>
      <c r="CG301" s="59"/>
      <c r="CH301" s="59"/>
      <c r="CI301" s="59"/>
      <c r="CJ301" s="59"/>
      <c r="CK301" s="59"/>
      <c r="CL301" s="59"/>
      <c r="CM301" s="59"/>
      <c r="CN301" s="59"/>
      <c r="CO301" s="59"/>
      <c r="CP301" s="59"/>
      <c r="CQ301" s="59"/>
      <c r="CR301" s="59"/>
      <c r="CS301" s="59"/>
      <c r="CT301" s="59"/>
      <c r="CU301" s="59"/>
      <c r="CV301" s="59"/>
      <c r="CW301" s="59"/>
      <c r="CX301" s="59"/>
      <c r="CY301" s="59"/>
      <c r="CZ301" s="59"/>
      <c r="DA301" s="59"/>
    </row>
    <row r="302" customFormat="false" ht="12.75" hidden="false" customHeight="true" outlineLevel="0" collapsed="false"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  <c r="BY302" s="59"/>
      <c r="BZ302" s="59"/>
      <c r="CA302" s="59"/>
      <c r="CB302" s="59"/>
      <c r="CC302" s="59"/>
      <c r="CD302" s="59"/>
      <c r="CE302" s="59"/>
      <c r="CF302" s="59"/>
      <c r="CG302" s="59"/>
      <c r="CH302" s="59"/>
      <c r="CI302" s="59"/>
      <c r="CJ302" s="59"/>
      <c r="CK302" s="59"/>
      <c r="CL302" s="59"/>
      <c r="CM302" s="59"/>
      <c r="CN302" s="59"/>
      <c r="CO302" s="59"/>
      <c r="CP302" s="59"/>
      <c r="CQ302" s="59"/>
      <c r="CR302" s="59"/>
      <c r="CS302" s="59"/>
      <c r="CT302" s="59"/>
      <c r="CU302" s="59"/>
      <c r="CV302" s="59"/>
      <c r="CW302" s="59"/>
      <c r="CX302" s="59"/>
      <c r="CY302" s="59"/>
      <c r="CZ302" s="59"/>
      <c r="DA302" s="59"/>
    </row>
    <row r="303" customFormat="false" ht="12.75" hidden="false" customHeight="true" outlineLevel="0" collapsed="false"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  <c r="BY303" s="59"/>
      <c r="BZ303" s="59"/>
      <c r="CA303" s="59"/>
      <c r="CB303" s="59"/>
      <c r="CC303" s="59"/>
      <c r="CD303" s="59"/>
      <c r="CE303" s="59"/>
      <c r="CF303" s="59"/>
      <c r="CG303" s="59"/>
      <c r="CH303" s="59"/>
      <c r="CI303" s="59"/>
      <c r="CJ303" s="59"/>
      <c r="CK303" s="59"/>
      <c r="CL303" s="59"/>
      <c r="CM303" s="59"/>
      <c r="CN303" s="59"/>
      <c r="CO303" s="59"/>
      <c r="CP303" s="59"/>
      <c r="CQ303" s="59"/>
      <c r="CR303" s="59"/>
      <c r="CS303" s="59"/>
      <c r="CT303" s="59"/>
      <c r="CU303" s="59"/>
      <c r="CV303" s="59"/>
      <c r="CW303" s="59"/>
      <c r="CX303" s="59"/>
      <c r="CY303" s="59"/>
      <c r="CZ303" s="59"/>
      <c r="DA303" s="59"/>
    </row>
    <row r="304" customFormat="false" ht="12.75" hidden="false" customHeight="true" outlineLevel="0" collapsed="false"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59"/>
      <c r="CH304" s="59"/>
      <c r="CI304" s="59"/>
      <c r="CJ304" s="59"/>
      <c r="CK304" s="59"/>
      <c r="CL304" s="59"/>
      <c r="CM304" s="59"/>
      <c r="CN304" s="59"/>
      <c r="CO304" s="59"/>
      <c r="CP304" s="59"/>
      <c r="CQ304" s="59"/>
      <c r="CR304" s="59"/>
      <c r="CS304" s="59"/>
      <c r="CT304" s="59"/>
      <c r="CU304" s="59"/>
      <c r="CV304" s="59"/>
      <c r="CW304" s="59"/>
      <c r="CX304" s="59"/>
      <c r="CY304" s="59"/>
      <c r="CZ304" s="59"/>
      <c r="DA304" s="59"/>
    </row>
    <row r="305" customFormat="false" ht="12.75" hidden="false" customHeight="true" outlineLevel="0" collapsed="false"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  <c r="BY305" s="59"/>
      <c r="BZ305" s="59"/>
      <c r="CA305" s="59"/>
      <c r="CB305" s="59"/>
      <c r="CC305" s="59"/>
      <c r="CD305" s="59"/>
      <c r="CE305" s="59"/>
      <c r="CF305" s="59"/>
      <c r="CG305" s="59"/>
      <c r="CH305" s="59"/>
      <c r="CI305" s="59"/>
      <c r="CJ305" s="59"/>
      <c r="CK305" s="59"/>
      <c r="CL305" s="59"/>
      <c r="CM305" s="59"/>
      <c r="CN305" s="59"/>
      <c r="CO305" s="59"/>
      <c r="CP305" s="59"/>
      <c r="CQ305" s="59"/>
      <c r="CR305" s="59"/>
      <c r="CS305" s="59"/>
      <c r="CT305" s="59"/>
      <c r="CU305" s="59"/>
      <c r="CV305" s="59"/>
      <c r="CW305" s="59"/>
      <c r="CX305" s="59"/>
      <c r="CY305" s="59"/>
      <c r="CZ305" s="59"/>
      <c r="DA305" s="59"/>
    </row>
    <row r="306" customFormat="false" ht="12.75" hidden="false" customHeight="true" outlineLevel="0" collapsed="false"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59"/>
      <c r="BX306" s="59"/>
      <c r="BY306" s="59"/>
      <c r="BZ306" s="59"/>
      <c r="CA306" s="59"/>
      <c r="CB306" s="59"/>
      <c r="CC306" s="59"/>
      <c r="CD306" s="59"/>
      <c r="CE306" s="59"/>
      <c r="CF306" s="59"/>
      <c r="CG306" s="59"/>
      <c r="CH306" s="59"/>
      <c r="CI306" s="59"/>
      <c r="CJ306" s="59"/>
      <c r="CK306" s="59"/>
      <c r="CL306" s="59"/>
      <c r="CM306" s="59"/>
      <c r="CN306" s="59"/>
      <c r="CO306" s="59"/>
      <c r="CP306" s="59"/>
      <c r="CQ306" s="59"/>
      <c r="CR306" s="59"/>
      <c r="CS306" s="59"/>
      <c r="CT306" s="59"/>
      <c r="CU306" s="59"/>
      <c r="CV306" s="59"/>
      <c r="CW306" s="59"/>
      <c r="CX306" s="59"/>
      <c r="CY306" s="59"/>
      <c r="CZ306" s="59"/>
      <c r="DA306" s="59"/>
    </row>
    <row r="307" customFormat="false" ht="12.75" hidden="false" customHeight="true" outlineLevel="0" collapsed="false"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  <c r="BY307" s="59"/>
      <c r="BZ307" s="59"/>
      <c r="CA307" s="59"/>
      <c r="CB307" s="59"/>
      <c r="CC307" s="59"/>
      <c r="CD307" s="59"/>
      <c r="CE307" s="59"/>
      <c r="CF307" s="59"/>
      <c r="CG307" s="59"/>
      <c r="CH307" s="59"/>
      <c r="CI307" s="59"/>
      <c r="CJ307" s="59"/>
      <c r="CK307" s="59"/>
      <c r="CL307" s="59"/>
      <c r="CM307" s="59"/>
      <c r="CN307" s="59"/>
      <c r="CO307" s="59"/>
      <c r="CP307" s="59"/>
      <c r="CQ307" s="59"/>
      <c r="CR307" s="59"/>
      <c r="CS307" s="59"/>
      <c r="CT307" s="59"/>
      <c r="CU307" s="59"/>
      <c r="CV307" s="59"/>
      <c r="CW307" s="59"/>
      <c r="CX307" s="59"/>
      <c r="CY307" s="59"/>
      <c r="CZ307" s="59"/>
      <c r="DA307" s="59"/>
    </row>
    <row r="308" customFormat="false" ht="12.75" hidden="false" customHeight="true" outlineLevel="0" collapsed="false"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59"/>
      <c r="BX308" s="59"/>
      <c r="BY308" s="59"/>
      <c r="BZ308" s="59"/>
      <c r="CA308" s="59"/>
      <c r="CB308" s="59"/>
      <c r="CC308" s="59"/>
      <c r="CD308" s="59"/>
      <c r="CE308" s="59"/>
      <c r="CF308" s="59"/>
      <c r="CG308" s="59"/>
      <c r="CH308" s="59"/>
      <c r="CI308" s="59"/>
      <c r="CJ308" s="59"/>
      <c r="CK308" s="59"/>
      <c r="CL308" s="59"/>
      <c r="CM308" s="59"/>
      <c r="CN308" s="59"/>
      <c r="CO308" s="59"/>
      <c r="CP308" s="59"/>
      <c r="CQ308" s="59"/>
      <c r="CR308" s="59"/>
      <c r="CS308" s="59"/>
      <c r="CT308" s="59"/>
      <c r="CU308" s="59"/>
      <c r="CV308" s="59"/>
      <c r="CW308" s="59"/>
      <c r="CX308" s="59"/>
      <c r="CY308" s="59"/>
      <c r="CZ308" s="59"/>
      <c r="DA308" s="59"/>
    </row>
    <row r="309" customFormat="false" ht="12.75" hidden="false" customHeight="true" outlineLevel="0" collapsed="false"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  <c r="BY309" s="59"/>
      <c r="BZ309" s="59"/>
      <c r="CA309" s="59"/>
      <c r="CB309" s="59"/>
      <c r="CC309" s="59"/>
      <c r="CD309" s="59"/>
      <c r="CE309" s="59"/>
      <c r="CF309" s="59"/>
      <c r="CG309" s="59"/>
      <c r="CH309" s="59"/>
      <c r="CI309" s="59"/>
      <c r="CJ309" s="59"/>
      <c r="CK309" s="59"/>
      <c r="CL309" s="59"/>
      <c r="CM309" s="59"/>
      <c r="CN309" s="59"/>
      <c r="CO309" s="59"/>
      <c r="CP309" s="59"/>
      <c r="CQ309" s="59"/>
      <c r="CR309" s="59"/>
      <c r="CS309" s="59"/>
      <c r="CT309" s="59"/>
      <c r="CU309" s="59"/>
      <c r="CV309" s="59"/>
      <c r="CW309" s="59"/>
      <c r="CX309" s="59"/>
      <c r="CY309" s="59"/>
      <c r="CZ309" s="59"/>
      <c r="DA309" s="59"/>
    </row>
    <row r="310" customFormat="false" ht="12.75" hidden="false" customHeight="true" outlineLevel="0" collapsed="false"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  <c r="BY310" s="59"/>
      <c r="BZ310" s="59"/>
      <c r="CA310" s="59"/>
      <c r="CB310" s="59"/>
      <c r="CC310" s="59"/>
      <c r="CD310" s="59"/>
      <c r="CE310" s="59"/>
      <c r="CF310" s="59"/>
      <c r="CG310" s="59"/>
      <c r="CH310" s="59"/>
      <c r="CI310" s="59"/>
      <c r="CJ310" s="59"/>
      <c r="CK310" s="59"/>
      <c r="CL310" s="59"/>
      <c r="CM310" s="59"/>
      <c r="CN310" s="59"/>
      <c r="CO310" s="59"/>
      <c r="CP310" s="59"/>
      <c r="CQ310" s="59"/>
      <c r="CR310" s="59"/>
      <c r="CS310" s="59"/>
      <c r="CT310" s="59"/>
      <c r="CU310" s="59"/>
      <c r="CV310" s="59"/>
      <c r="CW310" s="59"/>
      <c r="CX310" s="59"/>
      <c r="CY310" s="59"/>
      <c r="CZ310" s="59"/>
      <c r="DA310" s="59"/>
    </row>
    <row r="311" customFormat="false" ht="12.75" hidden="false" customHeight="true" outlineLevel="0" collapsed="false"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59"/>
      <c r="BX311" s="59"/>
      <c r="BY311" s="59"/>
      <c r="BZ311" s="59"/>
      <c r="CA311" s="59"/>
      <c r="CB311" s="59"/>
      <c r="CC311" s="59"/>
      <c r="CD311" s="59"/>
      <c r="CE311" s="59"/>
      <c r="CF311" s="59"/>
      <c r="CG311" s="59"/>
      <c r="CH311" s="59"/>
      <c r="CI311" s="59"/>
      <c r="CJ311" s="59"/>
      <c r="CK311" s="59"/>
      <c r="CL311" s="59"/>
      <c r="CM311" s="59"/>
      <c r="CN311" s="59"/>
      <c r="CO311" s="59"/>
      <c r="CP311" s="59"/>
      <c r="CQ311" s="59"/>
      <c r="CR311" s="59"/>
      <c r="CS311" s="59"/>
      <c r="CT311" s="59"/>
      <c r="CU311" s="59"/>
      <c r="CV311" s="59"/>
      <c r="CW311" s="59"/>
      <c r="CX311" s="59"/>
      <c r="CY311" s="59"/>
      <c r="CZ311" s="59"/>
      <c r="DA311" s="59"/>
    </row>
    <row r="312" customFormat="false" ht="12.75" hidden="false" customHeight="true" outlineLevel="0" collapsed="false"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59"/>
      <c r="CG312" s="59"/>
      <c r="CH312" s="59"/>
      <c r="CI312" s="59"/>
      <c r="CJ312" s="59"/>
      <c r="CK312" s="59"/>
      <c r="CL312" s="59"/>
      <c r="CM312" s="59"/>
      <c r="CN312" s="59"/>
      <c r="CO312" s="59"/>
      <c r="CP312" s="59"/>
      <c r="CQ312" s="59"/>
      <c r="CR312" s="59"/>
      <c r="CS312" s="59"/>
      <c r="CT312" s="59"/>
      <c r="CU312" s="59"/>
      <c r="CV312" s="59"/>
      <c r="CW312" s="59"/>
      <c r="CX312" s="59"/>
      <c r="CY312" s="59"/>
      <c r="CZ312" s="59"/>
      <c r="DA312" s="59"/>
    </row>
    <row r="313" customFormat="false" ht="12.75" hidden="false" customHeight="true" outlineLevel="0" collapsed="false"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59"/>
      <c r="CG313" s="59"/>
      <c r="CH313" s="59"/>
      <c r="CI313" s="59"/>
      <c r="CJ313" s="59"/>
      <c r="CK313" s="59"/>
      <c r="CL313" s="59"/>
      <c r="CM313" s="59"/>
      <c r="CN313" s="59"/>
      <c r="CO313" s="59"/>
      <c r="CP313" s="59"/>
      <c r="CQ313" s="59"/>
      <c r="CR313" s="59"/>
      <c r="CS313" s="59"/>
      <c r="CT313" s="59"/>
      <c r="CU313" s="59"/>
      <c r="CV313" s="59"/>
      <c r="CW313" s="59"/>
      <c r="CX313" s="59"/>
      <c r="CY313" s="59"/>
      <c r="CZ313" s="59"/>
      <c r="DA313" s="59"/>
    </row>
    <row r="314" customFormat="false" ht="12.75" hidden="false" customHeight="true" outlineLevel="0" collapsed="false"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59"/>
      <c r="CG314" s="59"/>
      <c r="CH314" s="59"/>
      <c r="CI314" s="59"/>
      <c r="CJ314" s="59"/>
      <c r="CK314" s="59"/>
      <c r="CL314" s="59"/>
      <c r="CM314" s="59"/>
      <c r="CN314" s="59"/>
      <c r="CO314" s="59"/>
      <c r="CP314" s="59"/>
      <c r="CQ314" s="59"/>
      <c r="CR314" s="59"/>
      <c r="CS314" s="59"/>
      <c r="CT314" s="59"/>
      <c r="CU314" s="59"/>
      <c r="CV314" s="59"/>
      <c r="CW314" s="59"/>
      <c r="CX314" s="59"/>
      <c r="CY314" s="59"/>
      <c r="CZ314" s="59"/>
      <c r="DA314" s="59"/>
    </row>
    <row r="315" customFormat="false" ht="12.75" hidden="false" customHeight="true" outlineLevel="0" collapsed="false"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59"/>
      <c r="CG315" s="59"/>
      <c r="CH315" s="59"/>
      <c r="CI315" s="59"/>
      <c r="CJ315" s="59"/>
      <c r="CK315" s="59"/>
      <c r="CL315" s="59"/>
      <c r="CM315" s="59"/>
      <c r="CN315" s="59"/>
      <c r="CO315" s="59"/>
      <c r="CP315" s="59"/>
      <c r="CQ315" s="59"/>
      <c r="CR315" s="59"/>
      <c r="CS315" s="59"/>
      <c r="CT315" s="59"/>
      <c r="CU315" s="59"/>
      <c r="CV315" s="59"/>
      <c r="CW315" s="59"/>
      <c r="CX315" s="59"/>
      <c r="CY315" s="59"/>
      <c r="CZ315" s="59"/>
      <c r="DA315" s="59"/>
    </row>
    <row r="316" customFormat="false" ht="12.75" hidden="false" customHeight="true" outlineLevel="0" collapsed="false"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59"/>
      <c r="CH316" s="59"/>
      <c r="CI316" s="59"/>
      <c r="CJ316" s="59"/>
      <c r="CK316" s="59"/>
      <c r="CL316" s="59"/>
      <c r="CM316" s="59"/>
      <c r="CN316" s="59"/>
      <c r="CO316" s="59"/>
      <c r="CP316" s="59"/>
      <c r="CQ316" s="59"/>
      <c r="CR316" s="59"/>
      <c r="CS316" s="59"/>
      <c r="CT316" s="59"/>
      <c r="CU316" s="59"/>
      <c r="CV316" s="59"/>
      <c r="CW316" s="59"/>
      <c r="CX316" s="59"/>
      <c r="CY316" s="59"/>
      <c r="CZ316" s="59"/>
      <c r="DA316" s="59"/>
    </row>
    <row r="317" customFormat="false" ht="12.75" hidden="false" customHeight="true" outlineLevel="0" collapsed="false"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59"/>
      <c r="BX317" s="59"/>
      <c r="BY317" s="59"/>
      <c r="BZ317" s="59"/>
      <c r="CA317" s="59"/>
      <c r="CB317" s="59"/>
      <c r="CC317" s="59"/>
      <c r="CD317" s="59"/>
      <c r="CE317" s="59"/>
      <c r="CF317" s="59"/>
      <c r="CG317" s="59"/>
      <c r="CH317" s="59"/>
      <c r="CI317" s="59"/>
      <c r="CJ317" s="59"/>
      <c r="CK317" s="59"/>
      <c r="CL317" s="59"/>
      <c r="CM317" s="59"/>
      <c r="CN317" s="59"/>
      <c r="CO317" s="59"/>
      <c r="CP317" s="59"/>
      <c r="CQ317" s="59"/>
      <c r="CR317" s="59"/>
      <c r="CS317" s="59"/>
      <c r="CT317" s="59"/>
      <c r="CU317" s="59"/>
      <c r="CV317" s="59"/>
      <c r="CW317" s="59"/>
      <c r="CX317" s="59"/>
      <c r="CY317" s="59"/>
      <c r="CZ317" s="59"/>
      <c r="DA317" s="59"/>
    </row>
    <row r="318" customFormat="false" ht="12.75" hidden="false" customHeight="true" outlineLevel="0" collapsed="false"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59"/>
      <c r="BX318" s="59"/>
      <c r="BY318" s="59"/>
      <c r="BZ318" s="59"/>
      <c r="CA318" s="59"/>
      <c r="CB318" s="59"/>
      <c r="CC318" s="59"/>
      <c r="CD318" s="59"/>
      <c r="CE318" s="59"/>
      <c r="CF318" s="59"/>
      <c r="CG318" s="59"/>
      <c r="CH318" s="59"/>
      <c r="CI318" s="59"/>
      <c r="CJ318" s="59"/>
      <c r="CK318" s="59"/>
      <c r="CL318" s="59"/>
      <c r="CM318" s="59"/>
      <c r="CN318" s="59"/>
      <c r="CO318" s="59"/>
      <c r="CP318" s="59"/>
      <c r="CQ318" s="59"/>
      <c r="CR318" s="59"/>
      <c r="CS318" s="59"/>
      <c r="CT318" s="59"/>
      <c r="CU318" s="59"/>
      <c r="CV318" s="59"/>
      <c r="CW318" s="59"/>
      <c r="CX318" s="59"/>
      <c r="CY318" s="59"/>
      <c r="CZ318" s="59"/>
      <c r="DA318" s="59"/>
    </row>
    <row r="319" customFormat="false" ht="12.75" hidden="false" customHeight="true" outlineLevel="0" collapsed="false"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59"/>
      <c r="BX319" s="59"/>
      <c r="BY319" s="59"/>
      <c r="BZ319" s="59"/>
      <c r="CA319" s="59"/>
      <c r="CB319" s="59"/>
      <c r="CC319" s="59"/>
      <c r="CD319" s="59"/>
      <c r="CE319" s="59"/>
      <c r="CF319" s="59"/>
      <c r="CG319" s="59"/>
      <c r="CH319" s="59"/>
      <c r="CI319" s="59"/>
      <c r="CJ319" s="59"/>
      <c r="CK319" s="59"/>
      <c r="CL319" s="59"/>
      <c r="CM319" s="59"/>
      <c r="CN319" s="59"/>
      <c r="CO319" s="59"/>
      <c r="CP319" s="59"/>
      <c r="CQ319" s="59"/>
      <c r="CR319" s="59"/>
      <c r="CS319" s="59"/>
      <c r="CT319" s="59"/>
      <c r="CU319" s="59"/>
      <c r="CV319" s="59"/>
      <c r="CW319" s="59"/>
      <c r="CX319" s="59"/>
      <c r="CY319" s="59"/>
      <c r="CZ319" s="59"/>
      <c r="DA319" s="59"/>
    </row>
    <row r="320" customFormat="false" ht="12.75" hidden="false" customHeight="true" outlineLevel="0" collapsed="false"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  <c r="BY320" s="59"/>
      <c r="BZ320" s="59"/>
      <c r="CA320" s="59"/>
      <c r="CB320" s="59"/>
      <c r="CC320" s="59"/>
      <c r="CD320" s="59"/>
      <c r="CE320" s="59"/>
      <c r="CF320" s="59"/>
      <c r="CG320" s="59"/>
      <c r="CH320" s="59"/>
      <c r="CI320" s="59"/>
      <c r="CJ320" s="59"/>
      <c r="CK320" s="59"/>
      <c r="CL320" s="59"/>
      <c r="CM320" s="59"/>
      <c r="CN320" s="59"/>
      <c r="CO320" s="59"/>
      <c r="CP320" s="59"/>
      <c r="CQ320" s="59"/>
      <c r="CR320" s="59"/>
      <c r="CS320" s="59"/>
      <c r="CT320" s="59"/>
      <c r="CU320" s="59"/>
      <c r="CV320" s="59"/>
      <c r="CW320" s="59"/>
      <c r="CX320" s="59"/>
      <c r="CY320" s="59"/>
      <c r="CZ320" s="59"/>
      <c r="DA320" s="59"/>
    </row>
    <row r="321" customFormat="false" ht="12.75" hidden="false" customHeight="true" outlineLevel="0" collapsed="false"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  <c r="BY321" s="59"/>
      <c r="BZ321" s="59"/>
      <c r="CA321" s="59"/>
      <c r="CB321" s="59"/>
      <c r="CC321" s="59"/>
      <c r="CD321" s="59"/>
      <c r="CE321" s="59"/>
      <c r="CF321" s="59"/>
      <c r="CG321" s="59"/>
      <c r="CH321" s="59"/>
      <c r="CI321" s="59"/>
      <c r="CJ321" s="59"/>
      <c r="CK321" s="59"/>
      <c r="CL321" s="59"/>
      <c r="CM321" s="59"/>
      <c r="CN321" s="59"/>
      <c r="CO321" s="59"/>
      <c r="CP321" s="59"/>
      <c r="CQ321" s="59"/>
      <c r="CR321" s="59"/>
      <c r="CS321" s="59"/>
      <c r="CT321" s="59"/>
      <c r="CU321" s="59"/>
      <c r="CV321" s="59"/>
      <c r="CW321" s="59"/>
      <c r="CX321" s="59"/>
      <c r="CY321" s="59"/>
      <c r="CZ321" s="59"/>
      <c r="DA321" s="59"/>
    </row>
    <row r="322" customFormat="false" ht="12.75" hidden="false" customHeight="true" outlineLevel="0" collapsed="false"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59"/>
      <c r="BX322" s="59"/>
      <c r="BY322" s="59"/>
      <c r="BZ322" s="59"/>
      <c r="CA322" s="59"/>
      <c r="CB322" s="59"/>
      <c r="CC322" s="59"/>
      <c r="CD322" s="59"/>
      <c r="CE322" s="59"/>
      <c r="CF322" s="59"/>
      <c r="CG322" s="59"/>
      <c r="CH322" s="59"/>
      <c r="CI322" s="59"/>
      <c r="CJ322" s="59"/>
      <c r="CK322" s="59"/>
      <c r="CL322" s="59"/>
      <c r="CM322" s="59"/>
      <c r="CN322" s="59"/>
      <c r="CO322" s="59"/>
      <c r="CP322" s="59"/>
      <c r="CQ322" s="59"/>
      <c r="CR322" s="59"/>
      <c r="CS322" s="59"/>
      <c r="CT322" s="59"/>
      <c r="CU322" s="59"/>
      <c r="CV322" s="59"/>
      <c r="CW322" s="59"/>
      <c r="CX322" s="59"/>
      <c r="CY322" s="59"/>
      <c r="CZ322" s="59"/>
      <c r="DA322" s="59"/>
    </row>
    <row r="323" customFormat="false" ht="12.75" hidden="false" customHeight="true" outlineLevel="0" collapsed="false"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59"/>
      <c r="BX323" s="59"/>
      <c r="BY323" s="59"/>
      <c r="BZ323" s="59"/>
      <c r="CA323" s="59"/>
      <c r="CB323" s="59"/>
      <c r="CC323" s="59"/>
      <c r="CD323" s="59"/>
      <c r="CE323" s="59"/>
      <c r="CF323" s="59"/>
      <c r="CG323" s="59"/>
      <c r="CH323" s="59"/>
      <c r="CI323" s="59"/>
      <c r="CJ323" s="59"/>
      <c r="CK323" s="59"/>
      <c r="CL323" s="59"/>
      <c r="CM323" s="59"/>
      <c r="CN323" s="59"/>
      <c r="CO323" s="59"/>
      <c r="CP323" s="59"/>
      <c r="CQ323" s="59"/>
      <c r="CR323" s="59"/>
      <c r="CS323" s="59"/>
      <c r="CT323" s="59"/>
      <c r="CU323" s="59"/>
      <c r="CV323" s="59"/>
      <c r="CW323" s="59"/>
      <c r="CX323" s="59"/>
      <c r="CY323" s="59"/>
      <c r="CZ323" s="59"/>
      <c r="DA323" s="59"/>
    </row>
    <row r="324" customFormat="false" ht="12.75" hidden="false" customHeight="true" outlineLevel="0" collapsed="false"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59"/>
      <c r="BX324" s="59"/>
      <c r="BY324" s="59"/>
      <c r="BZ324" s="59"/>
      <c r="CA324" s="59"/>
      <c r="CB324" s="59"/>
      <c r="CC324" s="59"/>
      <c r="CD324" s="59"/>
      <c r="CE324" s="59"/>
      <c r="CF324" s="59"/>
      <c r="CG324" s="59"/>
      <c r="CH324" s="59"/>
      <c r="CI324" s="59"/>
      <c r="CJ324" s="59"/>
      <c r="CK324" s="59"/>
      <c r="CL324" s="59"/>
      <c r="CM324" s="59"/>
      <c r="CN324" s="59"/>
      <c r="CO324" s="59"/>
      <c r="CP324" s="59"/>
      <c r="CQ324" s="59"/>
      <c r="CR324" s="59"/>
      <c r="CS324" s="59"/>
      <c r="CT324" s="59"/>
      <c r="CU324" s="59"/>
      <c r="CV324" s="59"/>
      <c r="CW324" s="59"/>
      <c r="CX324" s="59"/>
      <c r="CY324" s="59"/>
      <c r="CZ324" s="59"/>
      <c r="DA324" s="59"/>
    </row>
    <row r="325" customFormat="false" ht="12.75" hidden="false" customHeight="true" outlineLevel="0" collapsed="false"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  <c r="BY325" s="59"/>
      <c r="BZ325" s="59"/>
      <c r="CA325" s="59"/>
      <c r="CB325" s="59"/>
      <c r="CC325" s="59"/>
      <c r="CD325" s="59"/>
      <c r="CE325" s="59"/>
      <c r="CF325" s="59"/>
      <c r="CG325" s="59"/>
      <c r="CH325" s="59"/>
      <c r="CI325" s="59"/>
      <c r="CJ325" s="59"/>
      <c r="CK325" s="59"/>
      <c r="CL325" s="59"/>
      <c r="CM325" s="59"/>
      <c r="CN325" s="59"/>
      <c r="CO325" s="59"/>
      <c r="CP325" s="59"/>
      <c r="CQ325" s="59"/>
      <c r="CR325" s="59"/>
      <c r="CS325" s="59"/>
      <c r="CT325" s="59"/>
      <c r="CU325" s="59"/>
      <c r="CV325" s="59"/>
      <c r="CW325" s="59"/>
      <c r="CX325" s="59"/>
      <c r="CY325" s="59"/>
      <c r="CZ325" s="59"/>
      <c r="DA325" s="59"/>
    </row>
    <row r="326" customFormat="false" ht="12.75" hidden="false" customHeight="true" outlineLevel="0" collapsed="false"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59"/>
      <c r="BX326" s="59"/>
      <c r="BY326" s="59"/>
      <c r="BZ326" s="59"/>
      <c r="CA326" s="59"/>
      <c r="CB326" s="59"/>
      <c r="CC326" s="59"/>
      <c r="CD326" s="59"/>
      <c r="CE326" s="59"/>
      <c r="CF326" s="59"/>
      <c r="CG326" s="59"/>
      <c r="CH326" s="59"/>
      <c r="CI326" s="59"/>
      <c r="CJ326" s="59"/>
      <c r="CK326" s="59"/>
      <c r="CL326" s="59"/>
      <c r="CM326" s="59"/>
      <c r="CN326" s="59"/>
      <c r="CO326" s="59"/>
      <c r="CP326" s="59"/>
      <c r="CQ326" s="59"/>
      <c r="CR326" s="59"/>
      <c r="CS326" s="59"/>
      <c r="CT326" s="59"/>
      <c r="CU326" s="59"/>
      <c r="CV326" s="59"/>
      <c r="CW326" s="59"/>
      <c r="CX326" s="59"/>
      <c r="CY326" s="59"/>
      <c r="CZ326" s="59"/>
      <c r="DA326" s="59"/>
    </row>
    <row r="327" customFormat="false" ht="12.75" hidden="false" customHeight="true" outlineLevel="0" collapsed="false"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  <c r="BY327" s="59"/>
      <c r="BZ327" s="59"/>
      <c r="CA327" s="59"/>
      <c r="CB327" s="59"/>
      <c r="CC327" s="59"/>
      <c r="CD327" s="59"/>
      <c r="CE327" s="59"/>
      <c r="CF327" s="59"/>
      <c r="CG327" s="59"/>
      <c r="CH327" s="59"/>
      <c r="CI327" s="59"/>
      <c r="CJ327" s="59"/>
      <c r="CK327" s="59"/>
      <c r="CL327" s="59"/>
      <c r="CM327" s="59"/>
      <c r="CN327" s="59"/>
      <c r="CO327" s="59"/>
      <c r="CP327" s="59"/>
      <c r="CQ327" s="59"/>
      <c r="CR327" s="59"/>
      <c r="CS327" s="59"/>
      <c r="CT327" s="59"/>
      <c r="CU327" s="59"/>
      <c r="CV327" s="59"/>
      <c r="CW327" s="59"/>
      <c r="CX327" s="59"/>
      <c r="CY327" s="59"/>
      <c r="CZ327" s="59"/>
      <c r="DA327" s="59"/>
    </row>
    <row r="328" customFormat="false" ht="12.75" hidden="false" customHeight="true" outlineLevel="0" collapsed="false"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  <c r="CG328" s="59"/>
      <c r="CH328" s="59"/>
      <c r="CI328" s="59"/>
      <c r="CJ328" s="59"/>
      <c r="CK328" s="59"/>
      <c r="CL328" s="59"/>
      <c r="CM328" s="59"/>
      <c r="CN328" s="59"/>
      <c r="CO328" s="59"/>
      <c r="CP328" s="59"/>
      <c r="CQ328" s="59"/>
      <c r="CR328" s="59"/>
      <c r="CS328" s="59"/>
      <c r="CT328" s="59"/>
      <c r="CU328" s="59"/>
      <c r="CV328" s="59"/>
      <c r="CW328" s="59"/>
      <c r="CX328" s="59"/>
      <c r="CY328" s="59"/>
      <c r="CZ328" s="59"/>
      <c r="DA328" s="59"/>
    </row>
    <row r="329" customFormat="false" ht="12.75" hidden="false" customHeight="true" outlineLevel="0" collapsed="false"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  <c r="BY329" s="59"/>
      <c r="BZ329" s="59"/>
      <c r="CA329" s="59"/>
      <c r="CB329" s="59"/>
      <c r="CC329" s="59"/>
      <c r="CD329" s="59"/>
      <c r="CE329" s="59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</row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mergeCells count="1">
    <mergeCell ref="L44:L46"/>
  </mergeCells>
  <conditionalFormatting sqref="G3">
    <cfRule type="containsText" priority="2" operator="containsText" aboveAverage="0" equalAverage="0" bottom="0" percent="0" rank="0" text="да" dxfId="47">
      <formula>NOT(ISERROR(SEARCH("да",G3)))</formula>
    </cfRule>
  </conditionalFormatting>
  <conditionalFormatting sqref="C3">
    <cfRule type="cellIs" priority="3" operator="equal" aboveAverage="0" equalAverage="0" bottom="0" percent="0" rank="0" text="" dxfId="48">
      <formula>"C1:C774"</formula>
    </cfRule>
  </conditionalFormatting>
  <conditionalFormatting sqref="X3">
    <cfRule type="cellIs" priority="4" operator="equal" aboveAverage="0" equalAverage="0" bottom="0" percent="0" rank="0" text="" dxfId="49">
      <formula>"Кудрявцев Д."</formula>
    </cfRule>
  </conditionalFormatting>
  <conditionalFormatting sqref="E3">
    <cfRule type="containsText" priority="5" operator="containsText" aboveAverage="0" equalAverage="0" bottom="0" percent="0" rank="0" text="rus" dxfId="50">
      <formula>NOT(ISERROR(SEARCH("rus",E3)))</formula>
    </cfRule>
  </conditionalFormatting>
  <conditionalFormatting sqref="L22 L24">
    <cfRule type="containsText" priority="6" operator="containsText" aboveAverage="0" equalAverage="0" bottom="0" percent="0" rank="0" text="наклеен" dxfId="51">
      <formula>NOT(ISERROR(SEARCH("наклеен",L22)))</formula>
    </cfRule>
    <cfRule type="containsText" priority="7" operator="containsText" aboveAverage="0" equalAverage="0" bottom="0" percent="0" rank="0" text="наклеен" dxfId="52">
      <formula>NOT(ISERROR(SEARCH("наклеен",L22)))</formula>
    </cfRule>
  </conditionalFormatting>
  <conditionalFormatting sqref="N22 N24">
    <cfRule type="containsText" priority="8" operator="containsText" aboveAverage="0" equalAverage="0" bottom="0" percent="0" rank="0" text="наклеен" dxfId="53">
      <formula>NOT(ISERROR(SEARCH("наклеен",N22)))</formula>
    </cfRule>
    <cfRule type="containsText" priority="9" operator="containsText" aboveAverage="0" equalAverage="0" bottom="0" percent="0" rank="0" text="наклеен" dxfId="54">
      <formula>NOT(ISERROR(SEARCH("наклеен",N22)))</formula>
    </cfRule>
  </conditionalFormatting>
  <conditionalFormatting sqref="L4:L7">
    <cfRule type="containsText" priority="10" operator="containsText" aboveAverage="0" equalAverage="0" bottom="0" percent="0" rank="0" text="наклеен" dxfId="55">
      <formula>NOT(ISERROR(SEARCH("наклеен",L4)))</formula>
    </cfRule>
    <cfRule type="containsText" priority="11" operator="containsText" aboveAverage="0" equalAverage="0" bottom="0" percent="0" rank="0" text="наклеен" dxfId="56">
      <formula>NOT(ISERROR(SEARCH("наклеен",L4)))</formula>
    </cfRule>
  </conditionalFormatting>
  <conditionalFormatting sqref="L4:L11 L15:L16 L26">
    <cfRule type="containsText" priority="12" operator="containsText" aboveAverage="0" equalAverage="0" bottom="0" percent="0" rank="0" text="наклеен" dxfId="57">
      <formula>NOT(ISERROR(SEARCH("наклеен",L4)))</formula>
    </cfRule>
  </conditionalFormatting>
  <conditionalFormatting sqref="D22">
    <cfRule type="cellIs" priority="13" operator="equal" aboveAverage="0" equalAverage="0" bottom="0" percent="0" rank="0" text="" dxfId="58">
      <formula>"C1:C774"</formula>
    </cfRule>
    <cfRule type="cellIs" priority="14" operator="equal" aboveAverage="0" equalAverage="0" bottom="0" percent="0" rank="0" text="" dxfId="59">
      <formula>"C1:C774"</formula>
    </cfRule>
    <cfRule type="cellIs" priority="15" operator="equal" aboveAverage="0" equalAverage="0" bottom="0" percent="0" rank="0" text="" dxfId="60">
      <formula>"C1:C774"</formula>
    </cfRule>
    <cfRule type="cellIs" priority="16" operator="equal" aboveAverage="0" equalAverage="0" bottom="0" percent="0" rank="0" text="" dxfId="61">
      <formula>"C1:C774"</formula>
    </cfRule>
    <cfRule type="cellIs" priority="17" operator="equal" aboveAverage="0" equalAverage="0" bottom="0" percent="0" rank="0" text="" dxfId="62">
      <formula>"C1:C774"</formula>
    </cfRule>
    <cfRule type="cellIs" priority="18" operator="equal" aboveAverage="0" equalAverage="0" bottom="0" percent="0" rank="0" text="" dxfId="63">
      <formula>"C1:C774"</formula>
    </cfRule>
    <cfRule type="cellIs" priority="19" operator="equal" aboveAverage="0" equalAverage="0" bottom="0" percent="0" rank="0" text="" dxfId="64">
      <formula>"C1:C774"</formula>
    </cfRule>
    <cfRule type="cellIs" priority="20" operator="equal" aboveAverage="0" equalAverage="0" bottom="0" percent="0" rank="0" text="" dxfId="65">
      <formula>"C1:C774"</formula>
    </cfRule>
    <cfRule type="cellIs" priority="21" operator="equal" aboveAverage="0" equalAverage="0" bottom="0" percent="0" rank="0" text="" dxfId="66">
      <formula>"C1:C774"</formula>
    </cfRule>
    <cfRule type="cellIs" priority="22" operator="equal" aboveAverage="0" equalAverage="0" bottom="0" percent="0" rank="0" text="" dxfId="67">
      <formula>"C1:C774"</formula>
    </cfRule>
    <cfRule type="cellIs" priority="23" operator="equal" aboveAverage="0" equalAverage="0" bottom="0" percent="0" rank="0" text="" dxfId="68">
      <formula>"C1:C774"</formula>
    </cfRule>
    <cfRule type="cellIs" priority="24" operator="equal" aboveAverage="0" equalAverage="0" bottom="0" percent="0" rank="0" text="" dxfId="69">
      <formula>"C1:C774"</formula>
    </cfRule>
    <cfRule type="cellIs" priority="25" operator="equal" aboveAverage="0" equalAverage="0" bottom="0" percent="0" rank="0" text="" dxfId="70">
      <formula>"C1:C774"</formula>
    </cfRule>
    <cfRule type="cellIs" priority="26" operator="equal" aboveAverage="0" equalAverage="0" bottom="0" percent="0" rank="0" text="" dxfId="71">
      <formula>"C1:C774"</formula>
    </cfRule>
    <cfRule type="cellIs" priority="27" operator="equal" aboveAverage="0" equalAverage="0" bottom="0" percent="0" rank="0" text="" dxfId="72">
      <formula>"C1:C774"</formula>
    </cfRule>
    <cfRule type="cellIs" priority="28" operator="equal" aboveAverage="0" equalAverage="0" bottom="0" percent="0" rank="0" text="" dxfId="73">
      <formula>"C1:C774"</formula>
    </cfRule>
    <cfRule type="cellIs" priority="29" operator="equal" aboveAverage="0" equalAverage="0" bottom="0" percent="0" rank="0" text="" dxfId="74">
      <formula>"C1:C774"</formula>
    </cfRule>
    <cfRule type="cellIs" priority="30" operator="equal" aboveAverage="0" equalAverage="0" bottom="0" percent="0" rank="0" text="" dxfId="75">
      <formula>"C1:C774"</formula>
    </cfRule>
    <cfRule type="cellIs" priority="31" operator="equal" aboveAverage="0" equalAverage="0" bottom="0" percent="0" rank="0" text="" dxfId="76">
      <formula>"C1:C774"</formula>
    </cfRule>
    <cfRule type="cellIs" priority="32" operator="equal" aboveAverage="0" equalAverage="0" bottom="0" percent="0" rank="0" text="" dxfId="77">
      <formula>"C1:C774"</formula>
    </cfRule>
  </conditionalFormatting>
  <conditionalFormatting sqref="D22">
    <cfRule type="cellIs" priority="33" operator="equal" aboveAverage="0" equalAverage="0" bottom="0" percent="0" rank="0" text="" dxfId="78">
      <formula>"C1:C774"</formula>
    </cfRule>
    <cfRule type="cellIs" priority="34" operator="equal" aboveAverage="0" equalAverage="0" bottom="0" percent="0" rank="0" text="" dxfId="79">
      <formula>"C1:C774"</formula>
    </cfRule>
    <cfRule type="cellIs" priority="35" operator="equal" aboveAverage="0" equalAverage="0" bottom="0" percent="0" rank="0" text="" dxfId="80">
      <formula>"C1:C774"</formula>
    </cfRule>
    <cfRule type="cellIs" priority="36" operator="equal" aboveAverage="0" equalAverage="0" bottom="0" percent="0" rank="0" text="" dxfId="81">
      <formula>"C1:C774"</formula>
    </cfRule>
    <cfRule type="cellIs" priority="37" operator="equal" aboveAverage="0" equalAverage="0" bottom="0" percent="0" rank="0" text="" dxfId="82">
      <formula>"C1:C774"</formula>
    </cfRule>
    <cfRule type="cellIs" priority="38" operator="equal" aboveAverage="0" equalAverage="0" bottom="0" percent="0" rank="0" text="" dxfId="83">
      <formula>"C1:C774"</formula>
    </cfRule>
    <cfRule type="cellIs" priority="39" operator="equal" aboveAverage="0" equalAverage="0" bottom="0" percent="0" rank="0" text="" dxfId="84">
      <formula>"C1:C774"</formula>
    </cfRule>
    <cfRule type="cellIs" priority="40" operator="equal" aboveAverage="0" equalAverage="0" bottom="0" percent="0" rank="0" text="" dxfId="85">
      <formula>"C1:C774"</formula>
    </cfRule>
    <cfRule type="cellIs" priority="41" operator="equal" aboveAverage="0" equalAverage="0" bottom="0" percent="0" rank="0" text="" dxfId="86">
      <formula>"C1:C774"</formula>
    </cfRule>
    <cfRule type="cellIs" priority="42" operator="equal" aboveAverage="0" equalAverage="0" bottom="0" percent="0" rank="0" text="" dxfId="87">
      <formula>"C1:C774"</formula>
    </cfRule>
    <cfRule type="cellIs" priority="43" operator="equal" aboveAverage="0" equalAverage="0" bottom="0" percent="0" rank="0" text="" dxfId="88">
      <formula>"C1:C774"</formula>
    </cfRule>
    <cfRule type="cellIs" priority="44" operator="equal" aboveAverage="0" equalAverage="0" bottom="0" percent="0" rank="0" text="" dxfId="89">
      <formula>"C1:C774"</formula>
    </cfRule>
    <cfRule type="cellIs" priority="45" operator="equal" aboveAverage="0" equalAverage="0" bottom="0" percent="0" rank="0" text="" dxfId="90">
      <formula>"C1:C774"</formula>
    </cfRule>
    <cfRule type="cellIs" priority="46" operator="equal" aboveAverage="0" equalAverage="0" bottom="0" percent="0" rank="0" text="" dxfId="91">
      <formula>"C1:C774"</formula>
    </cfRule>
    <cfRule type="cellIs" priority="47" operator="equal" aboveAverage="0" equalAverage="0" bottom="0" percent="0" rank="0" text="" dxfId="92">
      <formula>"C1:C774"</formula>
    </cfRule>
    <cfRule type="cellIs" priority="48" operator="equal" aboveAverage="0" equalAverage="0" bottom="0" percent="0" rank="0" text="" dxfId="93">
      <formula>"C1:C774"</formula>
    </cfRule>
  </conditionalFormatting>
  <conditionalFormatting sqref="L22">
    <cfRule type="containsText" priority="49" operator="containsText" aboveAverage="0" equalAverage="0" bottom="0" percent="0" rank="0" text="наклеен" dxfId="94">
      <formula>NOT(ISERROR(SEARCH("наклеен",L22)))</formula>
    </cfRule>
  </conditionalFormatting>
  <conditionalFormatting sqref="N4:N42">
    <cfRule type="cellIs" priority="50" operator="equal" aboveAverage="0" equalAverage="0" bottom="0" percent="0" rank="0" text="" dxfId="95">
      <formula>"C1:C774"</formula>
    </cfRule>
  </conditionalFormatting>
  <conditionalFormatting sqref="N4:N7">
    <cfRule type="containsText" priority="51" operator="containsText" aboveAverage="0" equalAverage="0" bottom="0" percent="0" rank="0" text="наклеен" dxfId="96">
      <formula>NOT(ISERROR(SEARCH("наклеен",N4)))</formula>
    </cfRule>
    <cfRule type="containsText" priority="52" operator="containsText" aboveAverage="0" equalAverage="0" bottom="0" percent="0" rank="0" text="наклеен" dxfId="97">
      <formula>NOT(ISERROR(SEARCH("наклеен",N4)))</formula>
    </cfRule>
  </conditionalFormatting>
  <conditionalFormatting sqref="L10">
    <cfRule type="containsText" priority="53" operator="containsText" aboveAverage="0" equalAverage="0" bottom="0" percent="0" rank="0" text="наклеен" dxfId="98">
      <formula>NOT(ISERROR(SEARCH("наклеен",L10)))</formula>
    </cfRule>
  </conditionalFormatting>
  <conditionalFormatting sqref="N4:N11 N14:N16">
    <cfRule type="containsText" priority="54" operator="containsText" aboveAverage="0" equalAverage="0" bottom="0" percent="0" rank="0" text="наклеен" dxfId="99">
      <formula>NOT(ISERROR(SEARCH("наклеен",N4)))</formula>
    </cfRule>
    <cfRule type="containsText" priority="55" operator="containsText" aboveAverage="0" equalAverage="0" bottom="0" percent="0" rank="0" text="наклеен" dxfId="100">
      <formula>NOT(ISERROR(SEARCH("наклеен",N4)))</formula>
    </cfRule>
    <cfRule type="containsText" priority="56" operator="containsText" aboveAverage="0" equalAverage="0" bottom="0" percent="0" rank="0" text="наклеен" dxfId="101">
      <formula>NOT(ISERROR(SEARCH("наклеен",N4)))</formula>
    </cfRule>
  </conditionalFormatting>
  <conditionalFormatting sqref="D22">
    <cfRule type="cellIs" priority="57" operator="equal" aboveAverage="0" equalAverage="0" bottom="0" percent="0" rank="0" text="" dxfId="102">
      <formula>"C1:C774"</formula>
    </cfRule>
  </conditionalFormatting>
  <conditionalFormatting sqref="L4:L26">
    <cfRule type="containsText" priority="58" operator="containsText" aboveAverage="0" equalAverage="0" bottom="0" percent="0" rank="0" text="наклеен" dxfId="103">
      <formula>NOT(ISERROR(SEARCH("наклеен",L4)))</formula>
    </cfRule>
  </conditionalFormatting>
  <conditionalFormatting sqref="C2">
    <cfRule type="cellIs" priority="59" operator="equal" aboveAverage="0" equalAverage="0" bottom="0" percent="0" rank="0" text="" dxfId="104">
      <formula>"C1:C774"</formula>
    </cfRule>
  </conditionalFormatting>
  <conditionalFormatting sqref="L4:L12 L15:L16">
    <cfRule type="containsText" priority="60" operator="containsText" aboveAverage="0" equalAverage="0" bottom="0" percent="0" rank="0" text="наклеен" dxfId="105">
      <formula>NOT(ISERROR(SEARCH("наклеен",L4)))</formula>
    </cfRule>
  </conditionalFormatting>
  <conditionalFormatting sqref="L18">
    <cfRule type="containsText" priority="61" operator="containsText" aboveAverage="0" equalAverage="0" bottom="0" percent="0" rank="0" text="наклеен" dxfId="106">
      <formula>NOT(ISERROR(SEARCH("наклеен",L18)))</formula>
    </cfRule>
  </conditionalFormatting>
  <conditionalFormatting sqref="N29">
    <cfRule type="containsText" priority="62" operator="containsText" aboveAverage="0" equalAverage="0" bottom="0" percent="0" rank="0" text="наклеен" dxfId="107">
      <formula>NOT(ISERROR(SEARCH("наклеен",N29)))</formula>
    </cfRule>
  </conditionalFormatting>
  <conditionalFormatting sqref="N4:N30">
    <cfRule type="containsText" priority="63" operator="containsText" aboveAverage="0" equalAverage="0" bottom="0" percent="0" rank="0" text="наклеен" dxfId="108">
      <formula>NOT(ISERROR(SEARCH("наклеен",N4)))</formula>
    </cfRule>
    <cfRule type="containsText" priority="64" operator="containsText" aboveAverage="0" equalAverage="0" bottom="0" percent="0" rank="0" text="наклеен" dxfId="109">
      <formula>NOT(ISERROR(SEARCH("наклеен",N4)))</formula>
    </cfRule>
  </conditionalFormatting>
  <conditionalFormatting sqref="E2">
    <cfRule type="containsText" priority="65" operator="containsText" aboveAverage="0" equalAverage="0" bottom="0" percent="0" rank="0" text="rus" dxfId="110">
      <formula>NOT(ISERROR(SEARCH("rus",E2)))</formula>
    </cfRule>
  </conditionalFormatting>
  <conditionalFormatting sqref="J44">
    <cfRule type="containsText" priority="66" operator="containsText" aboveAverage="0" equalAverage="0" bottom="0" percent="0" rank="0" text="Workstation" dxfId="111">
      <formula>NOT(ISERROR(SEARCH("Workstation",J44)))</formula>
    </cfRule>
  </conditionalFormatting>
  <conditionalFormatting sqref="L11:L14 L18">
    <cfRule type="containsText" priority="67" operator="containsText" aboveAverage="0" equalAverage="0" bottom="0" percent="0" rank="0" text="наклеен" dxfId="112">
      <formula>NOT(ISERROR(SEARCH("наклеен",L11)))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9999"/>
    <pageSetUpPr fitToPage="false"/>
  </sheetPr>
  <dimension ref="A1:DA991"/>
  <sheetViews>
    <sheetView showFormulas="false" showGridLines="true" showRowColHeaders="true" showZeros="true" rightToLeft="false" tabSelected="false" showOutlineSymbols="true" defaultGridColor="true" view="normal" topLeftCell="J1" colorId="64" zoomScale="75" zoomScaleNormal="75" zoomScalePageLayoutView="100" workbookViewId="0">
      <selection pane="topLeft" activeCell="J1" activeCellId="0" sqref="J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.85"/>
    <col collapsed="false" customWidth="true" hidden="false" outlineLevel="0" max="3" min="3" style="1" width="44.57"/>
    <col collapsed="false" customWidth="true" hidden="false" outlineLevel="0" max="4" min="4" style="1" width="32.85"/>
    <col collapsed="false" customWidth="true" hidden="false" outlineLevel="0" max="6" min="6" style="1" width="30.72"/>
    <col collapsed="false" customWidth="true" hidden="false" outlineLevel="0" max="7" min="7" style="1" width="38.85"/>
    <col collapsed="false" customWidth="true" hidden="false" outlineLevel="0" max="8" min="8" style="1" width="27.85"/>
    <col collapsed="false" customWidth="true" hidden="false" outlineLevel="0" max="9" min="9" style="1" width="41.58"/>
    <col collapsed="false" customWidth="true" hidden="false" outlineLevel="0" max="10" min="10" style="1" width="32"/>
    <col collapsed="false" customWidth="true" hidden="false" outlineLevel="0" max="11" min="11" style="1" width="35.29"/>
    <col collapsed="false" customWidth="true" hidden="false" outlineLevel="0" max="12" min="12" style="1" width="18.85"/>
    <col collapsed="false" customWidth="true" hidden="false" outlineLevel="0" max="14" min="14" style="1" width="20.43"/>
    <col collapsed="false" customWidth="true" hidden="false" outlineLevel="0" max="15" min="15" style="1" width="27.85"/>
    <col collapsed="false" customWidth="true" hidden="false" outlineLevel="0" max="16" min="16" style="1" width="21.14"/>
    <col collapsed="false" customWidth="true" hidden="false" outlineLevel="0" max="17" min="17" style="1" width="23.42"/>
    <col collapsed="false" customWidth="true" hidden="false" outlineLevel="0" max="21" min="21" style="1" width="31.29"/>
    <col collapsed="false" customWidth="true" hidden="false" outlineLevel="0" max="26" min="26" style="1" width="21.85"/>
    <col collapsed="false" customWidth="true" hidden="false" outlineLevel="0" max="27" min="27" style="1" width="20.29"/>
  </cols>
  <sheetData>
    <row r="1" customFormat="false" ht="52.5" hidden="false" customHeight="true" outlineLevel="0" collapsed="false">
      <c r="A1" s="33" t="s">
        <v>41</v>
      </c>
      <c r="B1" s="33" t="s">
        <v>0</v>
      </c>
      <c r="C1" s="33" t="s">
        <v>1</v>
      </c>
      <c r="D1" s="33" t="s">
        <v>42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124" t="s">
        <v>9</v>
      </c>
      <c r="L1" s="33" t="s">
        <v>10</v>
      </c>
      <c r="M1" s="33" t="s">
        <v>11</v>
      </c>
      <c r="N1" s="33" t="s">
        <v>43</v>
      </c>
      <c r="O1" s="33" t="s">
        <v>13</v>
      </c>
      <c r="P1" s="33" t="s">
        <v>14</v>
      </c>
      <c r="Q1" s="33" t="s">
        <v>44</v>
      </c>
      <c r="R1" s="33" t="s">
        <v>16</v>
      </c>
      <c r="S1" s="33" t="s">
        <v>17</v>
      </c>
      <c r="T1" s="33" t="s">
        <v>18</v>
      </c>
      <c r="U1" s="33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5" t="s">
        <v>24</v>
      </c>
      <c r="AA1" s="35" t="s">
        <v>25</v>
      </c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</row>
    <row r="2" customFormat="false" ht="45.75" hidden="false" customHeight="true" outlineLevel="0" collapsed="false">
      <c r="A2" s="80" t="e">
        <f aca="false">#REF!+1</f>
        <v>#REF!</v>
      </c>
      <c r="B2" s="125" t="n">
        <v>12152</v>
      </c>
      <c r="C2" s="126" t="s">
        <v>262</v>
      </c>
      <c r="D2" s="127" t="s">
        <v>263</v>
      </c>
      <c r="E2" s="128" t="s">
        <v>28</v>
      </c>
      <c r="F2" s="129" t="s">
        <v>264</v>
      </c>
      <c r="G2" s="127" t="s">
        <v>265</v>
      </c>
      <c r="H2" s="129" t="s">
        <v>266</v>
      </c>
      <c r="I2" s="97" t="s">
        <v>267</v>
      </c>
      <c r="J2" s="129" t="s">
        <v>268</v>
      </c>
      <c r="K2" s="130" t="s">
        <v>100</v>
      </c>
      <c r="L2" s="129" t="s">
        <v>53</v>
      </c>
      <c r="M2" s="129"/>
      <c r="N2" s="127" t="s">
        <v>269</v>
      </c>
      <c r="O2" s="129" t="s">
        <v>270</v>
      </c>
      <c r="P2" s="129" t="str">
        <f aca="false">"RUTL-" &amp; RIGHT(O2,8)</f>
        <v>RUTL-70821711</v>
      </c>
      <c r="Q2" s="129" t="s">
        <v>56</v>
      </c>
      <c r="R2" s="129" t="s">
        <v>34</v>
      </c>
      <c r="S2" s="129"/>
      <c r="T2" s="129" t="s">
        <v>57</v>
      </c>
      <c r="U2" s="129" t="s">
        <v>271</v>
      </c>
      <c r="V2" s="127" t="s">
        <v>37</v>
      </c>
      <c r="W2" s="129" t="s">
        <v>38</v>
      </c>
      <c r="X2" s="129" t="s">
        <v>69</v>
      </c>
      <c r="Y2" s="129" t="s">
        <v>272</v>
      </c>
      <c r="Z2" s="129"/>
      <c r="AA2" s="129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31"/>
      <c r="CO2" s="131"/>
      <c r="CP2" s="131"/>
      <c r="CQ2" s="131"/>
      <c r="CR2" s="131"/>
      <c r="CS2" s="131"/>
      <c r="CT2" s="131"/>
      <c r="CU2" s="131"/>
      <c r="CV2" s="131"/>
      <c r="CW2" s="131"/>
      <c r="CX2" s="131"/>
      <c r="CY2" s="131"/>
      <c r="CZ2" s="131"/>
      <c r="DA2" s="131"/>
    </row>
    <row r="3" customFormat="false" ht="31.5" hidden="false" customHeight="true" outlineLevel="0" collapsed="false">
      <c r="A3" s="80" t="e">
        <f aca="false">#REF!+1</f>
        <v>#REF!</v>
      </c>
      <c r="B3" s="132" t="n">
        <v>9261</v>
      </c>
      <c r="C3" s="133" t="s">
        <v>273</v>
      </c>
      <c r="D3" s="134" t="s">
        <v>27</v>
      </c>
      <c r="E3" s="135" t="s">
        <v>28</v>
      </c>
      <c r="F3" s="14" t="s">
        <v>274</v>
      </c>
      <c r="G3" s="134" t="s">
        <v>275</v>
      </c>
      <c r="H3" s="136" t="s">
        <v>276</v>
      </c>
      <c r="I3" s="97" t="s">
        <v>119</v>
      </c>
      <c r="J3" s="97" t="s">
        <v>277</v>
      </c>
      <c r="K3" s="137" t="s">
        <v>278</v>
      </c>
      <c r="L3" s="99" t="s">
        <v>279</v>
      </c>
      <c r="M3" s="129"/>
      <c r="N3" s="134" t="s">
        <v>269</v>
      </c>
      <c r="O3" s="99" t="s">
        <v>280</v>
      </c>
      <c r="P3" s="138" t="str">
        <f aca="false">"RUTL-" &amp; RIGHT(O3,8)</f>
        <v>RUTL-PF24ABRT</v>
      </c>
      <c r="Q3" s="139" t="s">
        <v>56</v>
      </c>
      <c r="R3" s="99" t="s">
        <v>67</v>
      </c>
      <c r="S3" s="99"/>
      <c r="T3" s="129"/>
      <c r="U3" s="129" t="s">
        <v>281</v>
      </c>
      <c r="V3" s="134" t="s">
        <v>37</v>
      </c>
      <c r="W3" s="129"/>
      <c r="X3" s="140" t="s">
        <v>83</v>
      </c>
      <c r="Y3" s="99" t="s">
        <v>282</v>
      </c>
      <c r="Z3" s="99"/>
      <c r="AA3" s="9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</row>
    <row r="4" customFormat="false" ht="15.75" hidden="false" customHeight="true" outlineLevel="0" collapsed="false">
      <c r="A4" s="80" t="e">
        <f aca="false">#REF!+1</f>
        <v>#REF!</v>
      </c>
      <c r="B4" s="141" t="n">
        <v>1540</v>
      </c>
      <c r="C4" s="133" t="s">
        <v>283</v>
      </c>
      <c r="D4" s="69" t="s">
        <v>27</v>
      </c>
      <c r="E4" s="41" t="s">
        <v>28</v>
      </c>
      <c r="F4" s="14" t="s">
        <v>284</v>
      </c>
      <c r="G4" s="40" t="s">
        <v>285</v>
      </c>
      <c r="H4" s="142" t="s">
        <v>276</v>
      </c>
      <c r="I4" s="97" t="s">
        <v>286</v>
      </c>
      <c r="J4" s="97" t="s">
        <v>287</v>
      </c>
      <c r="K4" s="143" t="s">
        <v>288</v>
      </c>
      <c r="L4" s="144" t="s">
        <v>80</v>
      </c>
      <c r="M4" s="145" t="s">
        <v>289</v>
      </c>
      <c r="N4" s="40" t="s">
        <v>269</v>
      </c>
      <c r="O4" s="38" t="s">
        <v>290</v>
      </c>
      <c r="P4" s="48" t="str">
        <f aca="false">"RUTL-" &amp; RIGHT(O4,8)</f>
        <v>RUTL-PF2TXSE1</v>
      </c>
      <c r="Q4" s="146"/>
      <c r="R4" s="57" t="s">
        <v>291</v>
      </c>
      <c r="S4" s="57"/>
      <c r="T4" s="146"/>
      <c r="U4" s="38"/>
      <c r="V4" s="40" t="s">
        <v>292</v>
      </c>
      <c r="W4" s="146" t="s">
        <v>293</v>
      </c>
      <c r="X4" s="147"/>
      <c r="Y4" s="148" t="s">
        <v>294</v>
      </c>
      <c r="Z4" s="38"/>
      <c r="AA4" s="38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</row>
    <row r="5" customFormat="false" ht="15.75" hidden="false" customHeight="true" outlineLevel="0" collapsed="false">
      <c r="A5" s="80" t="n">
        <v>9</v>
      </c>
      <c r="B5" s="67"/>
      <c r="C5" s="68" t="s">
        <v>295</v>
      </c>
      <c r="D5" s="69" t="s">
        <v>296</v>
      </c>
      <c r="E5" s="135"/>
      <c r="F5" s="149"/>
      <c r="G5" s="150" t="s">
        <v>297</v>
      </c>
      <c r="H5" s="136" t="s">
        <v>298</v>
      </c>
      <c r="I5" s="97" t="s">
        <v>299</v>
      </c>
      <c r="J5" s="97" t="s">
        <v>300</v>
      </c>
      <c r="K5" s="151" t="s">
        <v>301</v>
      </c>
      <c r="L5" s="106" t="s">
        <v>80</v>
      </c>
      <c r="M5" s="38"/>
      <c r="N5" s="40" t="s">
        <v>302</v>
      </c>
      <c r="O5" s="152" t="s">
        <v>303</v>
      </c>
      <c r="P5" s="48" t="str">
        <f aca="false">"RUTL-" &amp; RIGHT(O5,8)</f>
        <v>RUTL-1B057075</v>
      </c>
      <c r="Q5" s="38"/>
      <c r="R5" s="38"/>
      <c r="S5" s="38"/>
      <c r="T5" s="38"/>
      <c r="U5" s="38" t="s">
        <v>304</v>
      </c>
      <c r="V5" s="38"/>
      <c r="W5" s="38"/>
      <c r="X5" s="38"/>
      <c r="Y5" s="38"/>
      <c r="Z5" s="38"/>
      <c r="AA5" s="38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</row>
    <row r="6" customFormat="false" ht="49.5" hidden="false" customHeight="true" outlineLevel="0" collapsed="false">
      <c r="A6" s="80" t="e">
        <f aca="false">#REF!+1</f>
        <v>#REF!</v>
      </c>
      <c r="B6" s="38"/>
      <c r="C6" s="68" t="s">
        <v>305</v>
      </c>
      <c r="D6" s="153" t="s">
        <v>306</v>
      </c>
      <c r="E6" s="135"/>
      <c r="F6" s="149"/>
      <c r="G6" s="150" t="s">
        <v>307</v>
      </c>
      <c r="H6" s="136" t="s">
        <v>308</v>
      </c>
      <c r="I6" s="97" t="s">
        <v>267</v>
      </c>
      <c r="J6" s="97" t="s">
        <v>122</v>
      </c>
      <c r="K6" s="71" t="s">
        <v>309</v>
      </c>
      <c r="L6" s="71" t="s">
        <v>111</v>
      </c>
      <c r="M6" s="38"/>
      <c r="N6" s="40" t="s">
        <v>269</v>
      </c>
      <c r="O6" s="99" t="s">
        <v>310</v>
      </c>
      <c r="P6" s="48" t="str">
        <f aca="false">"RUTL-" &amp; RIGHT(O6,8)</f>
        <v>RUTL-LR08MD5Z</v>
      </c>
      <c r="Q6" s="38"/>
      <c r="R6" s="38"/>
      <c r="S6" s="38"/>
      <c r="T6" s="38"/>
      <c r="U6" s="38"/>
      <c r="V6" s="38"/>
      <c r="W6" s="38"/>
      <c r="X6" s="38"/>
      <c r="Y6" s="148" t="s">
        <v>311</v>
      </c>
      <c r="Z6" s="154" t="n">
        <v>43397</v>
      </c>
      <c r="AA6" s="38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</row>
    <row r="7" customFormat="false" ht="31.5" hidden="false" customHeight="true" outlineLevel="0" collapsed="false">
      <c r="A7" s="80" t="e">
        <f aca="false">A6+1</f>
        <v>#REF!</v>
      </c>
      <c r="B7" s="38"/>
      <c r="C7" s="68" t="s">
        <v>312</v>
      </c>
      <c r="D7" s="153" t="s">
        <v>306</v>
      </c>
      <c r="E7" s="135"/>
      <c r="F7" s="149"/>
      <c r="G7" s="150" t="s">
        <v>307</v>
      </c>
      <c r="H7" s="155" t="s">
        <v>313</v>
      </c>
      <c r="I7" s="97" t="s">
        <v>119</v>
      </c>
      <c r="J7" s="156" t="s">
        <v>314</v>
      </c>
      <c r="K7" s="71" t="s">
        <v>315</v>
      </c>
      <c r="L7" s="72" t="s">
        <v>80</v>
      </c>
      <c r="M7" s="38"/>
      <c r="N7" s="40" t="s">
        <v>269</v>
      </c>
      <c r="O7" s="99" t="s">
        <v>316</v>
      </c>
      <c r="P7" s="48" t="str">
        <f aca="false">"RUTL-" &amp; RIGHT(O7,8)</f>
        <v>RUTL-PF0IP8V3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</sheetData>
  <conditionalFormatting sqref="C6">
    <cfRule type="cellIs" priority="2" operator="equal" aboveAverage="0" equalAverage="0" bottom="0" percent="0" rank="0" text="" dxfId="113">
      <formula>"C1:C774"</formula>
    </cfRule>
  </conditionalFormatting>
  <conditionalFormatting sqref="C6">
    <cfRule type="cellIs" priority="3" operator="equal" aboveAverage="0" equalAverage="0" bottom="0" percent="0" rank="0" text="" dxfId="114">
      <formula>"C1:C774"</formula>
    </cfRule>
  </conditionalFormatting>
  <conditionalFormatting sqref="C3">
    <cfRule type="cellIs" priority="4" operator="equal" aboveAverage="0" equalAverage="0" bottom="0" percent="0" rank="0" text="" dxfId="115">
      <formula>"C1:C774"</formula>
    </cfRule>
  </conditionalFormatting>
  <conditionalFormatting sqref="C7">
    <cfRule type="cellIs" priority="5" operator="equal" aboveAverage="0" equalAverage="0" bottom="0" percent="0" rank="0" text="" dxfId="116">
      <formula>"C1:C774"</formula>
    </cfRule>
  </conditionalFormatting>
  <conditionalFormatting sqref="C2">
    <cfRule type="cellIs" priority="6" operator="equal" aboveAverage="0" equalAverage="0" bottom="0" percent="0" rank="0" text="" dxfId="117">
      <formula>"C1:C774"</formula>
    </cfRule>
  </conditionalFormatting>
  <hyperlinks>
    <hyperlink ref="B2" r:id="rId1" display="https://rs-gwm.ru/record/employee/174744038495795418"/>
    <hyperlink ref="B4" r:id="rId2" display="https://rs-gwm.ru/record/employee/170193301290684677"/>
    <hyperlink ref="M4" r:id="rId3" display="Внесен в ITSM AST000087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66"/>
    <pageSetUpPr fitToPage="false"/>
  </sheetPr>
  <dimension ref="A1:AR1000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" min="2" style="1" width="26.71"/>
    <col collapsed="false" customWidth="true" hidden="false" outlineLevel="0" max="3" min="3" style="1" width="37.29"/>
    <col collapsed="false" customWidth="true" hidden="false" outlineLevel="0" max="5" min="5" style="1" width="29.14"/>
    <col collapsed="false" customWidth="true" hidden="false" outlineLevel="0" max="6" min="6" style="1" width="37.43"/>
    <col collapsed="false" customWidth="true" hidden="false" outlineLevel="0" max="7" min="7" style="1" width="28"/>
    <col collapsed="false" customWidth="true" hidden="false" outlineLevel="0" max="8" min="8" style="1" width="33.71"/>
    <col collapsed="false" customWidth="true" hidden="false" outlineLevel="0" max="9" min="9" style="1" width="33.43"/>
    <col collapsed="false" customWidth="true" hidden="false" outlineLevel="0" max="10" min="10" style="1" width="26.14"/>
    <col collapsed="false" customWidth="true" hidden="false" outlineLevel="0" max="12" min="12" style="1" width="28.71"/>
    <col collapsed="false" customWidth="true" hidden="false" outlineLevel="0" max="13" min="13" style="1" width="37.85"/>
    <col collapsed="false" customWidth="true" hidden="false" outlineLevel="0" max="14" min="14" style="1" width="29"/>
    <col collapsed="false" customWidth="true" hidden="false" outlineLevel="0" max="15" min="15" style="1" width="22.85"/>
    <col collapsed="false" customWidth="true" hidden="false" outlineLevel="0" max="16" min="16" style="1" width="27.85"/>
    <col collapsed="false" customWidth="true" hidden="false" outlineLevel="0" max="17" min="17" style="1" width="24.71"/>
    <col collapsed="false" customWidth="true" hidden="false" outlineLevel="0" max="18" min="18" style="1" width="19.71"/>
    <col collapsed="false" customWidth="true" hidden="false" outlineLevel="0" max="19" min="19" style="1" width="27.14"/>
    <col collapsed="false" customWidth="true" hidden="false" outlineLevel="0" max="20" min="20" style="1" width="35.29"/>
    <col collapsed="false" customWidth="true" hidden="false" outlineLevel="0" max="21" min="21" style="1" width="36.72"/>
    <col collapsed="false" customWidth="true" hidden="false" outlineLevel="0" max="24" min="24" style="1" width="17.14"/>
  </cols>
  <sheetData>
    <row r="1" customFormat="false" ht="46.75" hidden="false" customHeight="true" outlineLevel="0" collapsed="false">
      <c r="A1" s="157"/>
      <c r="B1" s="158"/>
      <c r="C1" s="159"/>
      <c r="D1" s="159"/>
      <c r="E1" s="159"/>
      <c r="F1" s="160"/>
      <c r="G1" s="161"/>
      <c r="H1" s="162" t="s">
        <v>317</v>
      </c>
      <c r="I1" s="163"/>
      <c r="J1" s="161"/>
      <c r="K1" s="161"/>
      <c r="L1" s="25"/>
      <c r="M1" s="161"/>
      <c r="N1" s="161"/>
      <c r="O1" s="164"/>
      <c r="P1" s="162" t="s">
        <v>318</v>
      </c>
      <c r="Q1" s="33" t="s">
        <v>319</v>
      </c>
      <c r="R1" s="33" t="s">
        <v>320</v>
      </c>
      <c r="S1" s="33" t="s">
        <v>321</v>
      </c>
      <c r="T1" s="33"/>
      <c r="U1" s="63" t="s">
        <v>322</v>
      </c>
      <c r="V1" s="63"/>
      <c r="W1" s="165" t="s">
        <v>323</v>
      </c>
      <c r="X1" s="16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</row>
    <row r="2" customFormat="false" ht="66.65" hidden="false" customHeight="true" outlineLevel="0" collapsed="false">
      <c r="A2" s="166" t="s">
        <v>71</v>
      </c>
      <c r="B2" s="166" t="s">
        <v>324</v>
      </c>
      <c r="C2" s="166" t="s">
        <v>325</v>
      </c>
      <c r="D2" s="166" t="s">
        <v>326</v>
      </c>
      <c r="E2" s="166" t="s">
        <v>327</v>
      </c>
      <c r="F2" s="33" t="s">
        <v>5</v>
      </c>
      <c r="G2" s="166" t="s">
        <v>328</v>
      </c>
      <c r="H2" s="166" t="s">
        <v>329</v>
      </c>
      <c r="I2" s="166" t="s">
        <v>330</v>
      </c>
      <c r="J2" s="166" t="s">
        <v>331</v>
      </c>
      <c r="K2" s="166" t="s">
        <v>332</v>
      </c>
      <c r="L2" s="166" t="s">
        <v>11</v>
      </c>
      <c r="M2" s="167" t="s">
        <v>333</v>
      </c>
      <c r="N2" s="166" t="s">
        <v>334</v>
      </c>
      <c r="O2" s="166" t="s">
        <v>335</v>
      </c>
      <c r="P2" s="166" t="s">
        <v>336</v>
      </c>
      <c r="Q2" s="166"/>
      <c r="R2" s="166"/>
      <c r="S2" s="32" t="s">
        <v>337</v>
      </c>
      <c r="T2" s="32" t="s">
        <v>338</v>
      </c>
      <c r="U2" s="32" t="s">
        <v>339</v>
      </c>
      <c r="V2" s="33" t="s">
        <v>340</v>
      </c>
      <c r="W2" s="168" t="s">
        <v>341</v>
      </c>
      <c r="X2" s="36" t="s">
        <v>342</v>
      </c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customFormat="false" ht="27.75" hidden="false" customHeight="true" outlineLevel="0" collapsed="false">
      <c r="A3" s="169" t="s">
        <v>343</v>
      </c>
      <c r="B3" s="170" t="s">
        <v>344</v>
      </c>
      <c r="C3" s="171" t="s">
        <v>345</v>
      </c>
      <c r="D3" s="172" t="s">
        <v>28</v>
      </c>
      <c r="E3" s="173" t="s">
        <v>346</v>
      </c>
      <c r="F3" s="174" t="s">
        <v>347</v>
      </c>
      <c r="G3" s="175" t="s">
        <v>348</v>
      </c>
      <c r="H3" s="176" t="s">
        <v>119</v>
      </c>
      <c r="I3" s="16" t="s">
        <v>349</v>
      </c>
      <c r="J3" s="177" t="n">
        <v>100000003573</v>
      </c>
      <c r="K3" s="178" t="s">
        <v>225</v>
      </c>
      <c r="L3" s="179" t="s">
        <v>350</v>
      </c>
      <c r="M3" s="180" t="s">
        <v>351</v>
      </c>
      <c r="N3" s="181" t="s">
        <v>352</v>
      </c>
      <c r="O3" s="181" t="str">
        <f aca="false">"RUKLG-" &amp; RIGHT(N3, 8)</f>
        <v>RUKLG-02103153</v>
      </c>
      <c r="P3" s="182"/>
      <c r="Q3" s="183"/>
      <c r="R3" s="184"/>
      <c r="S3" s="184"/>
      <c r="T3" s="185" t="s">
        <v>353</v>
      </c>
      <c r="U3" s="186" t="s">
        <v>354</v>
      </c>
      <c r="V3" s="187"/>
      <c r="W3" s="188" t="s">
        <v>83</v>
      </c>
      <c r="X3" s="189" t="s">
        <v>355</v>
      </c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</row>
    <row r="4" customFormat="false" ht="15.75" hidden="false" customHeight="true" outlineLevel="0" collapsed="false">
      <c r="A4" s="169" t="s">
        <v>356</v>
      </c>
      <c r="B4" s="170" t="n">
        <v>11861</v>
      </c>
      <c r="C4" s="171" t="s">
        <v>357</v>
      </c>
      <c r="D4" s="172" t="s">
        <v>28</v>
      </c>
      <c r="E4" s="173" t="s">
        <v>358</v>
      </c>
      <c r="F4" s="174" t="s">
        <v>359</v>
      </c>
      <c r="G4" s="175" t="s">
        <v>360</v>
      </c>
      <c r="H4" s="176" t="s">
        <v>119</v>
      </c>
      <c r="I4" s="16" t="s">
        <v>361</v>
      </c>
      <c r="J4" s="190" t="s">
        <v>362</v>
      </c>
      <c r="K4" s="178" t="s">
        <v>225</v>
      </c>
      <c r="L4" s="179" t="s">
        <v>363</v>
      </c>
      <c r="M4" s="191" t="s">
        <v>364</v>
      </c>
      <c r="N4" s="181" t="s">
        <v>365</v>
      </c>
      <c r="O4" s="181" t="str">
        <f aca="false">"RUKLG-" &amp; RIGHT(N4, 8)</f>
        <v>RUKLG-PF4TN6C9</v>
      </c>
      <c r="P4" s="192" t="s">
        <v>56</v>
      </c>
      <c r="Q4" s="183" t="s">
        <v>366</v>
      </c>
      <c r="R4" s="193"/>
      <c r="S4" s="194" t="s">
        <v>367</v>
      </c>
      <c r="T4" s="185" t="s">
        <v>353</v>
      </c>
      <c r="U4" s="186" t="s">
        <v>354</v>
      </c>
      <c r="V4" s="195" t="s">
        <v>58</v>
      </c>
      <c r="W4" s="188" t="s">
        <v>83</v>
      </c>
      <c r="X4" s="189" t="s">
        <v>368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</row>
    <row r="5" customFormat="false" ht="31.5" hidden="false" customHeight="true" outlineLevel="0" collapsed="false">
      <c r="A5" s="169" t="s">
        <v>369</v>
      </c>
      <c r="B5" s="170" t="n">
        <v>11862</v>
      </c>
      <c r="C5" s="171" t="s">
        <v>370</v>
      </c>
      <c r="D5" s="172" t="s">
        <v>28</v>
      </c>
      <c r="E5" s="173" t="s">
        <v>371</v>
      </c>
      <c r="F5" s="174" t="s">
        <v>372</v>
      </c>
      <c r="G5" s="175" t="s">
        <v>360</v>
      </c>
      <c r="H5" s="176" t="s">
        <v>119</v>
      </c>
      <c r="I5" s="16" t="s">
        <v>361</v>
      </c>
      <c r="J5" s="190" t="s">
        <v>362</v>
      </c>
      <c r="K5" s="178" t="s">
        <v>225</v>
      </c>
      <c r="L5" s="179" t="s">
        <v>363</v>
      </c>
      <c r="M5" s="191" t="s">
        <v>364</v>
      </c>
      <c r="N5" s="181" t="s">
        <v>373</v>
      </c>
      <c r="O5" s="181" t="str">
        <f aca="false">"RUKLG-" &amp; RIGHT(N5, 8)</f>
        <v>RUKLG-PF4TN9TH</v>
      </c>
      <c r="P5" s="192" t="s">
        <v>56</v>
      </c>
      <c r="Q5" s="183" t="s">
        <v>374</v>
      </c>
      <c r="R5" s="193"/>
      <c r="S5" s="194" t="s">
        <v>367</v>
      </c>
      <c r="T5" s="185" t="s">
        <v>375</v>
      </c>
      <c r="U5" s="186" t="s">
        <v>354</v>
      </c>
      <c r="V5" s="195" t="s">
        <v>58</v>
      </c>
      <c r="W5" s="196" t="s">
        <v>69</v>
      </c>
      <c r="X5" s="189" t="s">
        <v>376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</row>
    <row r="6" customFormat="false" ht="31.5" hidden="false" customHeight="true" outlineLevel="0" collapsed="false">
      <c r="A6" s="169" t="s">
        <v>377</v>
      </c>
      <c r="B6" s="170" t="s">
        <v>378</v>
      </c>
      <c r="C6" s="171" t="s">
        <v>379</v>
      </c>
      <c r="D6" s="172" t="s">
        <v>28</v>
      </c>
      <c r="E6" s="173" t="s">
        <v>380</v>
      </c>
      <c r="F6" s="174" t="s">
        <v>381</v>
      </c>
      <c r="G6" s="175" t="s">
        <v>382</v>
      </c>
      <c r="H6" s="176" t="s">
        <v>119</v>
      </c>
      <c r="I6" s="16" t="s">
        <v>361</v>
      </c>
      <c r="J6" s="190" t="s">
        <v>362</v>
      </c>
      <c r="K6" s="178" t="s">
        <v>225</v>
      </c>
      <c r="L6" s="179" t="s">
        <v>363</v>
      </c>
      <c r="M6" s="191" t="s">
        <v>364</v>
      </c>
      <c r="N6" s="181" t="s">
        <v>383</v>
      </c>
      <c r="O6" s="181" t="str">
        <f aca="false">"RUKLG-" &amp; RIGHT(N6, 8)</f>
        <v>RUKLG-PF4VBETB</v>
      </c>
      <c r="P6" s="192" t="s">
        <v>56</v>
      </c>
      <c r="Q6" s="183" t="s">
        <v>374</v>
      </c>
      <c r="R6" s="193"/>
      <c r="S6" s="194" t="s">
        <v>367</v>
      </c>
      <c r="T6" s="185" t="s">
        <v>384</v>
      </c>
      <c r="U6" s="186" t="s">
        <v>354</v>
      </c>
      <c r="V6" s="195" t="s">
        <v>58</v>
      </c>
      <c r="W6" s="196" t="s">
        <v>69</v>
      </c>
      <c r="X6" s="189" t="s">
        <v>385</v>
      </c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</row>
    <row r="7" customFormat="false" ht="15.75" hidden="false" customHeight="true" outlineLevel="0" collapsed="false">
      <c r="A7" s="169" t="s">
        <v>386</v>
      </c>
      <c r="B7" s="170" t="s">
        <v>387</v>
      </c>
      <c r="C7" s="197" t="s">
        <v>388</v>
      </c>
      <c r="D7" s="180" t="s">
        <v>28</v>
      </c>
      <c r="E7" s="198" t="s">
        <v>389</v>
      </c>
      <c r="F7" s="174" t="s">
        <v>390</v>
      </c>
      <c r="G7" s="199" t="s">
        <v>391</v>
      </c>
      <c r="H7" s="176" t="s">
        <v>392</v>
      </c>
      <c r="I7" s="16" t="s">
        <v>361</v>
      </c>
      <c r="J7" s="190" t="s">
        <v>362</v>
      </c>
      <c r="K7" s="178" t="s">
        <v>225</v>
      </c>
      <c r="L7" s="179" t="s">
        <v>363</v>
      </c>
      <c r="M7" s="191" t="s">
        <v>364</v>
      </c>
      <c r="N7" s="181" t="s">
        <v>393</v>
      </c>
      <c r="O7" s="181" t="str">
        <f aca="false">"RUKLG-" &amp; RIGHT(N7, 8)</f>
        <v>RUKLG-PF4TN9VG</v>
      </c>
      <c r="P7" s="192" t="s">
        <v>56</v>
      </c>
      <c r="Q7" s="183" t="s">
        <v>374</v>
      </c>
      <c r="R7" s="200"/>
      <c r="S7" s="201" t="s">
        <v>367</v>
      </c>
      <c r="T7" s="185" t="s">
        <v>384</v>
      </c>
      <c r="U7" s="186" t="s">
        <v>354</v>
      </c>
      <c r="V7" s="202" t="s">
        <v>58</v>
      </c>
      <c r="W7" s="188" t="s">
        <v>394</v>
      </c>
      <c r="X7" s="185" t="s">
        <v>395</v>
      </c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</row>
    <row r="8" customFormat="false" ht="37.3" hidden="false" customHeight="false" outlineLevel="0" collapsed="false">
      <c r="A8" s="169" t="s">
        <v>396</v>
      </c>
      <c r="B8" s="170" t="s">
        <v>378</v>
      </c>
      <c r="C8" s="171" t="s">
        <v>397</v>
      </c>
      <c r="D8" s="172" t="s">
        <v>28</v>
      </c>
      <c r="E8" s="173" t="s">
        <v>398</v>
      </c>
      <c r="F8" s="174" t="s">
        <v>399</v>
      </c>
      <c r="G8" s="199" t="s">
        <v>391</v>
      </c>
      <c r="H8" s="176" t="s">
        <v>392</v>
      </c>
      <c r="I8" s="16" t="s">
        <v>361</v>
      </c>
      <c r="J8" s="190" t="s">
        <v>362</v>
      </c>
      <c r="K8" s="178" t="s">
        <v>225</v>
      </c>
      <c r="L8" s="179" t="s">
        <v>363</v>
      </c>
      <c r="M8" s="191" t="s">
        <v>364</v>
      </c>
      <c r="N8" s="181" t="s">
        <v>400</v>
      </c>
      <c r="O8" s="181" t="str">
        <f aca="false">"RUKLG-" &amp; RIGHT(N8, 8)</f>
        <v>RUKLG-PF4TNPWE</v>
      </c>
      <c r="P8" s="192" t="s">
        <v>56</v>
      </c>
      <c r="Q8" s="183" t="s">
        <v>374</v>
      </c>
      <c r="R8" s="193"/>
      <c r="S8" s="194" t="s">
        <v>367</v>
      </c>
      <c r="T8" s="185"/>
      <c r="U8" s="186" t="s">
        <v>354</v>
      </c>
      <c r="V8" s="195" t="s">
        <v>58</v>
      </c>
      <c r="W8" s="196" t="s">
        <v>401</v>
      </c>
      <c r="X8" s="189" t="s">
        <v>402</v>
      </c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</row>
    <row r="9" customFormat="false" ht="15.75" hidden="false" customHeight="true" outlineLevel="0" collapsed="false">
      <c r="A9" s="169" t="s">
        <v>403</v>
      </c>
      <c r="B9" s="170" t="s">
        <v>378</v>
      </c>
      <c r="C9" s="171" t="s">
        <v>404</v>
      </c>
      <c r="D9" s="172" t="s">
        <v>28</v>
      </c>
      <c r="E9" s="173" t="s">
        <v>405</v>
      </c>
      <c r="F9" s="174" t="s">
        <v>406</v>
      </c>
      <c r="G9" s="175" t="s">
        <v>407</v>
      </c>
      <c r="H9" s="176" t="s">
        <v>408</v>
      </c>
      <c r="I9" s="16" t="s">
        <v>361</v>
      </c>
      <c r="J9" s="190" t="s">
        <v>362</v>
      </c>
      <c r="K9" s="178" t="s">
        <v>225</v>
      </c>
      <c r="L9" s="179" t="s">
        <v>363</v>
      </c>
      <c r="M9" s="191" t="s">
        <v>364</v>
      </c>
      <c r="N9" s="181" t="s">
        <v>409</v>
      </c>
      <c r="O9" s="181" t="str">
        <f aca="false">"RUKLG-" &amp; RIGHT(N9, 8)</f>
        <v>RUKLG-PF4TNKVQ</v>
      </c>
      <c r="P9" s="192" t="s">
        <v>56</v>
      </c>
      <c r="Q9" s="183" t="s">
        <v>374</v>
      </c>
      <c r="R9" s="193"/>
      <c r="S9" s="194" t="s">
        <v>367</v>
      </c>
      <c r="T9" s="185"/>
      <c r="U9" s="186" t="s">
        <v>354</v>
      </c>
      <c r="V9" s="195" t="s">
        <v>58</v>
      </c>
      <c r="W9" s="196" t="s">
        <v>401</v>
      </c>
      <c r="X9" s="189" t="s">
        <v>410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</row>
    <row r="10" customFormat="false" ht="15.75" hidden="false" customHeight="true" outlineLevel="0" collapsed="false">
      <c r="A10" s="169" t="s">
        <v>411</v>
      </c>
      <c r="B10" s="170" t="s">
        <v>378</v>
      </c>
      <c r="C10" s="171" t="s">
        <v>412</v>
      </c>
      <c r="D10" s="172" t="s">
        <v>28</v>
      </c>
      <c r="E10" s="173" t="s">
        <v>413</v>
      </c>
      <c r="F10" s="174" t="s">
        <v>414</v>
      </c>
      <c r="G10" s="175" t="s">
        <v>415</v>
      </c>
      <c r="H10" s="176" t="s">
        <v>408</v>
      </c>
      <c r="I10" s="16" t="s">
        <v>361</v>
      </c>
      <c r="J10" s="190" t="s">
        <v>362</v>
      </c>
      <c r="K10" s="178" t="s">
        <v>225</v>
      </c>
      <c r="L10" s="179" t="s">
        <v>363</v>
      </c>
      <c r="M10" s="191" t="s">
        <v>364</v>
      </c>
      <c r="N10" s="181" t="s">
        <v>416</v>
      </c>
      <c r="O10" s="181" t="str">
        <f aca="false">"RUKLG-" &amp; RIGHT(N10, 8)</f>
        <v>RUKLG-PF4VCF8K</v>
      </c>
      <c r="P10" s="182"/>
      <c r="Q10" s="183" t="s">
        <v>374</v>
      </c>
      <c r="R10" s="193"/>
      <c r="S10" s="194" t="s">
        <v>367</v>
      </c>
      <c r="T10" s="185"/>
      <c r="U10" s="186" t="s">
        <v>354</v>
      </c>
      <c r="V10" s="195" t="s">
        <v>58</v>
      </c>
      <c r="W10" s="203" t="s">
        <v>417</v>
      </c>
      <c r="X10" s="189" t="s">
        <v>418</v>
      </c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</row>
    <row r="11" customFormat="false" ht="15.75" hidden="false" customHeight="true" outlineLevel="0" collapsed="false">
      <c r="A11" s="169" t="s">
        <v>419</v>
      </c>
      <c r="B11" s="170" t="n">
        <v>1</v>
      </c>
      <c r="C11" s="171" t="s">
        <v>420</v>
      </c>
      <c r="D11" s="172" t="s">
        <v>28</v>
      </c>
      <c r="E11" s="173" t="s">
        <v>421</v>
      </c>
      <c r="F11" s="174" t="s">
        <v>422</v>
      </c>
      <c r="G11" s="175" t="s">
        <v>407</v>
      </c>
      <c r="H11" s="176" t="s">
        <v>392</v>
      </c>
      <c r="I11" s="16" t="s">
        <v>361</v>
      </c>
      <c r="J11" s="190" t="s">
        <v>362</v>
      </c>
      <c r="K11" s="178" t="s">
        <v>225</v>
      </c>
      <c r="L11" s="179" t="s">
        <v>363</v>
      </c>
      <c r="M11" s="191" t="s">
        <v>364</v>
      </c>
      <c r="N11" s="181" t="s">
        <v>423</v>
      </c>
      <c r="O11" s="181" t="str">
        <f aca="false">"RUKLG-" &amp; RIGHT(N11, 8)</f>
        <v>RUKLG-PF4TM2AV</v>
      </c>
      <c r="P11" s="192" t="s">
        <v>56</v>
      </c>
      <c r="Q11" s="183" t="s">
        <v>424</v>
      </c>
      <c r="R11" s="184"/>
      <c r="S11" s="194" t="s">
        <v>367</v>
      </c>
      <c r="T11" s="185"/>
      <c r="U11" s="186" t="s">
        <v>354</v>
      </c>
      <c r="V11" s="195" t="s">
        <v>58</v>
      </c>
      <c r="W11" s="188" t="s">
        <v>394</v>
      </c>
      <c r="X11" s="189" t="s">
        <v>425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</row>
    <row r="12" customFormat="false" ht="15.75" hidden="false" customHeight="true" outlineLevel="0" collapsed="false">
      <c r="A12" s="169" t="s">
        <v>426</v>
      </c>
      <c r="B12" s="170" t="s">
        <v>378</v>
      </c>
      <c r="C12" s="171" t="s">
        <v>427</v>
      </c>
      <c r="D12" s="172" t="s">
        <v>28</v>
      </c>
      <c r="E12" s="173" t="s">
        <v>428</v>
      </c>
      <c r="F12" s="174" t="s">
        <v>429</v>
      </c>
      <c r="G12" s="199" t="s">
        <v>391</v>
      </c>
      <c r="H12" s="176" t="s">
        <v>392</v>
      </c>
      <c r="I12" s="16" t="s">
        <v>361</v>
      </c>
      <c r="J12" s="190" t="s">
        <v>362</v>
      </c>
      <c r="K12" s="178" t="s">
        <v>225</v>
      </c>
      <c r="L12" s="179" t="s">
        <v>363</v>
      </c>
      <c r="M12" s="191" t="s">
        <v>364</v>
      </c>
      <c r="N12" s="181" t="s">
        <v>430</v>
      </c>
      <c r="O12" s="181" t="str">
        <f aca="false">"RUKLG-" &amp; RIGHT(N12, 8)</f>
        <v>RUKLG-PF4TM2B7</v>
      </c>
      <c r="P12" s="192" t="s">
        <v>56</v>
      </c>
      <c r="Q12" s="183" t="s">
        <v>424</v>
      </c>
      <c r="R12" s="184"/>
      <c r="S12" s="194" t="s">
        <v>367</v>
      </c>
      <c r="T12" s="185"/>
      <c r="U12" s="186" t="s">
        <v>354</v>
      </c>
      <c r="V12" s="195" t="s">
        <v>58</v>
      </c>
      <c r="W12" s="188" t="s">
        <v>394</v>
      </c>
      <c r="X12" s="189" t="s">
        <v>431</v>
      </c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</row>
    <row r="13" customFormat="false" ht="15.75" hidden="false" customHeight="true" outlineLevel="0" collapsed="false">
      <c r="A13" s="169" t="s">
        <v>432</v>
      </c>
      <c r="B13" s="170" t="n">
        <v>12</v>
      </c>
      <c r="C13" s="171" t="s">
        <v>433</v>
      </c>
      <c r="D13" s="172" t="s">
        <v>28</v>
      </c>
      <c r="E13" s="173" t="s">
        <v>434</v>
      </c>
      <c r="F13" s="174" t="s">
        <v>435</v>
      </c>
      <c r="G13" s="175" t="s">
        <v>348</v>
      </c>
      <c r="H13" s="176" t="s">
        <v>119</v>
      </c>
      <c r="I13" s="16" t="s">
        <v>436</v>
      </c>
      <c r="J13" s="190" t="s">
        <v>362</v>
      </c>
      <c r="K13" s="178" t="s">
        <v>225</v>
      </c>
      <c r="L13" s="179" t="s">
        <v>363</v>
      </c>
      <c r="M13" s="180" t="s">
        <v>351</v>
      </c>
      <c r="N13" s="181" t="s">
        <v>437</v>
      </c>
      <c r="O13" s="181" t="str">
        <f aca="false">"RUKLG-" &amp; RIGHT(N13, 8)</f>
        <v>RUKLG-19A73400</v>
      </c>
      <c r="P13" s="192" t="s">
        <v>56</v>
      </c>
      <c r="Q13" s="183" t="s">
        <v>438</v>
      </c>
      <c r="R13" s="25"/>
      <c r="S13" s="194" t="s">
        <v>35</v>
      </c>
      <c r="T13" s="185" t="s">
        <v>439</v>
      </c>
      <c r="U13" s="186" t="s">
        <v>354</v>
      </c>
      <c r="V13" s="195" t="s">
        <v>58</v>
      </c>
      <c r="W13" s="188" t="s">
        <v>83</v>
      </c>
      <c r="X13" s="189" t="s">
        <v>440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</row>
    <row r="14" customFormat="false" ht="15.75" hidden="false" customHeight="true" outlineLevel="0" collapsed="false">
      <c r="A14" s="169" t="s">
        <v>441</v>
      </c>
      <c r="B14" s="170" t="n">
        <v>13</v>
      </c>
      <c r="C14" s="171" t="s">
        <v>442</v>
      </c>
      <c r="D14" s="172" t="s">
        <v>28</v>
      </c>
      <c r="E14" s="173" t="s">
        <v>443</v>
      </c>
      <c r="F14" s="174" t="s">
        <v>444</v>
      </c>
      <c r="G14" s="175" t="s">
        <v>348</v>
      </c>
      <c r="H14" s="176" t="s">
        <v>119</v>
      </c>
      <c r="I14" s="16" t="s">
        <v>436</v>
      </c>
      <c r="J14" s="190" t="s">
        <v>362</v>
      </c>
      <c r="K14" s="178" t="s">
        <v>225</v>
      </c>
      <c r="L14" s="179" t="s">
        <v>363</v>
      </c>
      <c r="M14" s="180" t="s">
        <v>351</v>
      </c>
      <c r="N14" s="181" t="s">
        <v>445</v>
      </c>
      <c r="O14" s="181" t="str">
        <f aca="false">"RUKLG-" &amp; RIGHT(N14, 8)</f>
        <v>RUKLG-19163400</v>
      </c>
      <c r="P14" s="25"/>
      <c r="Q14" s="183" t="s">
        <v>438</v>
      </c>
      <c r="R14" s="25"/>
      <c r="S14" s="194" t="s">
        <v>35</v>
      </c>
      <c r="T14" s="185" t="s">
        <v>446</v>
      </c>
      <c r="U14" s="186" t="s">
        <v>354</v>
      </c>
      <c r="V14" s="195" t="s">
        <v>58</v>
      </c>
      <c r="W14" s="188" t="s">
        <v>83</v>
      </c>
      <c r="X14" s="185" t="s">
        <v>447</v>
      </c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</row>
    <row r="15" customFormat="false" ht="15.75" hidden="false" customHeight="true" outlineLevel="0" collapsed="false">
      <c r="A15" s="169" t="s">
        <v>448</v>
      </c>
      <c r="B15" s="170" t="n">
        <v>14</v>
      </c>
      <c r="C15" s="171" t="s">
        <v>449</v>
      </c>
      <c r="D15" s="172" t="s">
        <v>28</v>
      </c>
      <c r="E15" s="173" t="s">
        <v>450</v>
      </c>
      <c r="F15" s="174" t="s">
        <v>444</v>
      </c>
      <c r="G15" s="175" t="s">
        <v>348</v>
      </c>
      <c r="H15" s="176" t="s">
        <v>451</v>
      </c>
      <c r="I15" s="16" t="s">
        <v>436</v>
      </c>
      <c r="J15" s="190" t="s">
        <v>362</v>
      </c>
      <c r="K15" s="178" t="s">
        <v>225</v>
      </c>
      <c r="L15" s="179" t="s">
        <v>363</v>
      </c>
      <c r="M15" s="180" t="s">
        <v>351</v>
      </c>
      <c r="N15" s="181" t="s">
        <v>452</v>
      </c>
      <c r="O15" s="181" t="str">
        <f aca="false">"RUKLG-" &amp; RIGHT(N15, 8)</f>
        <v>RUKLG-169E3400</v>
      </c>
      <c r="P15" s="192" t="s">
        <v>56</v>
      </c>
      <c r="Q15" s="183" t="s">
        <v>438</v>
      </c>
      <c r="R15" s="25"/>
      <c r="S15" s="194" t="s">
        <v>35</v>
      </c>
      <c r="T15" s="185" t="s">
        <v>453</v>
      </c>
      <c r="U15" s="186" t="s">
        <v>354</v>
      </c>
      <c r="V15" s="195" t="s">
        <v>58</v>
      </c>
      <c r="W15" s="188" t="s">
        <v>83</v>
      </c>
      <c r="X15" s="185" t="s">
        <v>454</v>
      </c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</row>
    <row r="16" customFormat="false" ht="15.75" hidden="false" customHeight="true" outlineLevel="0" collapsed="false">
      <c r="A16" s="169" t="s">
        <v>455</v>
      </c>
      <c r="B16" s="170" t="s">
        <v>378</v>
      </c>
      <c r="C16" s="171" t="s">
        <v>456</v>
      </c>
      <c r="D16" s="172" t="s">
        <v>28</v>
      </c>
      <c r="E16" s="173" t="s">
        <v>457</v>
      </c>
      <c r="F16" s="174" t="s">
        <v>458</v>
      </c>
      <c r="G16" s="175" t="s">
        <v>348</v>
      </c>
      <c r="H16" s="176" t="s">
        <v>459</v>
      </c>
      <c r="I16" s="16" t="s">
        <v>436</v>
      </c>
      <c r="J16" s="190" t="s">
        <v>362</v>
      </c>
      <c r="K16" s="178" t="s">
        <v>225</v>
      </c>
      <c r="L16" s="179" t="s">
        <v>363</v>
      </c>
      <c r="M16" s="180" t="s">
        <v>460</v>
      </c>
      <c r="N16" s="181" t="s">
        <v>461</v>
      </c>
      <c r="O16" s="181" t="str">
        <f aca="false">"RUKLG-" &amp; RIGHT(N16, 8)</f>
        <v>RUKLG-12433400</v>
      </c>
      <c r="P16" s="192" t="s">
        <v>56</v>
      </c>
      <c r="Q16" s="183" t="s">
        <v>438</v>
      </c>
      <c r="R16" s="25"/>
      <c r="S16" s="194" t="s">
        <v>35</v>
      </c>
      <c r="T16" s="185" t="s">
        <v>462</v>
      </c>
      <c r="U16" s="186" t="s">
        <v>354</v>
      </c>
      <c r="V16" s="195" t="s">
        <v>58</v>
      </c>
      <c r="W16" s="188" t="s">
        <v>83</v>
      </c>
      <c r="X16" s="185" t="s">
        <v>463</v>
      </c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</row>
    <row r="17" customFormat="false" ht="15.75" hidden="false" customHeight="true" outlineLevel="0" collapsed="false">
      <c r="A17" s="169" t="s">
        <v>464</v>
      </c>
      <c r="B17" s="170" t="n">
        <v>59</v>
      </c>
      <c r="C17" s="171" t="s">
        <v>465</v>
      </c>
      <c r="D17" s="172" t="s">
        <v>28</v>
      </c>
      <c r="E17" s="173" t="s">
        <v>466</v>
      </c>
      <c r="F17" s="174" t="s">
        <v>467</v>
      </c>
      <c r="G17" s="175" t="s">
        <v>348</v>
      </c>
      <c r="H17" s="176" t="s">
        <v>468</v>
      </c>
      <c r="I17" s="16" t="s">
        <v>436</v>
      </c>
      <c r="J17" s="190" t="s">
        <v>362</v>
      </c>
      <c r="K17" s="178" t="s">
        <v>225</v>
      </c>
      <c r="L17" s="179" t="s">
        <v>363</v>
      </c>
      <c r="M17" s="180" t="s">
        <v>351</v>
      </c>
      <c r="N17" s="181" t="s">
        <v>469</v>
      </c>
      <c r="O17" s="181" t="str">
        <f aca="false">"RUKLG-" &amp; RIGHT(N17, 8)</f>
        <v>RUKLG-13513400</v>
      </c>
      <c r="P17" s="192" t="s">
        <v>56</v>
      </c>
      <c r="Q17" s="183" t="s">
        <v>438</v>
      </c>
      <c r="R17" s="25"/>
      <c r="S17" s="194" t="s">
        <v>35</v>
      </c>
      <c r="T17" s="185" t="s">
        <v>470</v>
      </c>
      <c r="U17" s="186" t="s">
        <v>354</v>
      </c>
      <c r="V17" s="195" t="s">
        <v>58</v>
      </c>
      <c r="W17" s="188" t="s">
        <v>83</v>
      </c>
      <c r="X17" s="185" t="s">
        <v>471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customFormat="false" ht="15.75" hidden="false" customHeight="true" outlineLevel="0" collapsed="false">
      <c r="A18" s="169" t="s">
        <v>472</v>
      </c>
      <c r="B18" s="170" t="s">
        <v>473</v>
      </c>
      <c r="C18" s="171" t="s">
        <v>474</v>
      </c>
      <c r="D18" s="172" t="s">
        <v>28</v>
      </c>
      <c r="E18" s="173" t="s">
        <v>475</v>
      </c>
      <c r="F18" s="174" t="s">
        <v>476</v>
      </c>
      <c r="G18" s="175" t="s">
        <v>360</v>
      </c>
      <c r="H18" s="176" t="s">
        <v>468</v>
      </c>
      <c r="I18" s="97" t="s">
        <v>477</v>
      </c>
      <c r="J18" s="190" t="s">
        <v>362</v>
      </c>
      <c r="K18" s="178" t="s">
        <v>225</v>
      </c>
      <c r="L18" s="179" t="s">
        <v>363</v>
      </c>
      <c r="M18" s="180" t="s">
        <v>351</v>
      </c>
      <c r="N18" s="181" t="s">
        <v>478</v>
      </c>
      <c r="O18" s="181" t="str">
        <f aca="false">"RUKLG-" &amp; RIGHT(N18, 8)</f>
        <v>RUKLG-24B50700</v>
      </c>
      <c r="P18" s="192" t="s">
        <v>56</v>
      </c>
      <c r="Q18" s="183" t="s">
        <v>438</v>
      </c>
      <c r="R18" s="25"/>
      <c r="S18" s="194" t="s">
        <v>35</v>
      </c>
      <c r="T18" s="185" t="s">
        <v>479</v>
      </c>
      <c r="U18" s="186" t="s">
        <v>354</v>
      </c>
      <c r="V18" s="195" t="s">
        <v>58</v>
      </c>
      <c r="W18" s="188" t="s">
        <v>83</v>
      </c>
      <c r="X18" s="185" t="s">
        <v>480</v>
      </c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customFormat="false" ht="15.75" hidden="false" customHeight="true" outlineLevel="0" collapsed="false">
      <c r="A19" s="169" t="s">
        <v>481</v>
      </c>
      <c r="B19" s="170" t="s">
        <v>482</v>
      </c>
      <c r="C19" s="171" t="s">
        <v>483</v>
      </c>
      <c r="D19" s="172" t="s">
        <v>28</v>
      </c>
      <c r="E19" s="173" t="s">
        <v>484</v>
      </c>
      <c r="F19" s="174" t="s">
        <v>485</v>
      </c>
      <c r="G19" s="175" t="s">
        <v>486</v>
      </c>
      <c r="H19" s="176" t="s">
        <v>487</v>
      </c>
      <c r="I19" s="16" t="s">
        <v>361</v>
      </c>
      <c r="J19" s="190" t="s">
        <v>362</v>
      </c>
      <c r="K19" s="178" t="s">
        <v>225</v>
      </c>
      <c r="L19" s="179" t="s">
        <v>363</v>
      </c>
      <c r="M19" s="191" t="s">
        <v>364</v>
      </c>
      <c r="N19" s="181" t="s">
        <v>488</v>
      </c>
      <c r="O19" s="181" t="str">
        <f aca="false">"RUKLG-" &amp; RIGHT(N19, 8)</f>
        <v>RUKLG-PF4V6E1X</v>
      </c>
      <c r="P19" s="192" t="s">
        <v>56</v>
      </c>
      <c r="Q19" s="183" t="s">
        <v>438</v>
      </c>
      <c r="R19" s="184"/>
      <c r="S19" s="194" t="s">
        <v>367</v>
      </c>
      <c r="T19" s="185" t="s">
        <v>384</v>
      </c>
      <c r="U19" s="186" t="s">
        <v>354</v>
      </c>
      <c r="V19" s="195" t="s">
        <v>58</v>
      </c>
      <c r="W19" s="196" t="s">
        <v>69</v>
      </c>
      <c r="X19" s="189" t="s">
        <v>489</v>
      </c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customFormat="false" ht="37.3" hidden="false" customHeight="false" outlineLevel="0" collapsed="false">
      <c r="A20" s="169" t="s">
        <v>490</v>
      </c>
      <c r="B20" s="170" t="s">
        <v>225</v>
      </c>
      <c r="C20" s="171" t="s">
        <v>491</v>
      </c>
      <c r="D20" s="172" t="s">
        <v>28</v>
      </c>
      <c r="E20" s="173" t="s">
        <v>492</v>
      </c>
      <c r="F20" s="174" t="s">
        <v>485</v>
      </c>
      <c r="G20" s="175" t="s">
        <v>407</v>
      </c>
      <c r="H20" s="176" t="s">
        <v>119</v>
      </c>
      <c r="I20" s="16" t="s">
        <v>493</v>
      </c>
      <c r="J20" s="190" t="s">
        <v>494</v>
      </c>
      <c r="K20" s="178" t="s">
        <v>225</v>
      </c>
      <c r="L20" s="204" t="s">
        <v>495</v>
      </c>
      <c r="M20" s="191" t="s">
        <v>364</v>
      </c>
      <c r="N20" s="181" t="s">
        <v>496</v>
      </c>
      <c r="O20" s="181" t="str">
        <f aca="false">"RUKLG-" &amp; RIGHT(N20, 8)</f>
        <v>RUKLG-09110724</v>
      </c>
      <c r="P20" s="182"/>
      <c r="Q20" s="183" t="s">
        <v>424</v>
      </c>
      <c r="R20" s="184"/>
      <c r="S20" s="194"/>
      <c r="T20" s="185"/>
      <c r="U20" s="186" t="s">
        <v>354</v>
      </c>
      <c r="V20" s="195" t="s">
        <v>58</v>
      </c>
      <c r="W20" s="188" t="s">
        <v>394</v>
      </c>
      <c r="X20" s="189" t="s">
        <v>497</v>
      </c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customFormat="false" ht="15.75" hidden="false" customHeight="true" outlineLevel="0" collapsed="false">
      <c r="A21" s="169" t="s">
        <v>498</v>
      </c>
      <c r="B21" s="170" t="s">
        <v>378</v>
      </c>
      <c r="C21" s="171" t="s">
        <v>499</v>
      </c>
      <c r="D21" s="172" t="s">
        <v>28</v>
      </c>
      <c r="E21" s="173" t="s">
        <v>500</v>
      </c>
      <c r="F21" s="174" t="s">
        <v>485</v>
      </c>
      <c r="G21" s="175" t="s">
        <v>407</v>
      </c>
      <c r="H21" s="176" t="s">
        <v>468</v>
      </c>
      <c r="I21" s="97" t="s">
        <v>477</v>
      </c>
      <c r="J21" s="190" t="s">
        <v>362</v>
      </c>
      <c r="K21" s="178" t="s">
        <v>225</v>
      </c>
      <c r="L21" s="179" t="s">
        <v>363</v>
      </c>
      <c r="M21" s="180" t="s">
        <v>351</v>
      </c>
      <c r="N21" s="181" t="s">
        <v>501</v>
      </c>
      <c r="O21" s="181" t="str">
        <f aca="false">"RUKLG-" &amp; RIGHT(N21, 8)</f>
        <v>RUKLG-25070700</v>
      </c>
      <c r="P21" s="25"/>
      <c r="Q21" s="183" t="s">
        <v>438</v>
      </c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customFormat="false" ht="15.75" hidden="false" customHeight="true" outlineLevel="0" collapsed="false">
      <c r="A22" s="169" t="s">
        <v>502</v>
      </c>
      <c r="B22" s="25"/>
      <c r="C22" s="25"/>
      <c r="D22" s="25"/>
      <c r="E22" s="25"/>
      <c r="F22" s="25"/>
      <c r="G22" s="25"/>
      <c r="H22" s="176" t="s">
        <v>468</v>
      </c>
      <c r="I22" s="97" t="s">
        <v>477</v>
      </c>
      <c r="J22" s="190" t="s">
        <v>362</v>
      </c>
      <c r="K22" s="178" t="s">
        <v>225</v>
      </c>
      <c r="L22" s="179" t="s">
        <v>363</v>
      </c>
      <c r="M22" s="180" t="s">
        <v>351</v>
      </c>
      <c r="N22" s="181" t="s">
        <v>503</v>
      </c>
      <c r="O22" s="181" t="str">
        <f aca="false">"RUKLG-" &amp; RIGHT(N22, 8)</f>
        <v>RUKLG-new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</row>
    <row r="23" customFormat="false" ht="15.75" hidden="false" customHeight="true" outlineLevel="0" collapsed="false">
      <c r="A23" s="169" t="s">
        <v>504</v>
      </c>
      <c r="B23" s="25"/>
      <c r="C23" s="25"/>
      <c r="D23" s="25"/>
      <c r="E23" s="25"/>
      <c r="F23" s="25"/>
      <c r="G23" s="25"/>
      <c r="H23" s="176" t="s">
        <v>468</v>
      </c>
      <c r="I23" s="97" t="s">
        <v>477</v>
      </c>
      <c r="J23" s="190" t="s">
        <v>362</v>
      </c>
      <c r="K23" s="178" t="s">
        <v>225</v>
      </c>
      <c r="L23" s="179" t="s">
        <v>363</v>
      </c>
      <c r="M23" s="180" t="s">
        <v>351</v>
      </c>
      <c r="N23" s="181" t="s">
        <v>503</v>
      </c>
      <c r="O23" s="181" t="str">
        <f aca="false">"RUKLG-" &amp; RIGHT(N23, 8)</f>
        <v>RUKLG-new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</row>
    <row r="24" customFormat="false" ht="15.75" hidden="false" customHeight="true" outlineLevel="0" collapsed="false">
      <c r="A24" s="169" t="s">
        <v>505</v>
      </c>
      <c r="B24" s="170" t="s">
        <v>378</v>
      </c>
      <c r="C24" s="205" t="s">
        <v>506</v>
      </c>
      <c r="D24" s="172" t="s">
        <v>28</v>
      </c>
      <c r="E24" s="173" t="s">
        <v>507</v>
      </c>
      <c r="F24" s="174" t="s">
        <v>508</v>
      </c>
      <c r="G24" s="206" t="s">
        <v>509</v>
      </c>
      <c r="H24" s="176" t="s">
        <v>98</v>
      </c>
      <c r="I24" s="16" t="s">
        <v>510</v>
      </c>
      <c r="J24" s="190" t="s">
        <v>494</v>
      </c>
      <c r="K24" s="178" t="s">
        <v>225</v>
      </c>
      <c r="L24" s="204" t="s">
        <v>495</v>
      </c>
      <c r="M24" s="180" t="s">
        <v>351</v>
      </c>
      <c r="N24" s="181" t="s">
        <v>511</v>
      </c>
      <c r="O24" s="181" t="str">
        <f aca="false">"RUKLG-" &amp; RIGHT(N24, 8)</f>
        <v>RUKLG-30820141</v>
      </c>
      <c r="P24" s="192" t="s">
        <v>56</v>
      </c>
      <c r="Q24" s="183" t="s">
        <v>374</v>
      </c>
      <c r="R24" s="193"/>
      <c r="S24" s="194" t="s">
        <v>367</v>
      </c>
      <c r="T24" s="185" t="s">
        <v>512</v>
      </c>
      <c r="U24" s="186" t="s">
        <v>354</v>
      </c>
      <c r="V24" s="195" t="s">
        <v>58</v>
      </c>
      <c r="W24" s="189"/>
      <c r="X24" s="189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</row>
    <row r="25" customFormat="false" ht="15.75" hidden="false" customHeight="true" outlineLevel="0" collapsed="false">
      <c r="A25" s="169" t="s">
        <v>513</v>
      </c>
      <c r="B25" s="170" t="s">
        <v>378</v>
      </c>
      <c r="C25" s="205" t="s">
        <v>506</v>
      </c>
      <c r="D25" s="172" t="s">
        <v>28</v>
      </c>
      <c r="E25" s="173" t="s">
        <v>507</v>
      </c>
      <c r="F25" s="174" t="s">
        <v>508</v>
      </c>
      <c r="G25" s="206" t="s">
        <v>509</v>
      </c>
      <c r="H25" s="176" t="s">
        <v>451</v>
      </c>
      <c r="I25" s="16" t="s">
        <v>510</v>
      </c>
      <c r="J25" s="190" t="s">
        <v>494</v>
      </c>
      <c r="K25" s="178" t="s">
        <v>225</v>
      </c>
      <c r="L25" s="204" t="s">
        <v>495</v>
      </c>
      <c r="M25" s="180" t="s">
        <v>351</v>
      </c>
      <c r="N25" s="181" t="s">
        <v>514</v>
      </c>
      <c r="O25" s="181" t="str">
        <f aca="false">"RUKLG-" &amp; RIGHT(N25, 8)</f>
        <v>RUKLG-30820067</v>
      </c>
      <c r="P25" s="192" t="s">
        <v>56</v>
      </c>
      <c r="Q25" s="183" t="s">
        <v>374</v>
      </c>
      <c r="R25" s="193"/>
      <c r="S25" s="194" t="s">
        <v>367</v>
      </c>
      <c r="T25" s="185" t="s">
        <v>515</v>
      </c>
      <c r="U25" s="189" t="s">
        <v>516</v>
      </c>
      <c r="V25" s="195" t="s">
        <v>58</v>
      </c>
      <c r="W25" s="189"/>
      <c r="X25" s="189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</row>
    <row r="30" customFormat="false" ht="15.75" hidden="false" customHeight="tru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</row>
    <row r="31" customFormat="false" ht="15.75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</row>
    <row r="32" customFormat="false" ht="15.75" hidden="false" customHeight="tru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</row>
    <row r="33" customFormat="false" ht="15.75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</row>
    <row r="34" customFormat="false" ht="15.75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</row>
    <row r="35" customFormat="false" ht="15.75" hidden="false" customHeight="tru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</row>
    <row r="36" customFormat="false" ht="15.75" hidden="false" customHeight="tru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</row>
    <row r="37" customFormat="false" ht="15.75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  <row r="38" customFormat="false" ht="15.75" hidden="false" customHeight="tru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</row>
    <row r="39" customFormat="false" ht="15.75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</row>
    <row r="40" customFormat="false" ht="15.75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</row>
    <row r="41" customFormat="false" ht="15.75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</row>
    <row r="42" customFormat="false" ht="15.75" hidden="false" customHeight="tru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</row>
    <row r="43" customFormat="false" ht="15.75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</row>
    <row r="44" customFormat="false" ht="15.75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</row>
    <row r="45" customFormat="false" ht="15.7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</row>
    <row r="46" customFormat="false" ht="15.75" hidden="false" customHeight="tru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</row>
    <row r="47" customFormat="false" ht="15.75" hidden="false" customHeight="tru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</row>
    <row r="48" customFormat="false" ht="15.75" hidden="false" customHeight="true" outlineLevel="0" collapsed="false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</row>
    <row r="49" customFormat="false" ht="15.75" hidden="false" customHeight="tru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</row>
    <row r="50" customFormat="false" ht="15.7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</row>
    <row r="51" customFormat="false" ht="15.75" hidden="false" customHeight="tru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</row>
    <row r="52" customFormat="false" ht="15.75" hidden="false" customHeight="true" outlineLevel="0" collapsed="false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</row>
    <row r="53" customFormat="false" ht="15.75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</row>
    <row r="54" customFormat="false" ht="15.75" hidden="false" customHeight="tru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</row>
    <row r="55" customFormat="false" ht="15.75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</row>
    <row r="56" customFormat="false" ht="15.75" hidden="false" customHeight="true" outlineLevel="0" collapsed="false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</row>
    <row r="57" customFormat="false" ht="15.75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</row>
    <row r="58" customFormat="false" ht="15.75" hidden="false" customHeight="tru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</row>
    <row r="59" customFormat="false" ht="15.75" hidden="false" customHeight="tru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</row>
    <row r="60" customFormat="false" ht="15.75" hidden="false" customHeight="true" outlineLevel="0" collapsed="false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</row>
    <row r="61" customFormat="false" ht="15.75" hidden="false" customHeight="tru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</row>
    <row r="62" customFormat="false" ht="15.75" hidden="false" customHeight="tru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</row>
    <row r="63" customFormat="false" ht="15.75" hidden="false" customHeight="tru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</row>
    <row r="64" customFormat="false" ht="15.75" hidden="false" customHeight="true" outlineLevel="0" collapsed="false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</row>
    <row r="65" customFormat="false" ht="15.75" hidden="false" customHeight="tru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</row>
    <row r="66" customFormat="false" ht="15.75" hidden="false" customHeight="true" outlineLevel="0" collapsed="false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</row>
    <row r="67" customFormat="false" ht="15.75" hidden="false" customHeight="true" outlineLevel="0" collapsed="false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</row>
    <row r="68" customFormat="false" ht="15.75" hidden="false" customHeight="true" outlineLevel="0" collapsed="false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</row>
    <row r="69" customFormat="false" ht="15.75" hidden="false" customHeight="true" outlineLevel="0" collapsed="false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</row>
    <row r="70" customFormat="false" ht="15.75" hidden="false" customHeight="true" outlineLevel="0" collapsed="false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</row>
    <row r="71" customFormat="false" ht="15.75" hidden="false" customHeight="true" outlineLevel="0" collapsed="false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</row>
    <row r="72" customFormat="false" ht="15.75" hidden="false" customHeight="true" outlineLevel="0" collapsed="false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</row>
    <row r="73" customFormat="false" ht="15.75" hidden="false" customHeight="true" outlineLevel="0" collapsed="false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</row>
    <row r="74" customFormat="false" ht="15.75" hidden="false" customHeight="true" outlineLevel="0" collapsed="false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</row>
    <row r="75" customFormat="false" ht="15.75" hidden="false" customHeight="true" outlineLevel="0" collapsed="false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</row>
    <row r="76" customFormat="false" ht="15.75" hidden="false" customHeight="true" outlineLevel="0" collapsed="false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</row>
    <row r="77" customFormat="false" ht="15.75" hidden="false" customHeight="true" outlineLevel="0" collapsed="false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</row>
    <row r="78" customFormat="false" ht="15.75" hidden="false" customHeight="true" outlineLevel="0" collapsed="false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</row>
    <row r="79" customFormat="false" ht="15.75" hidden="false" customHeight="true" outlineLevel="0" collapsed="false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</row>
    <row r="80" customFormat="false" ht="15.75" hidden="false" customHeight="true" outlineLevel="0" collapsed="false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</row>
    <row r="81" customFormat="false" ht="15.75" hidden="false" customHeight="tru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</row>
    <row r="82" customFormat="false" ht="15.75" hidden="false" customHeight="true" outlineLevel="0" collapsed="false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</row>
    <row r="83" customFormat="false" ht="15.75" hidden="false" customHeight="true" outlineLevel="0" collapsed="false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</row>
    <row r="84" customFormat="false" ht="15.75" hidden="false" customHeight="true" outlineLevel="0" collapsed="false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</row>
    <row r="85" customFormat="false" ht="15.75" hidden="false" customHeight="true" outlineLevel="0" collapsed="false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</row>
    <row r="86" customFormat="false" ht="15.75" hidden="false" customHeight="true" outlineLevel="0" collapsed="false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</row>
    <row r="87" customFormat="false" ht="15.75" hidden="false" customHeight="true" outlineLevel="0" collapsed="false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</row>
    <row r="88" customFormat="false" ht="15.75" hidden="false" customHeight="true" outlineLevel="0" collapsed="false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</row>
    <row r="89" customFormat="false" ht="15.75" hidden="false" customHeight="true" outlineLevel="0" collapsed="false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</row>
    <row r="90" customFormat="false" ht="15.75" hidden="false" customHeight="true" outlineLevel="0" collapsed="false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</row>
    <row r="91" customFormat="false" ht="15.75" hidden="false" customHeight="true" outlineLevel="0" collapsed="false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</row>
    <row r="92" customFormat="false" ht="15.75" hidden="false" customHeight="true" outlineLevel="0" collapsed="false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</row>
    <row r="93" customFormat="false" ht="15.75" hidden="false" customHeight="true" outlineLevel="0" collapsed="false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</row>
    <row r="94" customFormat="false" ht="15.75" hidden="false" customHeight="true" outlineLevel="0" collapsed="false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</row>
    <row r="95" customFormat="false" ht="15.75" hidden="false" customHeight="true" outlineLevel="0" collapsed="false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</row>
    <row r="96" customFormat="false" ht="15.75" hidden="false" customHeight="true" outlineLevel="0" collapsed="false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</row>
    <row r="97" customFormat="false" ht="15.75" hidden="false" customHeight="tru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</row>
    <row r="98" customFormat="false" ht="15.75" hidden="false" customHeight="true" outlineLevel="0" collapsed="false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</row>
    <row r="99" customFormat="false" ht="15.75" hidden="false" customHeight="true" outlineLevel="0" collapsed="false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</row>
    <row r="100" customFormat="false" ht="15.75" hidden="false" customHeight="true" outlineLevel="0" collapsed="false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</row>
    <row r="101" customFormat="false" ht="15.75" hidden="false" customHeight="tru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</row>
    <row r="102" customFormat="false" ht="15.75" hidden="false" customHeight="true" outlineLevel="0" collapsed="false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</row>
    <row r="103" customFormat="false" ht="15.75" hidden="false" customHeight="true" outlineLevel="0" collapsed="false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</row>
    <row r="104" customFormat="false" ht="15.75" hidden="false" customHeight="true" outlineLevel="0" collapsed="false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</row>
    <row r="105" customFormat="false" ht="15.75" hidden="false" customHeight="true" outlineLevel="0" collapsed="false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</row>
    <row r="106" customFormat="false" ht="15.75" hidden="false" customHeight="true" outlineLevel="0" collapsed="false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</row>
    <row r="107" customFormat="false" ht="15.75" hidden="false" customHeight="tru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</row>
    <row r="108" customFormat="false" ht="15.75" hidden="false" customHeight="true" outlineLevel="0" collapsed="false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</row>
    <row r="109" customFormat="false" ht="15.75" hidden="false" customHeight="tru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</row>
    <row r="110" customFormat="false" ht="15.75" hidden="false" customHeight="true" outlineLevel="0" collapsed="false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</row>
    <row r="111" customFormat="false" ht="15.75" hidden="false" customHeight="true" outlineLevel="0" collapsed="false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</row>
    <row r="112" customFormat="false" ht="15.75" hidden="false" customHeight="true" outlineLevel="0" collapsed="false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</row>
    <row r="113" customFormat="false" ht="15.75" hidden="false" customHeight="true" outlineLevel="0" collapsed="false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</row>
    <row r="114" customFormat="false" ht="15.75" hidden="false" customHeight="true" outlineLevel="0" collapsed="false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</row>
    <row r="115" customFormat="false" ht="15.75" hidden="false" customHeight="tru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</row>
    <row r="116" customFormat="false" ht="15.75" hidden="false" customHeight="true" outlineLevel="0" collapsed="false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</row>
    <row r="117" customFormat="false" ht="15.75" hidden="false" customHeight="true" outlineLevel="0" collapsed="false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</row>
    <row r="118" customFormat="false" ht="15.75" hidden="false" customHeight="true" outlineLevel="0" collapsed="false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</row>
    <row r="119" customFormat="false" ht="15.75" hidden="false" customHeight="true" outlineLevel="0" collapsed="false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</row>
    <row r="120" customFormat="false" ht="15.75" hidden="false" customHeight="true" outlineLevel="0" collapsed="false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</row>
    <row r="121" customFormat="false" ht="15.75" hidden="false" customHeight="tru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</row>
    <row r="122" customFormat="false" ht="15.75" hidden="false" customHeight="true" outlineLevel="0" collapsed="false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</row>
    <row r="123" customFormat="false" ht="15.75" hidden="false" customHeight="tru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</row>
    <row r="124" customFormat="false" ht="15.75" hidden="false" customHeight="true" outlineLevel="0" collapsed="false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</row>
    <row r="125" customFormat="false" ht="15.75" hidden="false" customHeight="true" outlineLevel="0" collapsed="false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</row>
    <row r="126" customFormat="false" ht="15.75" hidden="false" customHeight="true" outlineLevel="0" collapsed="false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</row>
    <row r="127" customFormat="false" ht="15.75" hidden="false" customHeight="true" outlineLevel="0" collapsed="false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</row>
    <row r="128" customFormat="false" ht="15.75" hidden="false" customHeight="true" outlineLevel="0" collapsed="false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</row>
    <row r="129" customFormat="false" ht="15.75" hidden="false" customHeight="true" outlineLevel="0" collapsed="false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</row>
    <row r="130" customFormat="false" ht="15.75" hidden="false" customHeight="true" outlineLevel="0" collapsed="false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</row>
    <row r="131" customFormat="false" ht="15.75" hidden="false" customHeight="true" outlineLevel="0" collapsed="false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</row>
    <row r="132" customFormat="false" ht="15.75" hidden="false" customHeight="true" outlineLevel="0" collapsed="false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</row>
    <row r="133" customFormat="false" ht="15.75" hidden="false" customHeight="true" outlineLevel="0" collapsed="false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</row>
    <row r="134" customFormat="false" ht="15.75" hidden="false" customHeight="true" outlineLevel="0" collapsed="false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</row>
    <row r="135" customFormat="false" ht="15.75" hidden="false" customHeight="true" outlineLevel="0" collapsed="false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</row>
    <row r="136" customFormat="false" ht="15.75" hidden="false" customHeight="true" outlineLevel="0" collapsed="false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</row>
    <row r="137" customFormat="false" ht="15.75" hidden="false" customHeight="true" outlineLevel="0" collapsed="false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</row>
    <row r="138" customFormat="false" ht="15.75" hidden="false" customHeight="true" outlineLevel="0" collapsed="false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</row>
    <row r="139" customFormat="false" ht="15.75" hidden="false" customHeight="true" outlineLevel="0" collapsed="false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</row>
    <row r="140" customFormat="false" ht="15.75" hidden="false" customHeight="true" outlineLevel="0" collapsed="false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</row>
    <row r="141" customFormat="false" ht="15.75" hidden="false" customHeight="true" outlineLevel="0" collapsed="false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</row>
    <row r="142" customFormat="false" ht="15.75" hidden="false" customHeight="true" outlineLevel="0" collapsed="false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</row>
    <row r="143" customFormat="false" ht="15.75" hidden="false" customHeight="true" outlineLevel="0" collapsed="false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</row>
    <row r="144" customFormat="false" ht="15.75" hidden="false" customHeight="true" outlineLevel="0" collapsed="false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</row>
    <row r="145" customFormat="false" ht="15.75" hidden="false" customHeight="true" outlineLevel="0" collapsed="false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</row>
    <row r="146" customFormat="false" ht="15.75" hidden="false" customHeight="true" outlineLevel="0" collapsed="false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</row>
    <row r="147" customFormat="false" ht="15.75" hidden="false" customHeight="true" outlineLevel="0" collapsed="false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</row>
    <row r="148" customFormat="false" ht="15.75" hidden="false" customHeight="true" outlineLevel="0" collapsed="false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</row>
    <row r="149" customFormat="false" ht="15.75" hidden="false" customHeight="true" outlineLevel="0" collapsed="false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</row>
    <row r="150" customFormat="false" ht="15.75" hidden="false" customHeight="true" outlineLevel="0" collapsed="false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</row>
    <row r="151" customFormat="false" ht="15.75" hidden="false" customHeight="true" outlineLevel="0" collapsed="false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</row>
    <row r="152" customFormat="false" ht="15.75" hidden="false" customHeight="true" outlineLevel="0" collapsed="false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</row>
    <row r="153" customFormat="false" ht="15.75" hidden="false" customHeight="true" outlineLevel="0" collapsed="false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</row>
    <row r="154" customFormat="false" ht="15.75" hidden="false" customHeight="true" outlineLevel="0" collapsed="false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</row>
    <row r="155" customFormat="false" ht="15.75" hidden="false" customHeight="true" outlineLevel="0" collapsed="false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</row>
    <row r="156" customFormat="false" ht="15.75" hidden="false" customHeight="true" outlineLevel="0" collapsed="false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</row>
    <row r="157" customFormat="false" ht="15.75" hidden="false" customHeight="true" outlineLevel="0" collapsed="false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</row>
    <row r="158" customFormat="false" ht="15.75" hidden="false" customHeight="true" outlineLevel="0" collapsed="false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</row>
    <row r="159" customFormat="false" ht="15.75" hidden="false" customHeight="true" outlineLevel="0" collapsed="false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</row>
    <row r="160" customFormat="false" ht="15.75" hidden="false" customHeight="true" outlineLevel="0" collapsed="false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</row>
    <row r="161" customFormat="false" ht="15.75" hidden="false" customHeight="true" outlineLevel="0" collapsed="false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</row>
    <row r="162" customFormat="false" ht="15.75" hidden="false" customHeight="true" outlineLevel="0" collapsed="false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</row>
    <row r="163" customFormat="false" ht="15.75" hidden="false" customHeight="true" outlineLevel="0" collapsed="false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</row>
    <row r="164" customFormat="false" ht="15.75" hidden="false" customHeight="true" outlineLevel="0" collapsed="false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</row>
    <row r="165" customFormat="false" ht="15.75" hidden="false" customHeight="true" outlineLevel="0" collapsed="false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</row>
    <row r="166" customFormat="false" ht="15.75" hidden="false" customHeight="true" outlineLevel="0" collapsed="false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</row>
    <row r="167" customFormat="false" ht="15.75" hidden="false" customHeight="true" outlineLevel="0" collapsed="false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</row>
    <row r="168" customFormat="false" ht="15.75" hidden="false" customHeight="true" outlineLevel="0" collapsed="false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</row>
    <row r="169" customFormat="false" ht="15.75" hidden="false" customHeight="true" outlineLevel="0" collapsed="false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</row>
    <row r="170" customFormat="false" ht="15.75" hidden="false" customHeight="true" outlineLevel="0" collapsed="false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</row>
    <row r="171" customFormat="false" ht="15.75" hidden="false" customHeight="true" outlineLevel="0" collapsed="false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</row>
    <row r="172" customFormat="false" ht="15.75" hidden="false" customHeight="true" outlineLevel="0" collapsed="false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</row>
    <row r="173" customFormat="false" ht="15.75" hidden="false" customHeight="true" outlineLevel="0" collapsed="false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</row>
    <row r="174" customFormat="false" ht="15.75" hidden="false" customHeight="true" outlineLevel="0" collapsed="false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</row>
    <row r="175" customFormat="false" ht="15.75" hidden="false" customHeight="true" outlineLevel="0" collapsed="false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</row>
    <row r="176" customFormat="false" ht="15.75" hidden="false" customHeight="true" outlineLevel="0" collapsed="false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</row>
    <row r="177" customFormat="false" ht="15.75" hidden="false" customHeight="true" outlineLevel="0" collapsed="false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</row>
    <row r="178" customFormat="false" ht="15.75" hidden="false" customHeight="true" outlineLevel="0" collapsed="false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</row>
    <row r="179" customFormat="false" ht="15.75" hidden="false" customHeight="true" outlineLevel="0" collapsed="false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</row>
    <row r="180" customFormat="false" ht="15.75" hidden="false" customHeight="true" outlineLevel="0" collapsed="false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</row>
    <row r="181" customFormat="false" ht="15.75" hidden="false" customHeight="true" outlineLevel="0" collapsed="false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</row>
    <row r="182" customFormat="false" ht="15.75" hidden="false" customHeight="true" outlineLevel="0" collapsed="false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</row>
    <row r="183" customFormat="false" ht="15.75" hidden="false" customHeight="true" outlineLevel="0" collapsed="false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</row>
    <row r="184" customFormat="false" ht="15.75" hidden="false" customHeight="true" outlineLevel="0" collapsed="false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</row>
    <row r="185" customFormat="false" ht="15.75" hidden="false" customHeight="true" outlineLevel="0" collapsed="false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</row>
    <row r="186" customFormat="false" ht="15.75" hidden="false" customHeight="true" outlineLevel="0" collapsed="false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</row>
    <row r="187" customFormat="false" ht="15.75" hidden="false" customHeight="true" outlineLevel="0" collapsed="false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</row>
    <row r="188" customFormat="false" ht="15.75" hidden="false" customHeight="true" outlineLevel="0" collapsed="false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</row>
    <row r="189" customFormat="false" ht="15.75" hidden="false" customHeight="true" outlineLevel="0" collapsed="false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</row>
    <row r="190" customFormat="false" ht="15.75" hidden="false" customHeight="true" outlineLevel="0" collapsed="false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</row>
    <row r="191" customFormat="false" ht="15.75" hidden="false" customHeight="true" outlineLevel="0" collapsed="false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</row>
    <row r="192" customFormat="false" ht="15.75" hidden="false" customHeight="true" outlineLevel="0" collapsed="false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</row>
    <row r="193" customFormat="false" ht="15.75" hidden="false" customHeight="true" outlineLevel="0" collapsed="false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</row>
    <row r="194" customFormat="false" ht="15.75" hidden="false" customHeight="true" outlineLevel="0" collapsed="false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</row>
    <row r="195" customFormat="false" ht="15.75" hidden="false" customHeight="true" outlineLevel="0" collapsed="false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</row>
    <row r="196" customFormat="false" ht="15.75" hidden="false" customHeight="true" outlineLevel="0" collapsed="false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</row>
    <row r="197" customFormat="false" ht="15.75" hidden="false" customHeight="true" outlineLevel="0" collapsed="false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</row>
    <row r="198" customFormat="false" ht="15.75" hidden="false" customHeight="true" outlineLevel="0" collapsed="false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</row>
    <row r="199" customFormat="false" ht="15.75" hidden="false" customHeight="true" outlineLevel="0" collapsed="false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</row>
    <row r="200" customFormat="false" ht="15.75" hidden="false" customHeight="true" outlineLevel="0" collapsed="false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</row>
    <row r="201" customFormat="false" ht="15.75" hidden="false" customHeight="true" outlineLevel="0" collapsed="false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</row>
    <row r="202" customFormat="false" ht="15.75" hidden="false" customHeight="true" outlineLevel="0" collapsed="false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</row>
    <row r="203" customFormat="false" ht="15.75" hidden="false" customHeight="true" outlineLevel="0" collapsed="false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</row>
    <row r="204" customFormat="false" ht="15.75" hidden="false" customHeight="true" outlineLevel="0" collapsed="false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</row>
    <row r="205" customFormat="false" ht="15.75" hidden="false" customHeight="true" outlineLevel="0" collapsed="false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</row>
    <row r="206" customFormat="false" ht="15.75" hidden="false" customHeight="true" outlineLevel="0" collapsed="false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</row>
    <row r="207" customFormat="false" ht="15.75" hidden="false" customHeight="true" outlineLevel="0" collapsed="false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</row>
    <row r="208" customFormat="false" ht="15.75" hidden="false" customHeight="true" outlineLevel="0" collapsed="false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</row>
    <row r="209" customFormat="false" ht="15.75" hidden="false" customHeight="true" outlineLevel="0" collapsed="false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</row>
    <row r="210" customFormat="false" ht="15.75" hidden="false" customHeight="true" outlineLevel="0" collapsed="false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</row>
    <row r="211" customFormat="false" ht="15.75" hidden="false" customHeight="true" outlineLevel="0" collapsed="false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</row>
    <row r="212" customFormat="false" ht="15.75" hidden="false" customHeight="true" outlineLevel="0" collapsed="false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</row>
    <row r="213" customFormat="false" ht="15.75" hidden="false" customHeight="true" outlineLevel="0" collapsed="false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</row>
    <row r="214" customFormat="false" ht="15.75" hidden="false" customHeight="true" outlineLevel="0" collapsed="false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</row>
    <row r="215" customFormat="false" ht="15.75" hidden="false" customHeight="true" outlineLevel="0" collapsed="false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</row>
    <row r="216" customFormat="false" ht="15.75" hidden="false" customHeight="true" outlineLevel="0" collapsed="false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</row>
    <row r="217" customFormat="false" ht="15.75" hidden="false" customHeight="true" outlineLevel="0" collapsed="false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</row>
    <row r="218" customFormat="false" ht="15.75" hidden="false" customHeight="true" outlineLevel="0" collapsed="false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</row>
    <row r="219" customFormat="false" ht="15.75" hidden="false" customHeight="true" outlineLevel="0" collapsed="false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</row>
    <row r="220" customFormat="false" ht="15.75" hidden="false" customHeight="true" outlineLevel="0" collapsed="false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</row>
    <row r="221" customFormat="false" ht="15.75" hidden="false" customHeight="true" outlineLevel="0" collapsed="false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</row>
    <row r="222" customFormat="false" ht="15.75" hidden="false" customHeight="true" outlineLevel="0" collapsed="false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</row>
    <row r="223" customFormat="false" ht="15.75" hidden="false" customHeight="true" outlineLevel="0" collapsed="false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</row>
    <row r="224" customFormat="false" ht="15.75" hidden="false" customHeight="true" outlineLevel="0" collapsed="false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</row>
    <row r="225" customFormat="false" ht="15.75" hidden="false" customHeight="true" outlineLevel="0" collapsed="false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</row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S1:T1"/>
    <mergeCell ref="U1:V1"/>
    <mergeCell ref="W1:X1"/>
  </mergeCells>
  <conditionalFormatting sqref="C16">
    <cfRule type="cellIs" priority="2" operator="equal" aboveAverage="0" equalAverage="0" bottom="0" percent="0" rank="0" text="" dxfId="118">
      <formula>"C1:C774"</formula>
    </cfRule>
  </conditionalFormatting>
  <conditionalFormatting sqref="C16">
    <cfRule type="cellIs" priority="3" operator="equal" aboveAverage="0" equalAverage="0" bottom="0" percent="0" rank="0" text="" dxfId="119">
      <formula>"C1:C774"</formula>
    </cfRule>
  </conditionalFormatting>
  <conditionalFormatting sqref="C16">
    <cfRule type="cellIs" priority="4" operator="equal" aboveAverage="0" equalAverage="0" bottom="0" percent="0" rank="0" text="" dxfId="120">
      <formula>"C1:C774"</formula>
    </cfRule>
  </conditionalFormatting>
  <conditionalFormatting sqref="C16">
    <cfRule type="cellIs" priority="5" operator="equal" aboveAverage="0" equalAverage="0" bottom="0" percent="0" rank="0" text="" dxfId="121">
      <formula>"C1:C774"</formula>
    </cfRule>
  </conditionalFormatting>
  <conditionalFormatting sqref="C16">
    <cfRule type="cellIs" priority="6" operator="equal" aboveAverage="0" equalAverage="0" bottom="0" percent="0" rank="0" text="" dxfId="122">
      <formula>"C1:C774"</formula>
    </cfRule>
  </conditionalFormatting>
  <conditionalFormatting sqref="C16">
    <cfRule type="cellIs" priority="7" operator="equal" aboveAverage="0" equalAverage="0" bottom="0" percent="0" rank="0" text="" dxfId="123">
      <formula>"C1:C774"</formula>
    </cfRule>
  </conditionalFormatting>
  <conditionalFormatting sqref="C16">
    <cfRule type="cellIs" priority="8" operator="equal" aboveAverage="0" equalAverage="0" bottom="0" percent="0" rank="0" text="" dxfId="124">
      <formula>"C1:C774"</formula>
    </cfRule>
  </conditionalFormatting>
  <conditionalFormatting sqref="C16">
    <cfRule type="cellIs" priority="9" operator="equal" aboveAverage="0" equalAverage="0" bottom="0" percent="0" rank="0" text="" dxfId="125">
      <formula>"C1:C774"</formula>
    </cfRule>
  </conditionalFormatting>
  <conditionalFormatting sqref="C16">
    <cfRule type="cellIs" priority="10" operator="equal" aboveAverage="0" equalAverage="0" bottom="0" percent="0" rank="0" text="" dxfId="126">
      <formula>"C1:C774"</formula>
    </cfRule>
  </conditionalFormatting>
  <conditionalFormatting sqref="C16">
    <cfRule type="cellIs" priority="11" operator="equal" aboveAverage="0" equalAverage="0" bottom="0" percent="0" rank="0" text="" dxfId="127">
      <formula>"C1:C774"</formula>
    </cfRule>
  </conditionalFormatting>
  <conditionalFormatting sqref="C16">
    <cfRule type="cellIs" priority="12" operator="equal" aboveAverage="0" equalAverage="0" bottom="0" percent="0" rank="0" text="" dxfId="128">
      <formula>"C1:C774"</formula>
    </cfRule>
  </conditionalFormatting>
  <conditionalFormatting sqref="C16">
    <cfRule type="cellIs" priority="13" operator="equal" aboveAverage="0" equalAverage="0" bottom="0" percent="0" rank="0" text="" dxfId="129">
      <formula>"C1:C774"</formula>
    </cfRule>
  </conditionalFormatting>
  <conditionalFormatting sqref="C16">
    <cfRule type="cellIs" priority="14" operator="equal" aboveAverage="0" equalAverage="0" bottom="0" percent="0" rank="0" text="" dxfId="130">
      <formula>"C1:C774"</formula>
    </cfRule>
  </conditionalFormatting>
  <conditionalFormatting sqref="C16">
    <cfRule type="cellIs" priority="15" operator="equal" aboveAverage="0" equalAverage="0" bottom="0" percent="0" rank="0" text="" dxfId="131">
      <formula>"C1:C774"</formula>
    </cfRule>
  </conditionalFormatting>
  <conditionalFormatting sqref="C16">
    <cfRule type="cellIs" priority="16" operator="equal" aboveAverage="0" equalAverage="0" bottom="0" percent="0" rank="0" text="" dxfId="132">
      <formula>"C1:C774"</formula>
    </cfRule>
  </conditionalFormatting>
  <conditionalFormatting sqref="C16">
    <cfRule type="cellIs" priority="17" operator="equal" aboveAverage="0" equalAverage="0" bottom="0" percent="0" rank="0" text="" dxfId="133">
      <formula>"C1:C774"</formula>
    </cfRule>
  </conditionalFormatting>
  <conditionalFormatting sqref="C16">
    <cfRule type="cellIs" priority="18" operator="equal" aboveAverage="0" equalAverage="0" bottom="0" percent="0" rank="0" text="" dxfId="134">
      <formula>"C1:C774"</formula>
    </cfRule>
  </conditionalFormatting>
  <conditionalFormatting sqref="C16">
    <cfRule type="cellIs" priority="19" operator="equal" aboveAverage="0" equalAverage="0" bottom="0" percent="0" rank="0" text="" dxfId="135">
      <formula>"C1:C774"</formula>
    </cfRule>
  </conditionalFormatting>
  <conditionalFormatting sqref="C16">
    <cfRule type="cellIs" priority="20" operator="equal" aboveAverage="0" equalAverage="0" bottom="0" percent="0" rank="0" text="" dxfId="136">
      <formula>"C1:C774"</formula>
    </cfRule>
  </conditionalFormatting>
  <conditionalFormatting sqref="C16">
    <cfRule type="cellIs" priority="21" operator="equal" aboveAverage="0" equalAverage="0" bottom="0" percent="0" rank="0" text="" dxfId="137">
      <formula>"C1:C774"</formula>
    </cfRule>
  </conditionalFormatting>
  <conditionalFormatting sqref="C16">
    <cfRule type="cellIs" priority="22" operator="equal" aboveAverage="0" equalAverage="0" bottom="0" percent="0" rank="0" text="" dxfId="138">
      <formula>"C1:C774"</formula>
    </cfRule>
  </conditionalFormatting>
  <conditionalFormatting sqref="C16">
    <cfRule type="cellIs" priority="23" operator="equal" aboveAverage="0" equalAverage="0" bottom="0" percent="0" rank="0" text="" dxfId="139">
      <formula>"C1:C774"</formula>
    </cfRule>
  </conditionalFormatting>
  <conditionalFormatting sqref="C16">
    <cfRule type="cellIs" priority="24" operator="equal" aboveAverage="0" equalAverage="0" bottom="0" percent="0" rank="0" text="" dxfId="140">
      <formula>"C1:C774"</formula>
    </cfRule>
  </conditionalFormatting>
  <conditionalFormatting sqref="C16">
    <cfRule type="cellIs" priority="25" operator="equal" aboveAverage="0" equalAverage="0" bottom="0" percent="0" rank="0" text="" dxfId="141">
      <formula>"C1:C774"</formula>
    </cfRule>
  </conditionalFormatting>
  <conditionalFormatting sqref="C16">
    <cfRule type="cellIs" priority="26" operator="equal" aboveAverage="0" equalAverage="0" bottom="0" percent="0" rank="0" text="" dxfId="142">
      <formula>"C1:C774"</formula>
    </cfRule>
  </conditionalFormatting>
  <conditionalFormatting sqref="C16">
    <cfRule type="cellIs" priority="27" operator="equal" aboveAverage="0" equalAverage="0" bottom="0" percent="0" rank="0" text="" dxfId="143">
      <formula>"C1:C774"</formula>
    </cfRule>
  </conditionalFormatting>
  <conditionalFormatting sqref="C16">
    <cfRule type="cellIs" priority="28" operator="equal" aboveAverage="0" equalAverage="0" bottom="0" percent="0" rank="0" text="" dxfId="144">
      <formula>"C1:C774"</formula>
    </cfRule>
  </conditionalFormatting>
  <conditionalFormatting sqref="C16">
    <cfRule type="cellIs" priority="29" operator="equal" aboveAverage="0" equalAverage="0" bottom="0" percent="0" rank="0" text="" dxfId="145">
      <formula>"C1:C774"</formula>
    </cfRule>
  </conditionalFormatting>
  <conditionalFormatting sqref="C16">
    <cfRule type="cellIs" priority="30" operator="equal" aboveAverage="0" equalAverage="0" bottom="0" percent="0" rank="0" text="" dxfId="146">
      <formula>"C1:C774"</formula>
    </cfRule>
  </conditionalFormatting>
  <conditionalFormatting sqref="C16">
    <cfRule type="cellIs" priority="31" operator="equal" aboveAverage="0" equalAverage="0" bottom="0" percent="0" rank="0" text="" dxfId="147">
      <formula>"C1:C774"</formula>
    </cfRule>
  </conditionalFormatting>
  <conditionalFormatting sqref="C16">
    <cfRule type="cellIs" priority="32" operator="equal" aboveAverage="0" equalAverage="0" bottom="0" percent="0" rank="0" text="" dxfId="148">
      <formula>"C1:C774"</formula>
    </cfRule>
  </conditionalFormatting>
  <conditionalFormatting sqref="C16">
    <cfRule type="cellIs" priority="33" operator="equal" aboveAverage="0" equalAverage="0" bottom="0" percent="0" rank="0" text="" dxfId="149">
      <formula>"C1:C774"</formula>
    </cfRule>
  </conditionalFormatting>
  <conditionalFormatting sqref="C16">
    <cfRule type="cellIs" priority="34" operator="equal" aboveAverage="0" equalAverage="0" bottom="0" percent="0" rank="0" text="" dxfId="150">
      <formula>"C1:C774"</formula>
    </cfRule>
  </conditionalFormatting>
  <conditionalFormatting sqref="C16">
    <cfRule type="cellIs" priority="35" operator="equal" aboveAverage="0" equalAverage="0" bottom="0" percent="0" rank="0" text="" dxfId="151">
      <formula>"C1:C774"</formula>
    </cfRule>
  </conditionalFormatting>
  <conditionalFormatting sqref="C16">
    <cfRule type="cellIs" priority="36" operator="equal" aboveAverage="0" equalAverage="0" bottom="0" percent="0" rank="0" text="" dxfId="152">
      <formula>"C1:C774"</formula>
    </cfRule>
  </conditionalFormatting>
  <conditionalFormatting sqref="C16">
    <cfRule type="cellIs" priority="37" operator="equal" aboveAverage="0" equalAverage="0" bottom="0" percent="0" rank="0" text="" dxfId="153">
      <formula>"C1:C774"</formula>
    </cfRule>
  </conditionalFormatting>
  <conditionalFormatting sqref="C16">
    <cfRule type="cellIs" priority="38" operator="equal" aboveAverage="0" equalAverage="0" bottom="0" percent="0" rank="0" text="" dxfId="154">
      <formula>"C1:C774"</formula>
    </cfRule>
  </conditionalFormatting>
  <conditionalFormatting sqref="C16">
    <cfRule type="cellIs" priority="39" operator="equal" aboveAverage="0" equalAverage="0" bottom="0" percent="0" rank="0" text="" dxfId="155">
      <formula>"C1:C774"</formula>
    </cfRule>
  </conditionalFormatting>
  <conditionalFormatting sqref="C16">
    <cfRule type="cellIs" priority="40" operator="equal" aboveAverage="0" equalAverage="0" bottom="0" percent="0" rank="0" text="" dxfId="156">
      <formula>"C1:C774"</formula>
    </cfRule>
  </conditionalFormatting>
  <conditionalFormatting sqref="C16">
    <cfRule type="cellIs" priority="41" operator="equal" aboveAverage="0" equalAverage="0" bottom="0" percent="0" rank="0" text="" dxfId="157">
      <formula>"C1:C774"</formula>
    </cfRule>
  </conditionalFormatting>
  <conditionalFormatting sqref="C16">
    <cfRule type="cellIs" priority="42" operator="equal" aboveAverage="0" equalAverage="0" bottom="0" percent="0" rank="0" text="" dxfId="158">
      <formula>"C1:C774"</formula>
    </cfRule>
  </conditionalFormatting>
  <conditionalFormatting sqref="C16">
    <cfRule type="cellIs" priority="43" operator="equal" aboveAverage="0" equalAverage="0" bottom="0" percent="0" rank="0" text="" dxfId="159">
      <formula>"C1:C774"</formula>
    </cfRule>
  </conditionalFormatting>
  <conditionalFormatting sqref="C16">
    <cfRule type="cellIs" priority="44" operator="equal" aboveAverage="0" equalAverage="0" bottom="0" percent="0" rank="0" text="" dxfId="160">
      <formula>"C1:C774"</formula>
    </cfRule>
  </conditionalFormatting>
  <conditionalFormatting sqref="C16">
    <cfRule type="cellIs" priority="45" operator="equal" aboveAverage="0" equalAverage="0" bottom="0" percent="0" rank="0" text="" dxfId="161">
      <formula>"C1:C774"</formula>
    </cfRule>
  </conditionalFormatting>
  <conditionalFormatting sqref="C16">
    <cfRule type="cellIs" priority="46" operator="equal" aboveAverage="0" equalAverage="0" bottom="0" percent="0" rank="0" text="" dxfId="162">
      <formula>"C1:C774"</formula>
    </cfRule>
  </conditionalFormatting>
  <conditionalFormatting sqref="C16">
    <cfRule type="cellIs" priority="47" operator="equal" aboveAverage="0" equalAverage="0" bottom="0" percent="0" rank="0" text="" dxfId="163">
      <formula>"C1:C774"</formula>
    </cfRule>
  </conditionalFormatting>
  <conditionalFormatting sqref="C16">
    <cfRule type="cellIs" priority="48" operator="equal" aboveAverage="0" equalAverage="0" bottom="0" percent="0" rank="0" text="" dxfId="164">
      <formula>"C1:C774"</formula>
    </cfRule>
  </conditionalFormatting>
  <conditionalFormatting sqref="C16">
    <cfRule type="cellIs" priority="49" operator="equal" aboveAverage="0" equalAverage="0" bottom="0" percent="0" rank="0" text="" dxfId="165">
      <formula>"C1:C774"</formula>
    </cfRule>
  </conditionalFormatting>
  <conditionalFormatting sqref="C16">
    <cfRule type="cellIs" priority="50" operator="equal" aboveAverage="0" equalAverage="0" bottom="0" percent="0" rank="0" text="" dxfId="166">
      <formula>"C1:C774"</formula>
    </cfRule>
  </conditionalFormatting>
  <conditionalFormatting sqref="C16">
    <cfRule type="cellIs" priority="51" operator="equal" aboveAverage="0" equalAverage="0" bottom="0" percent="0" rank="0" text="" dxfId="167">
      <formula>"C1:C774"</formula>
    </cfRule>
  </conditionalFormatting>
  <conditionalFormatting sqref="C16">
    <cfRule type="cellIs" priority="52" operator="equal" aboveAverage="0" equalAverage="0" bottom="0" percent="0" rank="0" text="" dxfId="168">
      <formula>"C1:C774"</formula>
    </cfRule>
  </conditionalFormatting>
  <conditionalFormatting sqref="C16">
    <cfRule type="cellIs" priority="53" operator="equal" aboveAverage="0" equalAverage="0" bottom="0" percent="0" rank="0" text="" dxfId="169">
      <formula>"C1:C774"</formula>
    </cfRule>
  </conditionalFormatting>
  <conditionalFormatting sqref="C16">
    <cfRule type="cellIs" priority="54" operator="equal" aboveAverage="0" equalAverage="0" bottom="0" percent="0" rank="0" text="" dxfId="170">
      <formula>"C1:C774"</formula>
    </cfRule>
  </conditionalFormatting>
  <conditionalFormatting sqref="C16">
    <cfRule type="cellIs" priority="55" operator="equal" aboveAverage="0" equalAverage="0" bottom="0" percent="0" rank="0" text="" dxfId="171">
      <formula>"C1:C774"</formula>
    </cfRule>
  </conditionalFormatting>
  <conditionalFormatting sqref="C16">
    <cfRule type="cellIs" priority="56" operator="equal" aboveAverage="0" equalAverage="0" bottom="0" percent="0" rank="0" text="" dxfId="172">
      <formula>"C1:C774"</formula>
    </cfRule>
  </conditionalFormatting>
  <conditionalFormatting sqref="C16">
    <cfRule type="cellIs" priority="57" operator="equal" aboveAverage="0" equalAverage="0" bottom="0" percent="0" rank="0" text="" dxfId="173">
      <formula>"C1:C774"</formula>
    </cfRule>
  </conditionalFormatting>
  <conditionalFormatting sqref="C16">
    <cfRule type="cellIs" priority="58" operator="equal" aboveAverage="0" equalAverage="0" bottom="0" percent="0" rank="0" text="" dxfId="174">
      <formula>"C1:C774"</formula>
    </cfRule>
  </conditionalFormatting>
  <conditionalFormatting sqref="C16">
    <cfRule type="cellIs" priority="59" operator="equal" aboveAverage="0" equalAverage="0" bottom="0" percent="0" rank="0" text="" dxfId="175">
      <formula>"C1:C774"</formula>
    </cfRule>
  </conditionalFormatting>
  <conditionalFormatting sqref="C16">
    <cfRule type="cellIs" priority="60" operator="equal" aboveAverage="0" equalAverage="0" bottom="0" percent="0" rank="0" text="" dxfId="176">
      <formula>"C1:C774"</formula>
    </cfRule>
  </conditionalFormatting>
  <conditionalFormatting sqref="C16">
    <cfRule type="cellIs" priority="61" operator="equal" aboveAverage="0" equalAverage="0" bottom="0" percent="0" rank="0" text="" dxfId="177">
      <formula>"C1:C774"</formula>
    </cfRule>
  </conditionalFormatting>
  <conditionalFormatting sqref="C16">
    <cfRule type="cellIs" priority="62" operator="equal" aboveAverage="0" equalAverage="0" bottom="0" percent="0" rank="0" text="" dxfId="178">
      <formula>"C1:C774"</formula>
    </cfRule>
  </conditionalFormatting>
  <conditionalFormatting sqref="C16">
    <cfRule type="cellIs" priority="63" operator="equal" aboveAverage="0" equalAverage="0" bottom="0" percent="0" rank="0" text="" dxfId="179">
      <formula>"C1:C774"</formula>
    </cfRule>
  </conditionalFormatting>
  <conditionalFormatting sqref="C16">
    <cfRule type="cellIs" priority="64" operator="equal" aboveAverage="0" equalAverage="0" bottom="0" percent="0" rank="0" text="" dxfId="180">
      <formula>"C1:C774"</formula>
    </cfRule>
  </conditionalFormatting>
  <conditionalFormatting sqref="C16">
    <cfRule type="cellIs" priority="65" operator="equal" aboveAverage="0" equalAverage="0" bottom="0" percent="0" rank="0" text="" dxfId="181">
      <formula>"C1:C774"</formula>
    </cfRule>
  </conditionalFormatting>
  <conditionalFormatting sqref="C16">
    <cfRule type="cellIs" priority="66" operator="equal" aboveAverage="0" equalAverage="0" bottom="0" percent="0" rank="0" text="" dxfId="182">
      <formula>"C1:C774"</formula>
    </cfRule>
  </conditionalFormatting>
  <conditionalFormatting sqref="C16">
    <cfRule type="cellIs" priority="67" operator="equal" aboveAverage="0" equalAverage="0" bottom="0" percent="0" rank="0" text="" dxfId="183">
      <formula>"C1:C774"</formula>
    </cfRule>
  </conditionalFormatting>
  <conditionalFormatting sqref="C16">
    <cfRule type="cellIs" priority="68" operator="equal" aboveAverage="0" equalAverage="0" bottom="0" percent="0" rank="0" text="" dxfId="184">
      <formula>"C1:C774"</formula>
    </cfRule>
  </conditionalFormatting>
  <conditionalFormatting sqref="C16">
    <cfRule type="cellIs" priority="69" operator="equal" aboveAverage="0" equalAverage="0" bottom="0" percent="0" rank="0" text="" dxfId="185">
      <formula>"C1:C774"</formula>
    </cfRule>
  </conditionalFormatting>
  <conditionalFormatting sqref="C16">
    <cfRule type="cellIs" priority="70" operator="equal" aboveAverage="0" equalAverage="0" bottom="0" percent="0" rank="0" text="" dxfId="186">
      <formula>"C1:C774"</formula>
    </cfRule>
  </conditionalFormatting>
  <conditionalFormatting sqref="C16">
    <cfRule type="cellIs" priority="71" operator="equal" aboveAverage="0" equalAverage="0" bottom="0" percent="0" rank="0" text="" dxfId="187">
      <formula>"C1:C774"</formula>
    </cfRule>
  </conditionalFormatting>
  <conditionalFormatting sqref="C16">
    <cfRule type="cellIs" priority="72" operator="equal" aboveAverage="0" equalAverage="0" bottom="0" percent="0" rank="0" text="" dxfId="188">
      <formula>"C1:C774"</formula>
    </cfRule>
  </conditionalFormatting>
  <conditionalFormatting sqref="C16">
    <cfRule type="cellIs" priority="73" operator="equal" aboveAverage="0" equalAverage="0" bottom="0" percent="0" rank="0" text="" dxfId="189">
      <formula>"C1:C774"</formula>
    </cfRule>
  </conditionalFormatting>
  <conditionalFormatting sqref="C16">
    <cfRule type="cellIs" priority="74" operator="equal" aboveAverage="0" equalAverage="0" bottom="0" percent="0" rank="0" text="" dxfId="190">
      <formula>"C1:C774"</formula>
    </cfRule>
  </conditionalFormatting>
  <conditionalFormatting sqref="C16">
    <cfRule type="cellIs" priority="75" operator="equal" aboveAverage="0" equalAverage="0" bottom="0" percent="0" rank="0" text="" dxfId="191">
      <formula>"C1:C774"</formula>
    </cfRule>
  </conditionalFormatting>
  <conditionalFormatting sqref="C16">
    <cfRule type="cellIs" priority="76" operator="equal" aboveAverage="0" equalAverage="0" bottom="0" percent="0" rank="0" text="" dxfId="192">
      <formula>"C1:C774"</formula>
    </cfRule>
  </conditionalFormatting>
  <conditionalFormatting sqref="C16">
    <cfRule type="cellIs" priority="77" operator="equal" aboveAverage="0" equalAverage="0" bottom="0" percent="0" rank="0" text="" dxfId="193">
      <formula>"C1:C774"</formula>
    </cfRule>
  </conditionalFormatting>
  <conditionalFormatting sqref="C16">
    <cfRule type="cellIs" priority="78" operator="equal" aboveAverage="0" equalAverage="0" bottom="0" percent="0" rank="0" text="" dxfId="194">
      <formula>"C1:C774"</formula>
    </cfRule>
  </conditionalFormatting>
  <conditionalFormatting sqref="C16">
    <cfRule type="cellIs" priority="79" operator="equal" aboveAverage="0" equalAverage="0" bottom="0" percent="0" rank="0" text="" dxfId="195">
      <formula>"C1:C774"</formula>
    </cfRule>
  </conditionalFormatting>
  <conditionalFormatting sqref="C16">
    <cfRule type="cellIs" priority="80" operator="equal" aboveAverage="0" equalAverage="0" bottom="0" percent="0" rank="0" text="" dxfId="196">
      <formula>"C1:C774"</formula>
    </cfRule>
  </conditionalFormatting>
  <conditionalFormatting sqref="C16">
    <cfRule type="cellIs" priority="81" operator="equal" aboveAverage="0" equalAverage="0" bottom="0" percent="0" rank="0" text="" dxfId="197">
      <formula>"C1:C774"</formula>
    </cfRule>
  </conditionalFormatting>
  <conditionalFormatting sqref="C16">
    <cfRule type="cellIs" priority="82" operator="equal" aboveAverage="0" equalAverage="0" bottom="0" percent="0" rank="0" text="" dxfId="198">
      <formula>"C1:C774"</formula>
    </cfRule>
  </conditionalFormatting>
  <conditionalFormatting sqref="C16">
    <cfRule type="cellIs" priority="83" operator="equal" aboveAverage="0" equalAverage="0" bottom="0" percent="0" rank="0" text="" dxfId="199">
      <formula>"C1:C774"</formula>
    </cfRule>
  </conditionalFormatting>
  <conditionalFormatting sqref="C16">
    <cfRule type="cellIs" priority="84" operator="equal" aboveAverage="0" equalAverage="0" bottom="0" percent="0" rank="0" text="" dxfId="200">
      <formula>"C1:C774"</formula>
    </cfRule>
  </conditionalFormatting>
  <conditionalFormatting sqref="C16">
    <cfRule type="cellIs" priority="85" operator="equal" aboveAverage="0" equalAverage="0" bottom="0" percent="0" rank="0" text="" dxfId="201">
      <formula>"C1:C774"</formula>
    </cfRule>
  </conditionalFormatting>
  <conditionalFormatting sqref="C16">
    <cfRule type="cellIs" priority="86" operator="equal" aboveAverage="0" equalAverage="0" bottom="0" percent="0" rank="0" text="" dxfId="202">
      <formula>"C1:C774"</formula>
    </cfRule>
  </conditionalFormatting>
  <conditionalFormatting sqref="C16">
    <cfRule type="cellIs" priority="87" operator="equal" aboveAverage="0" equalAverage="0" bottom="0" percent="0" rank="0" text="" dxfId="203">
      <formula>"C1:C774"</formula>
    </cfRule>
  </conditionalFormatting>
  <conditionalFormatting sqref="C16">
    <cfRule type="cellIs" priority="88" operator="equal" aboveAverage="0" equalAverage="0" bottom="0" percent="0" rank="0" text="" dxfId="204">
      <formula>"C1:C774"</formula>
    </cfRule>
  </conditionalFormatting>
  <conditionalFormatting sqref="C16">
    <cfRule type="cellIs" priority="89" operator="equal" aboveAverage="0" equalAverage="0" bottom="0" percent="0" rank="0" text="" dxfId="205">
      <formula>"C1:C774"</formula>
    </cfRule>
  </conditionalFormatting>
  <conditionalFormatting sqref="C16">
    <cfRule type="cellIs" priority="90" operator="equal" aboveAverage="0" equalAverage="0" bottom="0" percent="0" rank="0" text="" dxfId="206">
      <formula>"C1:C774"</formula>
    </cfRule>
  </conditionalFormatting>
  <conditionalFormatting sqref="C16">
    <cfRule type="cellIs" priority="91" operator="equal" aboveAverage="0" equalAverage="0" bottom="0" percent="0" rank="0" text="" dxfId="207">
      <formula>"C1:C774"</formula>
    </cfRule>
  </conditionalFormatting>
  <conditionalFormatting sqref="C16">
    <cfRule type="cellIs" priority="92" operator="equal" aboveAverage="0" equalAverage="0" bottom="0" percent="0" rank="0" text="" dxfId="208">
      <formula>"C1:C774"</formula>
    </cfRule>
  </conditionalFormatting>
  <conditionalFormatting sqref="C16">
    <cfRule type="cellIs" priority="93" operator="equal" aboveAverage="0" equalAverage="0" bottom="0" percent="0" rank="0" text="" dxfId="209">
      <formula>"C1:C774"</formula>
    </cfRule>
  </conditionalFormatting>
  <conditionalFormatting sqref="C16">
    <cfRule type="cellIs" priority="94" operator="equal" aboveAverage="0" equalAverage="0" bottom="0" percent="0" rank="0" text="" dxfId="210">
      <formula>"C1:C774"</formula>
    </cfRule>
  </conditionalFormatting>
  <conditionalFormatting sqref="C16">
    <cfRule type="cellIs" priority="95" operator="equal" aboveAverage="0" equalAverage="0" bottom="0" percent="0" rank="0" text="" dxfId="211">
      <formula>"C1:C774"</formula>
    </cfRule>
  </conditionalFormatting>
  <conditionalFormatting sqref="C16">
    <cfRule type="cellIs" priority="96" operator="equal" aboveAverage="0" equalAverage="0" bottom="0" percent="0" rank="0" text="" dxfId="212">
      <formula>"C1:C774"</formula>
    </cfRule>
  </conditionalFormatting>
  <conditionalFormatting sqref="C16">
    <cfRule type="cellIs" priority="97" operator="equal" aboveAverage="0" equalAverage="0" bottom="0" percent="0" rank="0" text="" dxfId="213">
      <formula>"C1:C774"</formula>
    </cfRule>
  </conditionalFormatting>
  <conditionalFormatting sqref="C16">
    <cfRule type="cellIs" priority="98" operator="equal" aboveAverage="0" equalAverage="0" bottom="0" percent="0" rank="0" text="" dxfId="214">
      <formula>"C1:C774"</formula>
    </cfRule>
  </conditionalFormatting>
  <conditionalFormatting sqref="C16">
    <cfRule type="cellIs" priority="99" operator="equal" aboveAverage="0" equalAverage="0" bottom="0" percent="0" rank="0" text="" dxfId="215">
      <formula>"C1:C774"</formula>
    </cfRule>
  </conditionalFormatting>
  <conditionalFormatting sqref="C16">
    <cfRule type="cellIs" priority="100" operator="equal" aboveAverage="0" equalAverage="0" bottom="0" percent="0" rank="0" text="" dxfId="216">
      <formula>"C1:C774"</formula>
    </cfRule>
  </conditionalFormatting>
  <conditionalFormatting sqref="C16">
    <cfRule type="cellIs" priority="101" operator="equal" aboveAverage="0" equalAverage="0" bottom="0" percent="0" rank="0" text="" dxfId="217">
      <formula>"C1:C774"</formula>
    </cfRule>
  </conditionalFormatting>
  <conditionalFormatting sqref="C16">
    <cfRule type="cellIs" priority="102" operator="equal" aboveAverage="0" equalAverage="0" bottom="0" percent="0" rank="0" text="" dxfId="218">
      <formula>"C1:C774"</formula>
    </cfRule>
  </conditionalFormatting>
  <conditionalFormatting sqref="C16">
    <cfRule type="cellIs" priority="103" operator="equal" aboveAverage="0" equalAverage="0" bottom="0" percent="0" rank="0" text="" dxfId="219">
      <formula>"C1:C774"</formula>
    </cfRule>
  </conditionalFormatting>
  <conditionalFormatting sqref="C16">
    <cfRule type="cellIs" priority="104" operator="equal" aboveAverage="0" equalAverage="0" bottom="0" percent="0" rank="0" text="" dxfId="220">
      <formula>"C1:C774"</formula>
    </cfRule>
  </conditionalFormatting>
  <conditionalFormatting sqref="C16">
    <cfRule type="cellIs" priority="105" operator="equal" aboveAverage="0" equalAverage="0" bottom="0" percent="0" rank="0" text="" dxfId="221">
      <formula>"C1:C774"</formula>
    </cfRule>
  </conditionalFormatting>
  <conditionalFormatting sqref="C16">
    <cfRule type="cellIs" priority="106" operator="equal" aboveAverage="0" equalAverage="0" bottom="0" percent="0" rank="0" text="" dxfId="222">
      <formula>"C1:C774"</formula>
    </cfRule>
  </conditionalFormatting>
  <conditionalFormatting sqref="C16">
    <cfRule type="cellIs" priority="107" operator="equal" aboveAverage="0" equalAverage="0" bottom="0" percent="0" rank="0" text="" dxfId="223">
      <formula>"C1:C774"</formula>
    </cfRule>
  </conditionalFormatting>
  <conditionalFormatting sqref="C16">
    <cfRule type="cellIs" priority="108" operator="equal" aboveAverage="0" equalAverage="0" bottom="0" percent="0" rank="0" text="" dxfId="224">
      <formula>"C1:C774"</formula>
    </cfRule>
  </conditionalFormatting>
  <conditionalFormatting sqref="C16">
    <cfRule type="cellIs" priority="109" operator="equal" aboveAverage="0" equalAverage="0" bottom="0" percent="0" rank="0" text="" dxfId="225">
      <formula>"C1:C774"</formula>
    </cfRule>
  </conditionalFormatting>
  <conditionalFormatting sqref="C16">
    <cfRule type="cellIs" priority="110" operator="equal" aboveAverage="0" equalAverage="0" bottom="0" percent="0" rank="0" text="" dxfId="226">
      <formula>"C1:C774"</formula>
    </cfRule>
  </conditionalFormatting>
  <conditionalFormatting sqref="C16">
    <cfRule type="cellIs" priority="111" operator="equal" aboveAverage="0" equalAverage="0" bottom="0" percent="0" rank="0" text="" dxfId="227">
      <formula>"C1:C774"</formula>
    </cfRule>
  </conditionalFormatting>
  <conditionalFormatting sqref="C16">
    <cfRule type="cellIs" priority="112" operator="equal" aboveAverage="0" equalAverage="0" bottom="0" percent="0" rank="0" text="" dxfId="228">
      <formula>"C1:C774"</formula>
    </cfRule>
  </conditionalFormatting>
  <conditionalFormatting sqref="C16">
    <cfRule type="cellIs" priority="113" operator="equal" aboveAverage="0" equalAverage="0" bottom="0" percent="0" rank="0" text="" dxfId="229">
      <formula>"C1:C774"</formula>
    </cfRule>
  </conditionalFormatting>
  <conditionalFormatting sqref="C16">
    <cfRule type="cellIs" priority="114" operator="equal" aboveAverage="0" equalAverage="0" bottom="0" percent="0" rank="0" text="" dxfId="230">
      <formula>"C1:C774"</formula>
    </cfRule>
  </conditionalFormatting>
  <conditionalFormatting sqref="C16">
    <cfRule type="cellIs" priority="115" operator="equal" aboveAverage="0" equalAverage="0" bottom="0" percent="0" rank="0" text="" dxfId="231">
      <formula>"C1:C774"</formula>
    </cfRule>
  </conditionalFormatting>
  <conditionalFormatting sqref="C16">
    <cfRule type="cellIs" priority="116" operator="equal" aboveAverage="0" equalAverage="0" bottom="0" percent="0" rank="0" text="" dxfId="232">
      <formula>"C1:C774"</formula>
    </cfRule>
  </conditionalFormatting>
  <conditionalFormatting sqref="C16">
    <cfRule type="cellIs" priority="117" operator="equal" aboveAverage="0" equalAverage="0" bottom="0" percent="0" rank="0" text="" dxfId="233">
      <formula>"C1:C774"</formula>
    </cfRule>
  </conditionalFormatting>
  <conditionalFormatting sqref="C16">
    <cfRule type="cellIs" priority="118" operator="equal" aboveAverage="0" equalAverage="0" bottom="0" percent="0" rank="0" text="" dxfId="234">
      <formula>"C1:C774"</formula>
    </cfRule>
  </conditionalFormatting>
  <conditionalFormatting sqref="C16">
    <cfRule type="cellIs" priority="119" operator="equal" aboveAverage="0" equalAverage="0" bottom="0" percent="0" rank="0" text="" dxfId="235">
      <formula>"C1:C774"</formula>
    </cfRule>
  </conditionalFormatting>
  <conditionalFormatting sqref="C16">
    <cfRule type="cellIs" priority="120" operator="equal" aboveAverage="0" equalAverage="0" bottom="0" percent="0" rank="0" text="" dxfId="236">
      <formula>"C1:C774"</formula>
    </cfRule>
  </conditionalFormatting>
  <conditionalFormatting sqref="C16">
    <cfRule type="cellIs" priority="121" operator="equal" aboveAverage="0" equalAverage="0" bottom="0" percent="0" rank="0" text="" dxfId="237">
      <formula>"C1:C774"</formula>
    </cfRule>
  </conditionalFormatting>
  <conditionalFormatting sqref="C16">
    <cfRule type="cellIs" priority="122" operator="equal" aboveAverage="0" equalAverage="0" bottom="0" percent="0" rank="0" text="" dxfId="238">
      <formula>"C1:C774"</formula>
    </cfRule>
  </conditionalFormatting>
  <conditionalFormatting sqref="D3:D21 D24:D25">
    <cfRule type="containsText" priority="123" operator="containsText" aboveAverage="0" equalAverage="0" bottom="0" percent="0" rank="0" text="rus" dxfId="239">
      <formula>NOT(ISERROR(SEARCH("rus",D3)))</formula>
    </cfRule>
    <cfRule type="containsText" priority="124" operator="containsText" aboveAverage="0" equalAverage="0" bottom="0" percent="0" rank="0" text="rus" dxfId="240">
      <formula>NOT(ISERROR(SEARCH("rus",D3)))</formula>
    </cfRule>
    <cfRule type="containsText" priority="125" operator="containsText" aboveAverage="0" equalAverage="0" bottom="0" percent="0" rank="0" text="rus" dxfId="241">
      <formula>NOT(ISERROR(SEARCH("rus",D3)))</formula>
    </cfRule>
  </conditionalFormatting>
  <conditionalFormatting sqref="C3:C21">
    <cfRule type="cellIs" priority="126" operator="equal" aboveAverage="0" equalAverage="0" bottom="0" percent="0" rank="0" text="" dxfId="242">
      <formula>"C1:C774"</formula>
    </cfRule>
  </conditionalFormatting>
  <conditionalFormatting sqref="H1">
    <cfRule type="containsText" priority="127" operator="containsText" aboveAverage="0" equalAverage="0" bottom="0" percent="0" rank="0" text="workstation" dxfId="243">
      <formula>NOT(ISERROR(SEARCH("workstation",H1)))</formula>
    </cfRule>
  </conditionalFormatting>
  <conditionalFormatting sqref="C1">
    <cfRule type="cellIs" priority="128" operator="equal" aboveAverage="0" equalAverage="0" bottom="0" percent="0" rank="0" text="" dxfId="244">
      <formula>"C1:C774"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A100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55"/>
    <col collapsed="false" customWidth="true" hidden="false" outlineLevel="0" max="3" min="3" style="1" width="29"/>
    <col collapsed="false" customWidth="true" hidden="false" outlineLevel="0" max="4" min="4" style="1" width="22.41"/>
    <col collapsed="false" customWidth="true" hidden="false" outlineLevel="0" max="5" min="5" style="1" width="20.14"/>
    <col collapsed="false" customWidth="true" hidden="false" outlineLevel="0" max="7" min="6" style="1" width="20.57"/>
    <col collapsed="false" customWidth="true" hidden="false" outlineLevel="0" max="8" min="8" style="1" width="33.29"/>
    <col collapsed="false" customWidth="true" hidden="false" outlineLevel="0" max="9" min="9" style="1" width="19.57"/>
    <col collapsed="false" customWidth="true" hidden="false" outlineLevel="0" max="10" min="10" style="1" width="24.85"/>
    <col collapsed="false" customWidth="true" hidden="false" outlineLevel="0" max="11" min="11" style="1" width="28.58"/>
    <col collapsed="false" customWidth="true" hidden="false" outlineLevel="0" max="12" min="12" style="0" width="34.25"/>
    <col collapsed="false" customWidth="true" hidden="false" outlineLevel="0" max="15" min="15" style="1" width="21"/>
    <col collapsed="false" customWidth="true" hidden="false" outlineLevel="0" max="16" min="16" style="1" width="26"/>
    <col collapsed="false" customWidth="true" hidden="false" outlineLevel="0" max="20" min="20" style="1" width="21.58"/>
    <col collapsed="false" customWidth="true" hidden="false" outlineLevel="0" max="21" min="21" style="1" width="37.14"/>
    <col collapsed="false" customWidth="true" hidden="false" outlineLevel="0" max="22" min="22" style="1" width="18.29"/>
    <col collapsed="false" customWidth="true" hidden="false" outlineLevel="0" max="24" min="24" style="1" width="16.29"/>
    <col collapsed="false" customWidth="true" hidden="false" outlineLevel="0" max="25" min="25" style="1" width="20.57"/>
  </cols>
  <sheetData>
    <row r="1" customFormat="false" ht="18.75" hidden="false" customHeight="true" outlineLevel="0" collapsed="false">
      <c r="A1" s="207"/>
      <c r="B1" s="208" t="s">
        <v>517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9"/>
      <c r="Q1" s="209"/>
      <c r="R1" s="209"/>
      <c r="S1" s="209"/>
      <c r="T1" s="209"/>
      <c r="U1" s="210"/>
      <c r="V1" s="210"/>
      <c r="W1" s="210"/>
      <c r="X1" s="210"/>
      <c r="Y1" s="210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</row>
    <row r="2" customFormat="false" ht="33.75" hidden="false" customHeight="true" outlineLevel="0" collapsed="false">
      <c r="A2" s="211"/>
      <c r="B2" s="212" t="s">
        <v>518</v>
      </c>
      <c r="C2" s="212" t="s">
        <v>519</v>
      </c>
      <c r="D2" s="212" t="s">
        <v>520</v>
      </c>
      <c r="E2" s="212"/>
      <c r="F2" s="212" t="s">
        <v>521</v>
      </c>
      <c r="G2" s="212" t="s">
        <v>522</v>
      </c>
      <c r="H2" s="212"/>
      <c r="I2" s="212" t="s">
        <v>523</v>
      </c>
      <c r="J2" s="212" t="s">
        <v>524</v>
      </c>
      <c r="K2" s="212" t="s">
        <v>525</v>
      </c>
      <c r="L2" s="212"/>
      <c r="M2" s="212"/>
      <c r="N2" s="212" t="s">
        <v>526</v>
      </c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</row>
    <row r="3" customFormat="false" ht="12.75" hidden="false" customHeight="true" outlineLevel="0" collapsed="false">
      <c r="A3" s="213"/>
      <c r="B3" s="214" t="s">
        <v>527</v>
      </c>
      <c r="C3" s="215" t="s">
        <v>528</v>
      </c>
      <c r="D3" s="216" t="s">
        <v>306</v>
      </c>
      <c r="E3" s="180" t="s">
        <v>28</v>
      </c>
      <c r="F3" s="217" t="s">
        <v>529</v>
      </c>
      <c r="G3" s="174" t="s">
        <v>530</v>
      </c>
      <c r="H3" s="218" t="s">
        <v>528</v>
      </c>
      <c r="I3" s="219" t="s">
        <v>119</v>
      </c>
      <c r="J3" s="220" t="s">
        <v>531</v>
      </c>
      <c r="K3" s="221" t="s">
        <v>532</v>
      </c>
      <c r="L3" s="222" t="s">
        <v>196</v>
      </c>
      <c r="M3" s="223" t="s">
        <v>533</v>
      </c>
      <c r="N3" s="181" t="s">
        <v>534</v>
      </c>
      <c r="O3" s="224" t="s">
        <v>535</v>
      </c>
      <c r="P3" s="192" t="s">
        <v>56</v>
      </c>
      <c r="Q3" s="158" t="s">
        <v>34</v>
      </c>
      <c r="R3" s="169"/>
      <c r="S3" s="169"/>
      <c r="T3" s="225"/>
      <c r="U3" s="225"/>
      <c r="V3" s="186" t="s">
        <v>354</v>
      </c>
      <c r="W3" s="226" t="s">
        <v>536</v>
      </c>
      <c r="X3" s="227" t="s">
        <v>401</v>
      </c>
      <c r="Y3" s="228" t="s">
        <v>537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</row>
    <row r="4" customFormat="false" ht="12.75" hidden="false" customHeight="true" outlineLevel="0" collapsed="false">
      <c r="A4" s="229"/>
      <c r="B4" s="214" t="s">
        <v>538</v>
      </c>
      <c r="C4" s="215" t="s">
        <v>528</v>
      </c>
      <c r="D4" s="214" t="s">
        <v>527</v>
      </c>
      <c r="E4" s="214"/>
      <c r="F4" s="214"/>
      <c r="G4" s="214"/>
      <c r="H4" s="230" t="s">
        <v>528</v>
      </c>
      <c r="I4" s="16" t="s">
        <v>539</v>
      </c>
      <c r="J4" s="16" t="s">
        <v>540</v>
      </c>
      <c r="K4" s="221" t="s">
        <v>541</v>
      </c>
      <c r="L4" s="178" t="s">
        <v>196</v>
      </c>
      <c r="M4" s="223" t="s">
        <v>81</v>
      </c>
      <c r="N4" s="231" t="s">
        <v>542</v>
      </c>
      <c r="O4" s="231" t="s">
        <v>543</v>
      </c>
      <c r="P4" s="172"/>
      <c r="Q4" s="169"/>
      <c r="R4" s="169"/>
      <c r="S4" s="169"/>
      <c r="T4" s="48"/>
      <c r="U4" s="169"/>
      <c r="V4" s="169"/>
      <c r="W4" s="169"/>
      <c r="X4" s="169"/>
      <c r="Y4" s="169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</row>
    <row r="5" customFormat="false" ht="31.5" hidden="false" customHeight="true" outlineLevel="0" collapsed="false">
      <c r="A5" s="9" t="e">
        <f aca="false">#REF!+1</f>
        <v>#REF!</v>
      </c>
      <c r="B5" s="232" t="n">
        <v>13375</v>
      </c>
      <c r="C5" s="11" t="s">
        <v>544</v>
      </c>
      <c r="D5" s="12" t="s">
        <v>27</v>
      </c>
      <c r="E5" s="13" t="s">
        <v>28</v>
      </c>
      <c r="F5" s="14" t="s">
        <v>545</v>
      </c>
      <c r="G5" s="12" t="s">
        <v>546</v>
      </c>
      <c r="H5" s="233" t="s">
        <v>547</v>
      </c>
      <c r="I5" s="234" t="s">
        <v>548</v>
      </c>
      <c r="J5" s="234" t="s">
        <v>114</v>
      </c>
      <c r="K5" s="234" t="s">
        <v>549</v>
      </c>
      <c r="L5" s="234" t="s">
        <v>111</v>
      </c>
      <c r="M5" s="234"/>
      <c r="N5" s="234" t="s">
        <v>550</v>
      </c>
      <c r="O5" s="234" t="s">
        <v>551</v>
      </c>
      <c r="P5" s="234" t="str">
        <f aca="false">"RUTL-" &amp; RIGHT(O5,8)</f>
        <v>RUTL-R90T947H</v>
      </c>
      <c r="Q5" s="234"/>
      <c r="R5" s="234" t="s">
        <v>34</v>
      </c>
      <c r="S5" s="234"/>
      <c r="T5" s="234" t="s">
        <v>57</v>
      </c>
      <c r="U5" s="234" t="s">
        <v>552</v>
      </c>
      <c r="V5" s="234" t="s">
        <v>37</v>
      </c>
      <c r="W5" s="234" t="s">
        <v>38</v>
      </c>
      <c r="X5" s="234" t="s">
        <v>401</v>
      </c>
      <c r="Y5" s="234" t="s">
        <v>553</v>
      </c>
      <c r="Z5" s="234" t="s">
        <v>554</v>
      </c>
      <c r="AA5" s="234" t="s">
        <v>555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</row>
    <row r="6" customFormat="false" ht="12.75" hidden="false" customHeight="true" outlineLevel="0" collapsed="false">
      <c r="A6" s="229"/>
      <c r="B6" s="214"/>
      <c r="C6" s="214" t="s">
        <v>556</v>
      </c>
      <c r="D6" s="214"/>
      <c r="E6" s="214"/>
      <c r="F6" s="214"/>
      <c r="G6" s="214"/>
      <c r="H6" s="230"/>
      <c r="I6" s="16" t="s">
        <v>557</v>
      </c>
      <c r="J6" s="16" t="s">
        <v>558</v>
      </c>
      <c r="K6" s="221"/>
      <c r="L6" s="178"/>
      <c r="M6" s="223" t="s">
        <v>533</v>
      </c>
      <c r="N6" s="231"/>
      <c r="O6" s="231"/>
      <c r="P6" s="172"/>
      <c r="Q6" s="169"/>
      <c r="R6" s="169"/>
      <c r="S6" s="169"/>
      <c r="T6" s="48"/>
      <c r="U6" s="169"/>
      <c r="V6" s="169"/>
      <c r="W6" s="169"/>
      <c r="X6" s="169"/>
      <c r="Y6" s="169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</row>
    <row r="7" customFormat="false" ht="15.75" hidden="false" customHeight="true" outlineLevel="0" collapsed="false">
      <c r="A7" s="235"/>
      <c r="B7" s="185"/>
      <c r="C7" s="185" t="s">
        <v>95</v>
      </c>
      <c r="D7" s="214"/>
      <c r="E7" s="214"/>
      <c r="F7" s="214"/>
      <c r="G7" s="214"/>
      <c r="H7" s="230" t="s">
        <v>559</v>
      </c>
      <c r="I7" s="16" t="s">
        <v>557</v>
      </c>
      <c r="J7" s="16" t="s">
        <v>560</v>
      </c>
      <c r="K7" s="221"/>
      <c r="L7" s="178"/>
      <c r="M7" s="223" t="s">
        <v>533</v>
      </c>
      <c r="N7" s="223" t="s">
        <v>561</v>
      </c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</row>
    <row r="8" customFormat="false" ht="15.75" hidden="false" customHeight="true" outlineLevel="0" collapsed="false">
      <c r="A8" s="235"/>
      <c r="B8" s="185"/>
      <c r="C8" s="185" t="s">
        <v>562</v>
      </c>
      <c r="D8" s="214"/>
      <c r="E8" s="214"/>
      <c r="F8" s="214"/>
      <c r="G8" s="214"/>
      <c r="H8" s="230"/>
      <c r="I8" s="16" t="s">
        <v>557</v>
      </c>
      <c r="J8" s="16" t="s">
        <v>563</v>
      </c>
      <c r="K8" s="221"/>
      <c r="L8" s="178"/>
      <c r="M8" s="223"/>
      <c r="N8" s="223" t="s">
        <v>564</v>
      </c>
      <c r="O8" s="236"/>
      <c r="P8" s="236"/>
      <c r="Q8" s="236"/>
      <c r="R8" s="236"/>
      <c r="S8" s="236"/>
      <c r="T8" s="236"/>
      <c r="U8" s="236"/>
      <c r="V8" s="236"/>
      <c r="W8" s="236"/>
      <c r="X8" s="227" t="s">
        <v>565</v>
      </c>
      <c r="Y8" s="228" t="s">
        <v>566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</row>
    <row r="9" customFormat="false" ht="15.75" hidden="false" customHeight="true" outlineLevel="0" collapsed="false">
      <c r="A9" s="235"/>
      <c r="B9" s="185" t="n">
        <v>1568</v>
      </c>
      <c r="C9" s="185" t="s">
        <v>567</v>
      </c>
      <c r="D9" s="214"/>
      <c r="E9" s="214"/>
      <c r="F9" s="214"/>
      <c r="G9" s="215" t="s">
        <v>568</v>
      </c>
      <c r="H9" s="230"/>
      <c r="I9" s="16" t="s">
        <v>557</v>
      </c>
      <c r="J9" s="16" t="s">
        <v>569</v>
      </c>
      <c r="K9" s="221"/>
      <c r="L9" s="178" t="s">
        <v>570</v>
      </c>
      <c r="M9" s="223"/>
      <c r="N9" s="223" t="s">
        <v>571</v>
      </c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</row>
    <row r="10" customFormat="false" ht="71.25" hidden="false" customHeight="true" outlineLevel="0" collapsed="false">
      <c r="A10" s="9" t="e">
        <f aca="false">#REF!+1</f>
        <v>#REF!</v>
      </c>
      <c r="B10" s="10" t="n">
        <v>11355</v>
      </c>
      <c r="C10" s="237" t="s">
        <v>572</v>
      </c>
      <c r="D10" s="12" t="s">
        <v>27</v>
      </c>
      <c r="E10" s="13" t="s">
        <v>28</v>
      </c>
      <c r="F10" s="238" t="s">
        <v>573</v>
      </c>
      <c r="G10" s="12" t="s">
        <v>574</v>
      </c>
      <c r="H10" s="239" t="s">
        <v>575</v>
      </c>
      <c r="I10" s="16" t="s">
        <v>50</v>
      </c>
      <c r="J10" s="16" t="s">
        <v>576</v>
      </c>
      <c r="K10" s="240" t="s">
        <v>577</v>
      </c>
      <c r="L10" s="241"/>
      <c r="M10" s="241"/>
      <c r="N10" s="12" t="s">
        <v>578</v>
      </c>
      <c r="O10" s="9" t="s">
        <v>579</v>
      </c>
      <c r="P10" s="86" t="str">
        <f aca="false">"RUTL-" &amp; RIGHT(O10,8)</f>
        <v>RUTL-14D13000</v>
      </c>
      <c r="Q10" s="49" t="s">
        <v>56</v>
      </c>
      <c r="R10" s="9" t="s">
        <v>34</v>
      </c>
      <c r="S10" s="9"/>
      <c r="T10" s="9"/>
      <c r="U10" s="242"/>
      <c r="V10" s="12" t="s">
        <v>37</v>
      </c>
      <c r="W10" s="87" t="s">
        <v>580</v>
      </c>
      <c r="X10" s="243" t="s">
        <v>417</v>
      </c>
      <c r="Y10" s="9" t="s">
        <v>581</v>
      </c>
      <c r="Z10" s="9"/>
      <c r="AA10" s="9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</row>
    <row r="11" customFormat="false" ht="29.25" hidden="false" customHeight="true" outlineLevel="0" collapsed="false">
      <c r="A11" s="169"/>
      <c r="B11" s="169" t="n">
        <v>12657</v>
      </c>
      <c r="C11" s="169" t="s">
        <v>582</v>
      </c>
      <c r="D11" s="244"/>
      <c r="E11" s="169"/>
      <c r="F11" s="245"/>
      <c r="G11" s="169"/>
      <c r="H11" s="169"/>
      <c r="I11" s="169" t="s">
        <v>583</v>
      </c>
      <c r="J11" s="169" t="s">
        <v>584</v>
      </c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</row>
    <row r="12" customFormat="false" ht="29.25" hidden="false" customHeight="true" outlineLevel="0" collapsed="false">
      <c r="A12" s="25"/>
      <c r="B12" s="25"/>
      <c r="C12" s="25"/>
      <c r="D12" s="246"/>
      <c r="E12" s="25"/>
      <c r="F12" s="247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</row>
    <row r="13" customFormat="false" ht="29.25" hidden="false" customHeight="true" outlineLevel="0" collapsed="false">
      <c r="A13" s="25"/>
      <c r="B13" s="25"/>
      <c r="C13" s="25"/>
      <c r="D13" s="248" t="s">
        <v>585</v>
      </c>
      <c r="E13" s="25"/>
      <c r="F13" s="247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</row>
    <row r="14" customFormat="false" ht="15.75" hidden="false" customHeight="true" outlineLevel="0" collapsed="false">
      <c r="A14" s="25"/>
      <c r="B14" s="25"/>
      <c r="C14" s="249" t="s">
        <v>586</v>
      </c>
      <c r="D14" s="249" t="s">
        <v>587</v>
      </c>
      <c r="E14" s="249" t="s">
        <v>588</v>
      </c>
      <c r="F14" s="249" t="s">
        <v>589</v>
      </c>
      <c r="G14" s="249" t="s">
        <v>590</v>
      </c>
      <c r="H14" s="249" t="s">
        <v>591</v>
      </c>
      <c r="I14" s="249" t="s">
        <v>592</v>
      </c>
      <c r="J14" s="249" t="s">
        <v>593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</row>
    <row r="15" customFormat="false" ht="73.5" hidden="false" customHeight="true" outlineLevel="0" collapsed="false">
      <c r="A15" s="25"/>
      <c r="B15" s="25"/>
      <c r="C15" s="25"/>
      <c r="D15" s="250" t="n">
        <f aca="false">SUM(E15:J15)</f>
        <v>35</v>
      </c>
      <c r="E15" s="249" t="n">
        <f aca="false">COUNTA('ПК с 1 владельцем'!P:P)-1</f>
        <v>1</v>
      </c>
      <c r="F15" s="251" t="n">
        <f aca="false">COUNTA('ПК с 2 и более владельцами'!P:P)-1</f>
        <v>2</v>
      </c>
      <c r="G15" s="251" t="n">
        <f aca="false">COUNTA('Технические ПК'!P:P)-1</f>
        <v>2</v>
      </c>
      <c r="H15" s="249" t="n">
        <f aca="false">COUNTA('Склад, ремонт, ожидающие'!P:P)-1</f>
        <v>1</v>
      </c>
      <c r="I15" s="251" t="n">
        <f aca="false">COUNTA('ДонМотор(КАЛУГА)'!N:N)-1</f>
        <v>23</v>
      </c>
      <c r="J15" s="251" t="n">
        <f aca="false">COUNTA('ОПГ РНДМоушен'!O:O)-1</f>
        <v>6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</row>
    <row r="16" customFormat="false" ht="81.75" hidden="false" customHeight="true" outlineLevel="0" collapsed="false">
      <c r="A16" s="25"/>
      <c r="B16" s="25"/>
      <c r="C16" s="252" t="s">
        <v>594</v>
      </c>
      <c r="D16" s="253" t="n">
        <f aca="false">(622+130+1+21+3+5+18+5+2+15+5+16+20+89)-10+(39+4+59+53+38)-9-14-2</f>
        <v>1110</v>
      </c>
      <c r="E16" s="25"/>
      <c r="F16" s="25"/>
      <c r="G16" s="25"/>
      <c r="H16" s="254" t="s">
        <v>595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</row>
    <row r="17" customFormat="false" ht="26.25" hidden="false" customHeight="true" outlineLevel="0" collapsed="false">
      <c r="B17" s="246" t="s">
        <v>596</v>
      </c>
      <c r="H17" s="246" t="n">
        <f aca="false">H15-(5+8+3+14)</f>
        <v>-29</v>
      </c>
    </row>
    <row r="18" customFormat="false" ht="15.75" hidden="false" customHeight="true" outlineLevel="0" collapsed="false">
      <c r="B18" s="246" t="s">
        <v>597</v>
      </c>
    </row>
    <row r="19" customFormat="false" ht="15.75" hidden="false" customHeight="true" outlineLevel="0" collapsed="false">
      <c r="B19" s="246" t="s">
        <v>598</v>
      </c>
    </row>
    <row r="20" customFormat="false" ht="15.75" hidden="false" customHeight="true" outlineLevel="0" collapsed="false">
      <c r="B20" s="246" t="s">
        <v>599</v>
      </c>
    </row>
    <row r="21" customFormat="false" ht="15.75" hidden="false" customHeight="true" outlineLevel="0" collapsed="false">
      <c r="B21" s="246" t="s">
        <v>600</v>
      </c>
      <c r="I21" s="246" t="s">
        <v>601</v>
      </c>
    </row>
    <row r="22" customFormat="false" ht="15.75" hidden="false" customHeight="true" outlineLevel="0" collapsed="false">
      <c r="B22" s="246" t="s">
        <v>602</v>
      </c>
    </row>
    <row r="23" customFormat="false" ht="15.75" hidden="false" customHeight="true" outlineLevel="0" collapsed="false">
      <c r="B23" s="246" t="s">
        <v>603</v>
      </c>
    </row>
    <row r="24" customFormat="false" ht="15.75" hidden="false" customHeight="true" outlineLevel="0" collapsed="false">
      <c r="B24" s="246" t="s">
        <v>604</v>
      </c>
    </row>
    <row r="25" customFormat="false" ht="15.75" hidden="false" customHeight="true" outlineLevel="0" collapsed="false">
      <c r="B25" s="246" t="s">
        <v>605</v>
      </c>
    </row>
    <row r="26" customFormat="false" ht="15.75" hidden="false" customHeight="true" outlineLevel="0" collapsed="false">
      <c r="B26" s="246" t="s">
        <v>606</v>
      </c>
    </row>
    <row r="27" customFormat="false" ht="15.75" hidden="false" customHeight="true" outlineLevel="0" collapsed="false">
      <c r="B27" s="246" t="s">
        <v>607</v>
      </c>
    </row>
    <row r="28" customFormat="false" ht="15.75" hidden="false" customHeight="true" outlineLevel="0" collapsed="false">
      <c r="B28" s="246" t="s">
        <v>608</v>
      </c>
    </row>
    <row r="29" customFormat="false" ht="15.75" hidden="false" customHeight="true" outlineLevel="0" collapsed="false">
      <c r="B29" s="246" t="s">
        <v>609</v>
      </c>
    </row>
    <row r="30" customFormat="false" ht="15.75" hidden="false" customHeight="true" outlineLevel="0" collapsed="false">
      <c r="B30" s="246" t="s">
        <v>610</v>
      </c>
    </row>
    <row r="31" customFormat="false" ht="15.75" hidden="false" customHeight="true" outlineLevel="0" collapsed="false">
      <c r="B31" s="246" t="s">
        <v>611</v>
      </c>
    </row>
    <row r="32" customFormat="false" ht="15.75" hidden="false" customHeight="true" outlineLevel="0" collapsed="false">
      <c r="B32" s="246" t="s">
        <v>612</v>
      </c>
    </row>
    <row r="33" customFormat="false" ht="15.75" hidden="false" customHeight="true" outlineLevel="0" collapsed="false">
      <c r="B33" s="246" t="s">
        <v>613</v>
      </c>
    </row>
    <row r="34" customFormat="false" ht="15.75" hidden="false" customHeight="true" outlineLevel="0" collapsed="false">
      <c r="B34" s="246" t="s">
        <v>614</v>
      </c>
    </row>
    <row r="35" customFormat="false" ht="15.75" hidden="false" customHeight="true" outlineLevel="0" collapsed="false">
      <c r="B35" s="246" t="s">
        <v>615</v>
      </c>
    </row>
    <row r="36" customFormat="false" ht="15.75" hidden="false" customHeight="true" outlineLevel="0" collapsed="false">
      <c r="B36" s="246" t="s">
        <v>616</v>
      </c>
    </row>
    <row r="37" customFormat="false" ht="15.75" hidden="false" customHeight="true" outlineLevel="0" collapsed="false">
      <c r="B37" s="246" t="s">
        <v>617</v>
      </c>
    </row>
    <row r="38" customFormat="false" ht="15.75" hidden="false" customHeight="true" outlineLevel="0" collapsed="false">
      <c r="B38" s="246" t="s">
        <v>618</v>
      </c>
    </row>
    <row r="39" customFormat="false" ht="15.75" hidden="false" customHeight="true" outlineLevel="0" collapsed="false">
      <c r="B39" s="246" t="s">
        <v>619</v>
      </c>
    </row>
    <row r="40" customFormat="false" ht="15.75" hidden="false" customHeight="true" outlineLevel="0" collapsed="false">
      <c r="B40" s="246" t="s">
        <v>620</v>
      </c>
    </row>
    <row r="41" customFormat="false" ht="15.75" hidden="false" customHeight="true" outlineLevel="0" collapsed="false">
      <c r="B41" s="246" t="s">
        <v>621</v>
      </c>
    </row>
    <row r="42" customFormat="false" ht="15.75" hidden="false" customHeight="true" outlineLevel="0" collapsed="false">
      <c r="B42" s="246" t="s">
        <v>622</v>
      </c>
    </row>
    <row r="43" customFormat="false" ht="15.75" hidden="false" customHeight="true" outlineLevel="0" collapsed="false">
      <c r="B43" s="246" t="s">
        <v>623</v>
      </c>
    </row>
    <row r="44" customFormat="false" ht="15.75" hidden="false" customHeight="true" outlineLevel="0" collapsed="false">
      <c r="B44" s="246" t="s">
        <v>624</v>
      </c>
    </row>
    <row r="45" customFormat="false" ht="15.75" hidden="false" customHeight="true" outlineLevel="0" collapsed="false">
      <c r="B45" s="246" t="s">
        <v>625</v>
      </c>
    </row>
    <row r="46" customFormat="false" ht="15.75" hidden="false" customHeight="true" outlineLevel="0" collapsed="false">
      <c r="B46" s="246" t="s">
        <v>626</v>
      </c>
    </row>
    <row r="47" customFormat="false" ht="15.75" hidden="false" customHeight="true" outlineLevel="0" collapsed="false">
      <c r="B47" s="246" t="s">
        <v>627</v>
      </c>
    </row>
    <row r="48" customFormat="false" ht="15.75" hidden="false" customHeight="true" outlineLevel="0" collapsed="false">
      <c r="B48" s="246" t="s">
        <v>628</v>
      </c>
    </row>
    <row r="49" customFormat="false" ht="15.75" hidden="false" customHeight="true" outlineLevel="0" collapsed="false">
      <c r="B49" s="246" t="s">
        <v>629</v>
      </c>
    </row>
    <row r="50" customFormat="false" ht="15.75" hidden="false" customHeight="true" outlineLevel="0" collapsed="false">
      <c r="B50" s="246" t="s">
        <v>630</v>
      </c>
    </row>
    <row r="51" customFormat="false" ht="15.75" hidden="false" customHeight="true" outlineLevel="0" collapsed="false">
      <c r="B51" s="246" t="s">
        <v>631</v>
      </c>
    </row>
    <row r="52" customFormat="false" ht="15.75" hidden="false" customHeight="true" outlineLevel="0" collapsed="false">
      <c r="B52" s="246" t="s">
        <v>632</v>
      </c>
    </row>
    <row r="53" customFormat="false" ht="15.75" hidden="false" customHeight="true" outlineLevel="0" collapsed="false">
      <c r="B53" s="246" t="s">
        <v>633</v>
      </c>
    </row>
    <row r="54" customFormat="false" ht="15.75" hidden="false" customHeight="true" outlineLevel="0" collapsed="false">
      <c r="B54" s="246" t="s">
        <v>634</v>
      </c>
    </row>
    <row r="55" customFormat="false" ht="15.75" hidden="false" customHeight="true" outlineLevel="0" collapsed="false">
      <c r="B55" s="246" t="s">
        <v>635</v>
      </c>
    </row>
    <row r="56" customFormat="false" ht="15.75" hidden="false" customHeight="true" outlineLevel="0" collapsed="false">
      <c r="B56" s="246" t="s">
        <v>636</v>
      </c>
    </row>
    <row r="57" customFormat="false" ht="15.75" hidden="false" customHeight="true" outlineLevel="0" collapsed="false">
      <c r="B57" s="246" t="s">
        <v>637</v>
      </c>
    </row>
    <row r="58" customFormat="false" ht="15.75" hidden="false" customHeight="true" outlineLevel="0" collapsed="false">
      <c r="B58" s="246" t="s">
        <v>638</v>
      </c>
      <c r="C58" s="246" t="n">
        <f aca="false">791+15+16+19+2</f>
        <v>843</v>
      </c>
      <c r="D58" s="246" t="n">
        <f aca="false">791+15+16+19+2</f>
        <v>843</v>
      </c>
    </row>
    <row r="59" customFormat="false" ht="15.75" hidden="false" customHeight="true" outlineLevel="0" collapsed="false">
      <c r="B59" s="255" t="s">
        <v>639</v>
      </c>
      <c r="C59" s="246" t="n">
        <f aca="false">843-9</f>
        <v>834</v>
      </c>
    </row>
    <row r="60" customFormat="false" ht="93.75" hidden="false" customHeight="true" outlineLevel="0" collapsed="false">
      <c r="B60" s="256" t="s">
        <v>640</v>
      </c>
      <c r="C60" s="246" t="n">
        <f aca="false">(823+19+2+20)-9</f>
        <v>855</v>
      </c>
    </row>
    <row r="61" customFormat="false" ht="83.25" hidden="false" customHeight="true" outlineLevel="0" collapsed="false">
      <c r="B61" s="256" t="s">
        <v>641</v>
      </c>
      <c r="C61" s="246" t="n">
        <f aca="false">823+20+23+39-9</f>
        <v>896</v>
      </c>
    </row>
    <row r="62" customFormat="false" ht="15.75" hidden="false" customHeight="true" outlineLevel="0" collapsed="false">
      <c r="B62" s="256" t="s">
        <v>642</v>
      </c>
      <c r="C62" s="246" t="n">
        <f aca="false">823+20+23+39-18</f>
        <v>887</v>
      </c>
    </row>
    <row r="63" customFormat="false" ht="15.75" hidden="false" customHeight="true" outlineLevel="0" collapsed="false">
      <c r="B63" s="256" t="s">
        <v>643</v>
      </c>
      <c r="C63" s="246" t="n">
        <f aca="false">823+20+23+39+59-18</f>
        <v>946</v>
      </c>
    </row>
    <row r="64" customFormat="false" ht="15.75" hidden="false" customHeight="true" outlineLevel="0" collapsed="false">
      <c r="B64" s="256" t="s">
        <v>644</v>
      </c>
      <c r="C64" s="246" t="n">
        <f aca="false">823+20+23+39+59-32</f>
        <v>932</v>
      </c>
    </row>
    <row r="65" customFormat="false" ht="15.75" hidden="false" customHeight="true" outlineLevel="0" collapsed="false">
      <c r="B65" s="256" t="s">
        <v>645</v>
      </c>
      <c r="C65" s="246" t="n">
        <f aca="false">(823+20+23+39+59)-(9+9+14+2)</f>
        <v>930</v>
      </c>
    </row>
    <row r="66" customFormat="false" ht="15.75" hidden="false" customHeight="true" outlineLevel="0" collapsed="false">
      <c r="B66" s="256" t="s">
        <v>646</v>
      </c>
      <c r="C66" s="246" t="n">
        <f aca="false">(823+20+23+39+59+53+38)-(9+9+14+2)</f>
        <v>1021</v>
      </c>
    </row>
    <row r="67" customFormat="false" ht="15.75" hidden="false" customHeight="true" outlineLevel="0" collapsed="false">
      <c r="B67" s="256" t="s">
        <v>647</v>
      </c>
      <c r="C67" s="246" t="n">
        <f aca="false">(823+20+23+39+59+53+38+89)-(9+9+14+2)</f>
        <v>1110</v>
      </c>
    </row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1">
    <mergeCell ref="B1:O1"/>
  </mergeCells>
  <conditionalFormatting sqref="E10">
    <cfRule type="containsText" priority="2" operator="containsText" aboveAverage="0" equalAverage="0" bottom="0" percent="0" rank="0" text="rus" dxfId="245">
      <formula>NOT(ISERROR(SEARCH("rus",E10)))</formula>
    </cfRule>
  </conditionalFormatting>
  <conditionalFormatting sqref="E10">
    <cfRule type="containsText" priority="3" operator="containsText" aboveAverage="0" equalAverage="0" bottom="0" percent="0" rank="0" text="rus" dxfId="246">
      <formula>NOT(ISERROR(SEARCH("rus",E10)))</formula>
    </cfRule>
  </conditionalFormatting>
  <conditionalFormatting sqref="C10">
    <cfRule type="cellIs" priority="4" operator="equal" aboveAverage="0" equalAverage="0" bottom="0" percent="0" rank="0" text="" dxfId="247">
      <formula>"C1:C774"</formula>
    </cfRule>
  </conditionalFormatting>
  <conditionalFormatting sqref="C10">
    <cfRule type="cellIs" priority="5" operator="equal" aboveAverage="0" equalAverage="0" bottom="0" percent="0" rank="0" text="" dxfId="248">
      <formula>"C1:C774"</formula>
    </cfRule>
  </conditionalFormatting>
  <conditionalFormatting sqref="C10">
    <cfRule type="cellIs" priority="6" operator="equal" aboveAverage="0" equalAverage="0" bottom="0" percent="0" rank="0" text="" dxfId="249">
      <formula>"C1:C774"</formula>
    </cfRule>
  </conditionalFormatting>
  <conditionalFormatting sqref="C10">
    <cfRule type="cellIs" priority="7" operator="equal" aboveAverage="0" equalAverage="0" bottom="0" percent="0" rank="0" text="" dxfId="250">
      <formula>"C1:C774"</formula>
    </cfRule>
  </conditionalFormatting>
  <conditionalFormatting sqref="C10">
    <cfRule type="cellIs" priority="8" operator="equal" aboveAverage="0" equalAverage="0" bottom="0" percent="0" rank="0" text="" dxfId="251">
      <formula>"C1:C774"</formula>
    </cfRule>
  </conditionalFormatting>
  <conditionalFormatting sqref="C10">
    <cfRule type="cellIs" priority="9" operator="equal" aboveAverage="0" equalAverage="0" bottom="0" percent="0" rank="0" text="" dxfId="252">
      <formula>"C1:C774"</formula>
    </cfRule>
  </conditionalFormatting>
  <conditionalFormatting sqref="C10">
    <cfRule type="cellIs" priority="10" operator="equal" aboveAverage="0" equalAverage="0" bottom="0" percent="0" rank="0" text="" dxfId="253">
      <formula>"C1:C774"</formula>
    </cfRule>
  </conditionalFormatting>
  <conditionalFormatting sqref="C10">
    <cfRule type="cellIs" priority="11" operator="equal" aboveAverage="0" equalAverage="0" bottom="0" percent="0" rank="0" text="" dxfId="254">
      <formula>"C1:C774"</formula>
    </cfRule>
  </conditionalFormatting>
  <conditionalFormatting sqref="C10">
    <cfRule type="cellIs" priority="12" operator="equal" aboveAverage="0" equalAverage="0" bottom="0" percent="0" rank="0" text="" dxfId="255">
      <formula>"C1:C774"</formula>
    </cfRule>
  </conditionalFormatting>
  <conditionalFormatting sqref="C10">
    <cfRule type="cellIs" priority="13" operator="equal" aboveAverage="0" equalAverage="0" bottom="0" percent="0" rank="0" text="" dxfId="256">
      <formula>"C1:C774"</formula>
    </cfRule>
  </conditionalFormatting>
  <conditionalFormatting sqref="C10">
    <cfRule type="cellIs" priority="14" operator="equal" aboveAverage="0" equalAverage="0" bottom="0" percent="0" rank="0" text="" dxfId="257">
      <formula>"C1:C774"</formula>
    </cfRule>
  </conditionalFormatting>
  <conditionalFormatting sqref="C10">
    <cfRule type="cellIs" priority="15" operator="equal" aboveAverage="0" equalAverage="0" bottom="0" percent="0" rank="0" text="" dxfId="258">
      <formula>"C1:C774"</formula>
    </cfRule>
  </conditionalFormatting>
  <conditionalFormatting sqref="C10">
    <cfRule type="cellIs" priority="16" operator="equal" aboveAverage="0" equalAverage="0" bottom="0" percent="0" rank="0" text="" dxfId="259">
      <formula>"C1:C774"</formula>
    </cfRule>
  </conditionalFormatting>
  <conditionalFormatting sqref="C10">
    <cfRule type="cellIs" priority="17" operator="equal" aboveAverage="0" equalAverage="0" bottom="0" percent="0" rank="0" text="" dxfId="260">
      <formula>"C1:C774"</formula>
    </cfRule>
  </conditionalFormatting>
  <conditionalFormatting sqref="C10">
    <cfRule type="cellIs" priority="18" operator="equal" aboveAverage="0" equalAverage="0" bottom="0" percent="0" rank="0" text="" dxfId="261">
      <formula>"C1:C774"</formula>
    </cfRule>
  </conditionalFormatting>
  <conditionalFormatting sqref="C10">
    <cfRule type="cellIs" priority="19" operator="equal" aboveAverage="0" equalAverage="0" bottom="0" percent="0" rank="0" text="" dxfId="262">
      <formula>"C1:C774"</formula>
    </cfRule>
  </conditionalFormatting>
  <conditionalFormatting sqref="C10">
    <cfRule type="cellIs" priority="20" operator="equal" aboveAverage="0" equalAverage="0" bottom="0" percent="0" rank="0" text="" dxfId="263">
      <formula>"C1:C774"</formula>
    </cfRule>
  </conditionalFormatting>
  <conditionalFormatting sqref="C10">
    <cfRule type="cellIs" priority="21" operator="equal" aboveAverage="0" equalAverage="0" bottom="0" percent="0" rank="0" text="" dxfId="264">
      <formula>"C1:C774"</formula>
    </cfRule>
  </conditionalFormatting>
  <conditionalFormatting sqref="C10">
    <cfRule type="cellIs" priority="22" operator="equal" aboveAverage="0" equalAverage="0" bottom="0" percent="0" rank="0" text="" dxfId="265">
      <formula>"C1:C774"</formula>
    </cfRule>
  </conditionalFormatting>
  <conditionalFormatting sqref="C10">
    <cfRule type="cellIs" priority="23" operator="equal" aboveAverage="0" equalAverage="0" bottom="0" percent="0" rank="0" text="" dxfId="266">
      <formula>"C1:C774"</formula>
    </cfRule>
  </conditionalFormatting>
  <conditionalFormatting sqref="C10">
    <cfRule type="cellIs" priority="24" operator="equal" aboveAverage="0" equalAverage="0" bottom="0" percent="0" rank="0" text="" dxfId="267">
      <formula>"C1:C774"</formula>
    </cfRule>
  </conditionalFormatting>
  <conditionalFormatting sqref="C10">
    <cfRule type="cellIs" priority="25" operator="equal" aboveAverage="0" equalAverage="0" bottom="0" percent="0" rank="0" text="" dxfId="268">
      <formula>"C1:C774"</formula>
    </cfRule>
  </conditionalFormatting>
  <conditionalFormatting sqref="C10">
    <cfRule type="cellIs" priority="26" operator="equal" aboveAverage="0" equalAverage="0" bottom="0" percent="0" rank="0" text="" dxfId="269">
      <formula>"C1:C774"</formula>
    </cfRule>
  </conditionalFormatting>
  <conditionalFormatting sqref="C10">
    <cfRule type="cellIs" priority="27" operator="equal" aboveAverage="0" equalAverage="0" bottom="0" percent="0" rank="0" text="" dxfId="270">
      <formula>"C1:C774"</formula>
    </cfRule>
  </conditionalFormatting>
  <conditionalFormatting sqref="C10">
    <cfRule type="cellIs" priority="28" operator="equal" aboveAverage="0" equalAverage="0" bottom="0" percent="0" rank="0" text="" dxfId="271">
      <formula>"C1:C774"</formula>
    </cfRule>
  </conditionalFormatting>
  <conditionalFormatting sqref="C10">
    <cfRule type="cellIs" priority="29" operator="equal" aboveAverage="0" equalAverage="0" bottom="0" percent="0" rank="0" text="" dxfId="272">
      <formula>"C1:C774"</formula>
    </cfRule>
  </conditionalFormatting>
  <conditionalFormatting sqref="C10">
    <cfRule type="cellIs" priority="30" operator="equal" aboveAverage="0" equalAverage="0" bottom="0" percent="0" rank="0" text="" dxfId="273">
      <formula>"C1:C774"</formula>
    </cfRule>
  </conditionalFormatting>
  <conditionalFormatting sqref="C10">
    <cfRule type="cellIs" priority="31" operator="equal" aboveAverage="0" equalAverage="0" bottom="0" percent="0" rank="0" text="" dxfId="274">
      <formula>"C1:C774"</formula>
    </cfRule>
  </conditionalFormatting>
  <conditionalFormatting sqref="C10">
    <cfRule type="cellIs" priority="32" operator="equal" aboveAverage="0" equalAverage="0" bottom="0" percent="0" rank="0" text="" dxfId="275">
      <formula>"C1:C774"</formula>
    </cfRule>
  </conditionalFormatting>
  <conditionalFormatting sqref="C10">
    <cfRule type="cellIs" priority="33" operator="equal" aboveAverage="0" equalAverage="0" bottom="0" percent="0" rank="0" text="" dxfId="276">
      <formula>"C1:C774"</formula>
    </cfRule>
  </conditionalFormatting>
  <conditionalFormatting sqref="C10">
    <cfRule type="cellIs" priority="34" operator="equal" aboveAverage="0" equalAverage="0" bottom="0" percent="0" rank="0" text="" dxfId="277">
      <formula>"C1:C774"</formula>
    </cfRule>
  </conditionalFormatting>
  <conditionalFormatting sqref="C10">
    <cfRule type="cellIs" priority="35" operator="equal" aboveAverage="0" equalAverage="0" bottom="0" percent="0" rank="0" text="" dxfId="278">
      <formula>"C1:C774"</formula>
    </cfRule>
  </conditionalFormatting>
  <conditionalFormatting sqref="C10">
    <cfRule type="cellIs" priority="36" operator="equal" aboveAverage="0" equalAverage="0" bottom="0" percent="0" rank="0" text="" dxfId="279">
      <formula>"C1:C774"</formula>
    </cfRule>
  </conditionalFormatting>
  <conditionalFormatting sqref="C10">
    <cfRule type="cellIs" priority="37" operator="equal" aboveAverage="0" equalAverage="0" bottom="0" percent="0" rank="0" text="" dxfId="280">
      <formula>"C1:C774"</formula>
    </cfRule>
  </conditionalFormatting>
  <conditionalFormatting sqref="C10">
    <cfRule type="cellIs" priority="38" operator="equal" aboveAverage="0" equalAverage="0" bottom="0" percent="0" rank="0" text="" dxfId="281">
      <formula>"C1:C774"</formula>
    </cfRule>
  </conditionalFormatting>
  <conditionalFormatting sqref="C10">
    <cfRule type="cellIs" priority="39" operator="equal" aboveAverage="0" equalAverage="0" bottom="0" percent="0" rank="0" text="" dxfId="282">
      <formula>"C1:C774"</formula>
    </cfRule>
  </conditionalFormatting>
  <conditionalFormatting sqref="C10">
    <cfRule type="cellIs" priority="40" operator="equal" aboveAverage="0" equalAverage="0" bottom="0" percent="0" rank="0" text="" dxfId="283">
      <formula>"C1:C774"</formula>
    </cfRule>
  </conditionalFormatting>
  <conditionalFormatting sqref="C10">
    <cfRule type="cellIs" priority="41" operator="equal" aboveAverage="0" equalAverage="0" bottom="0" percent="0" rank="0" text="" dxfId="284">
      <formula>"C1:C774"</formula>
    </cfRule>
  </conditionalFormatting>
  <conditionalFormatting sqref="C10">
    <cfRule type="cellIs" priority="42" operator="equal" aboveAverage="0" equalAverage="0" bottom="0" percent="0" rank="0" text="" dxfId="285">
      <formula>"C1:C774"</formula>
    </cfRule>
  </conditionalFormatting>
  <conditionalFormatting sqref="C10">
    <cfRule type="cellIs" priority="43" operator="equal" aboveAverage="0" equalAverage="0" bottom="0" percent="0" rank="0" text="" dxfId="286">
      <formula>"C1:C774"</formula>
    </cfRule>
  </conditionalFormatting>
  <conditionalFormatting sqref="C10">
    <cfRule type="cellIs" priority="44" operator="equal" aboveAverage="0" equalAverage="0" bottom="0" percent="0" rank="0" text="" dxfId="287">
      <formula>"C1:C774"</formula>
    </cfRule>
  </conditionalFormatting>
  <conditionalFormatting sqref="C10">
    <cfRule type="cellIs" priority="45" operator="equal" aboveAverage="0" equalAverage="0" bottom="0" percent="0" rank="0" text="" dxfId="288">
      <formula>"C1:C774"</formula>
    </cfRule>
  </conditionalFormatting>
  <conditionalFormatting sqref="C10">
    <cfRule type="cellIs" priority="46" operator="equal" aboveAverage="0" equalAverage="0" bottom="0" percent="0" rank="0" text="" dxfId="289">
      <formula>"C1:C774"</formula>
    </cfRule>
  </conditionalFormatting>
  <conditionalFormatting sqref="C10">
    <cfRule type="cellIs" priority="47" operator="equal" aboveAverage="0" equalAverage="0" bottom="0" percent="0" rank="0" text="" dxfId="290">
      <formula>"C1:C774"</formula>
    </cfRule>
  </conditionalFormatting>
  <conditionalFormatting sqref="C10">
    <cfRule type="cellIs" priority="48" operator="equal" aboveAverage="0" equalAverage="0" bottom="0" percent="0" rank="0" text="" dxfId="291">
      <formula>"C1:C774"</formula>
    </cfRule>
  </conditionalFormatting>
  <conditionalFormatting sqref="C10">
    <cfRule type="cellIs" priority="49" operator="equal" aboveAverage="0" equalAverage="0" bottom="0" percent="0" rank="0" text="" dxfId="292">
      <formula>"C1:C774"</formula>
    </cfRule>
  </conditionalFormatting>
  <conditionalFormatting sqref="C10">
    <cfRule type="cellIs" priority="50" operator="equal" aboveAverage="0" equalAverage="0" bottom="0" percent="0" rank="0" text="" dxfId="293">
      <formula>"C1:C774"</formula>
    </cfRule>
  </conditionalFormatting>
  <conditionalFormatting sqref="C10">
    <cfRule type="cellIs" priority="51" operator="equal" aboveAverage="0" equalAverage="0" bottom="0" percent="0" rank="0" text="" dxfId="294">
      <formula>"C1:C774"</formula>
    </cfRule>
  </conditionalFormatting>
  <conditionalFormatting sqref="C10">
    <cfRule type="cellIs" priority="52" operator="equal" aboveAverage="0" equalAverage="0" bottom="0" percent="0" rank="0" text="" dxfId="295">
      <formula>"C1:C774"</formula>
    </cfRule>
  </conditionalFormatting>
  <conditionalFormatting sqref="C10">
    <cfRule type="cellIs" priority="53" operator="equal" aboveAverage="0" equalAverage="0" bottom="0" percent="0" rank="0" text="" dxfId="296">
      <formula>"C1:C774"</formula>
    </cfRule>
  </conditionalFormatting>
  <conditionalFormatting sqref="C10">
    <cfRule type="cellIs" priority="54" operator="equal" aboveAverage="0" equalAverage="0" bottom="0" percent="0" rank="0" text="" dxfId="297">
      <formula>"C1:C774"</formula>
    </cfRule>
  </conditionalFormatting>
  <conditionalFormatting sqref="C10">
    <cfRule type="cellIs" priority="55" operator="equal" aboveAverage="0" equalAverage="0" bottom="0" percent="0" rank="0" text="" dxfId="298">
      <formula>"C1:C774"</formula>
    </cfRule>
  </conditionalFormatting>
  <conditionalFormatting sqref="C10">
    <cfRule type="cellIs" priority="56" operator="equal" aboveAverage="0" equalAverage="0" bottom="0" percent="0" rank="0" text="" dxfId="299">
      <formula>"C1:C774"</formula>
    </cfRule>
  </conditionalFormatting>
  <conditionalFormatting sqref="C10">
    <cfRule type="cellIs" priority="57" operator="equal" aboveAverage="0" equalAverage="0" bottom="0" percent="0" rank="0" text="" dxfId="300">
      <formula>"C1:C774"</formula>
    </cfRule>
  </conditionalFormatting>
  <conditionalFormatting sqref="C10">
    <cfRule type="cellIs" priority="58" operator="equal" aboveAverage="0" equalAverage="0" bottom="0" percent="0" rank="0" text="" dxfId="301">
      <formula>"C1:C774"</formula>
    </cfRule>
  </conditionalFormatting>
  <conditionalFormatting sqref="C10">
    <cfRule type="cellIs" priority="59" operator="equal" aboveAverage="0" equalAverage="0" bottom="0" percent="0" rank="0" text="" dxfId="302">
      <formula>"C1:C774"</formula>
    </cfRule>
  </conditionalFormatting>
  <conditionalFormatting sqref="C10">
    <cfRule type="cellIs" priority="60" operator="equal" aboveAverage="0" equalAverage="0" bottom="0" percent="0" rank="0" text="" dxfId="303">
      <formula>"C1:C774"</formula>
    </cfRule>
  </conditionalFormatting>
  <conditionalFormatting sqref="C10">
    <cfRule type="cellIs" priority="61" operator="equal" aboveAverage="0" equalAverage="0" bottom="0" percent="0" rank="0" text="" dxfId="304">
      <formula>"C1:C774"</formula>
    </cfRule>
  </conditionalFormatting>
  <conditionalFormatting sqref="C10">
    <cfRule type="cellIs" priority="62" operator="equal" aboveAverage="0" equalAverage="0" bottom="0" percent="0" rank="0" text="" dxfId="305">
      <formula>"C1:C774"</formula>
    </cfRule>
  </conditionalFormatting>
  <conditionalFormatting sqref="C10">
    <cfRule type="cellIs" priority="63" operator="equal" aboveAverage="0" equalAverage="0" bottom="0" percent="0" rank="0" text="" dxfId="306">
      <formula>"C1:C774"</formula>
    </cfRule>
  </conditionalFormatting>
  <conditionalFormatting sqref="C10">
    <cfRule type="cellIs" priority="64" operator="equal" aboveAverage="0" equalAverage="0" bottom="0" percent="0" rank="0" text="" dxfId="307">
      <formula>"C1:C774"</formula>
    </cfRule>
  </conditionalFormatting>
  <conditionalFormatting sqref="C10">
    <cfRule type="cellIs" priority="65" operator="equal" aboveAverage="0" equalAverage="0" bottom="0" percent="0" rank="0" text="" dxfId="308">
      <formula>"C1:C774"</formula>
    </cfRule>
  </conditionalFormatting>
  <conditionalFormatting sqref="C10">
    <cfRule type="cellIs" priority="66" operator="equal" aboveAverage="0" equalAverage="0" bottom="0" percent="0" rank="0" text="" dxfId="309">
      <formula>"C1:C774"</formula>
    </cfRule>
  </conditionalFormatting>
  <conditionalFormatting sqref="C10">
    <cfRule type="cellIs" priority="67" operator="equal" aboveAverage="0" equalAverage="0" bottom="0" percent="0" rank="0" text="" dxfId="310">
      <formula>"C1:C774"</formula>
    </cfRule>
  </conditionalFormatting>
  <conditionalFormatting sqref="C10">
    <cfRule type="cellIs" priority="68" operator="equal" aboveAverage="0" equalAverage="0" bottom="0" percent="0" rank="0" text="" dxfId="311">
      <formula>"C1:C774"</formula>
    </cfRule>
  </conditionalFormatting>
  <conditionalFormatting sqref="C10">
    <cfRule type="cellIs" priority="69" operator="equal" aboveAverage="0" equalAverage="0" bottom="0" percent="0" rank="0" text="" dxfId="312">
      <formula>"C1:C774"</formula>
    </cfRule>
  </conditionalFormatting>
  <conditionalFormatting sqref="C10">
    <cfRule type="cellIs" priority="70" operator="equal" aboveAverage="0" equalAverage="0" bottom="0" percent="0" rank="0" text="" dxfId="313">
      <formula>"C1:C774"</formula>
    </cfRule>
  </conditionalFormatting>
  <conditionalFormatting sqref="C10">
    <cfRule type="cellIs" priority="71" operator="equal" aboveAverage="0" equalAverage="0" bottom="0" percent="0" rank="0" text="" dxfId="314">
      <formula>"C1:C774"</formula>
    </cfRule>
  </conditionalFormatting>
  <conditionalFormatting sqref="C10">
    <cfRule type="cellIs" priority="72" operator="equal" aboveAverage="0" equalAverage="0" bottom="0" percent="0" rank="0" text="" dxfId="315">
      <formula>"C1:C774"</formula>
    </cfRule>
  </conditionalFormatting>
  <conditionalFormatting sqref="C10">
    <cfRule type="cellIs" priority="73" operator="equal" aboveAverage="0" equalAverage="0" bottom="0" percent="0" rank="0" text="" dxfId="316">
      <formula>"C1:C774"</formula>
    </cfRule>
  </conditionalFormatting>
  <conditionalFormatting sqref="C10">
    <cfRule type="cellIs" priority="74" operator="equal" aboveAverage="0" equalAverage="0" bottom="0" percent="0" rank="0" text="" dxfId="317">
      <formula>"C1:C774"</formula>
    </cfRule>
  </conditionalFormatting>
  <conditionalFormatting sqref="C10">
    <cfRule type="cellIs" priority="75" operator="equal" aboveAverage="0" equalAverage="0" bottom="0" percent="0" rank="0" text="" dxfId="318">
      <formula>"C1:C774"</formula>
    </cfRule>
  </conditionalFormatting>
  <conditionalFormatting sqref="C10">
    <cfRule type="cellIs" priority="76" operator="equal" aboveAverage="0" equalAverage="0" bottom="0" percent="0" rank="0" text="" dxfId="319">
      <formula>"C1:C774"</formula>
    </cfRule>
  </conditionalFormatting>
  <conditionalFormatting sqref="C10">
    <cfRule type="cellIs" priority="77" operator="equal" aboveAverage="0" equalAverage="0" bottom="0" percent="0" rank="0" text="" dxfId="320">
      <formula>"C1:C774"</formula>
    </cfRule>
  </conditionalFormatting>
  <conditionalFormatting sqref="C10">
    <cfRule type="cellIs" priority="78" operator="equal" aboveAverage="0" equalAverage="0" bottom="0" percent="0" rank="0" text="" dxfId="321">
      <formula>"C1:C774"</formula>
    </cfRule>
  </conditionalFormatting>
  <conditionalFormatting sqref="C10">
    <cfRule type="cellIs" priority="79" operator="equal" aboveAverage="0" equalAverage="0" bottom="0" percent="0" rank="0" text="" dxfId="322">
      <formula>"C1:C774"</formula>
    </cfRule>
  </conditionalFormatting>
  <conditionalFormatting sqref="C10">
    <cfRule type="cellIs" priority="80" operator="equal" aboveAverage="0" equalAverage="0" bottom="0" percent="0" rank="0" text="" dxfId="323">
      <formula>"C1:C774"</formula>
    </cfRule>
  </conditionalFormatting>
  <conditionalFormatting sqref="C10">
    <cfRule type="cellIs" priority="81" operator="equal" aboveAverage="0" equalAverage="0" bottom="0" percent="0" rank="0" text="" dxfId="324">
      <formula>"C1:C774"</formula>
    </cfRule>
  </conditionalFormatting>
  <conditionalFormatting sqref="C10">
    <cfRule type="cellIs" priority="82" operator="equal" aboveAverage="0" equalAverage="0" bottom="0" percent="0" rank="0" text="" dxfId="325">
      <formula>"C1:C774"</formula>
    </cfRule>
  </conditionalFormatting>
  <conditionalFormatting sqref="C10">
    <cfRule type="cellIs" priority="83" operator="equal" aboveAverage="0" equalAverage="0" bottom="0" percent="0" rank="0" text="" dxfId="326">
      <formula>"C1:C774"</formula>
    </cfRule>
  </conditionalFormatting>
  <conditionalFormatting sqref="C10">
    <cfRule type="cellIs" priority="84" operator="equal" aboveAverage="0" equalAverage="0" bottom="0" percent="0" rank="0" text="" dxfId="327">
      <formula>"C1:C774"</formula>
    </cfRule>
  </conditionalFormatting>
  <conditionalFormatting sqref="C10">
    <cfRule type="cellIs" priority="85" operator="equal" aboveAverage="0" equalAverage="0" bottom="0" percent="0" rank="0" text="" dxfId="328">
      <formula>"C1:C774"</formula>
    </cfRule>
  </conditionalFormatting>
  <conditionalFormatting sqref="C10">
    <cfRule type="cellIs" priority="86" operator="equal" aboveAverage="0" equalAverage="0" bottom="0" percent="0" rank="0" text="" dxfId="329">
      <formula>"C1:C774"</formula>
    </cfRule>
  </conditionalFormatting>
  <conditionalFormatting sqref="C10">
    <cfRule type="cellIs" priority="87" operator="equal" aboveAverage="0" equalAverage="0" bottom="0" percent="0" rank="0" text="" dxfId="330">
      <formula>"C1:C774"</formula>
    </cfRule>
  </conditionalFormatting>
  <conditionalFormatting sqref="C10">
    <cfRule type="cellIs" priority="88" operator="equal" aboveAverage="0" equalAverage="0" bottom="0" percent="0" rank="0" text="" dxfId="331">
      <formula>"C1:C774"</formula>
    </cfRule>
  </conditionalFormatting>
  <conditionalFormatting sqref="C10">
    <cfRule type="cellIs" priority="89" operator="equal" aboveAverage="0" equalAverage="0" bottom="0" percent="0" rank="0" text="" dxfId="332">
      <formula>"C1:C774"</formula>
    </cfRule>
  </conditionalFormatting>
  <conditionalFormatting sqref="C10">
    <cfRule type="cellIs" priority="90" operator="equal" aboveAverage="0" equalAverage="0" bottom="0" percent="0" rank="0" text="" dxfId="333">
      <formula>"C1:C774"</formula>
    </cfRule>
  </conditionalFormatting>
  <conditionalFormatting sqref="C10">
    <cfRule type="cellIs" priority="91" operator="equal" aboveAverage="0" equalAverage="0" bottom="0" percent="0" rank="0" text="" dxfId="334">
      <formula>"C1:C774"</formula>
    </cfRule>
  </conditionalFormatting>
  <conditionalFormatting sqref="C10">
    <cfRule type="cellIs" priority="92" operator="equal" aboveAverage="0" equalAverage="0" bottom="0" percent="0" rank="0" text="" dxfId="335">
      <formula>"C1:C774"</formula>
    </cfRule>
  </conditionalFormatting>
  <conditionalFormatting sqref="C10">
    <cfRule type="cellIs" priority="93" operator="equal" aboveAverage="0" equalAverage="0" bottom="0" percent="0" rank="0" text="" dxfId="336">
      <formula>"C1:C774"</formula>
    </cfRule>
  </conditionalFormatting>
  <conditionalFormatting sqref="C10">
    <cfRule type="cellIs" priority="94" operator="equal" aboveAverage="0" equalAverage="0" bottom="0" percent="0" rank="0" text="" dxfId="337">
      <formula>"C1:C774"</formula>
    </cfRule>
  </conditionalFormatting>
  <conditionalFormatting sqref="C10">
    <cfRule type="cellIs" priority="95" operator="equal" aboveAverage="0" equalAverage="0" bottom="0" percent="0" rank="0" text="" dxfId="338">
      <formula>"C1:C774"</formula>
    </cfRule>
  </conditionalFormatting>
  <conditionalFormatting sqref="C10">
    <cfRule type="cellIs" priority="96" operator="equal" aboveAverage="0" equalAverage="0" bottom="0" percent="0" rank="0" text="" dxfId="339">
      <formula>"C1:C774"</formula>
    </cfRule>
  </conditionalFormatting>
  <conditionalFormatting sqref="C10">
    <cfRule type="cellIs" priority="97" operator="equal" aboveAverage="0" equalAverage="0" bottom="0" percent="0" rank="0" text="" dxfId="340">
      <formula>"C1:C774"</formula>
    </cfRule>
  </conditionalFormatting>
  <conditionalFormatting sqref="C10">
    <cfRule type="cellIs" priority="98" operator="equal" aboveAverage="0" equalAverage="0" bottom="0" percent="0" rank="0" text="" dxfId="341">
      <formula>"C1:C774"</formula>
    </cfRule>
  </conditionalFormatting>
  <conditionalFormatting sqref="C10">
    <cfRule type="cellIs" priority="99" operator="equal" aboveAverage="0" equalAverage="0" bottom="0" percent="0" rank="0" text="" dxfId="342">
      <formula>"C1:C774"</formula>
    </cfRule>
  </conditionalFormatting>
  <conditionalFormatting sqref="C10">
    <cfRule type="cellIs" priority="100" operator="equal" aboveAverage="0" equalAverage="0" bottom="0" percent="0" rank="0" text="" dxfId="343">
      <formula>"C1:C774"</formula>
    </cfRule>
  </conditionalFormatting>
  <conditionalFormatting sqref="C10">
    <cfRule type="cellIs" priority="101" operator="equal" aboveAverage="0" equalAverage="0" bottom="0" percent="0" rank="0" text="" dxfId="344">
      <formula>"C1:C774"</formula>
    </cfRule>
  </conditionalFormatting>
  <conditionalFormatting sqref="C10">
    <cfRule type="cellIs" priority="102" operator="equal" aboveAverage="0" equalAverage="0" bottom="0" percent="0" rank="0" text="" dxfId="345">
      <formula>"C1:C774"</formula>
    </cfRule>
  </conditionalFormatting>
  <conditionalFormatting sqref="C10">
    <cfRule type="cellIs" priority="103" operator="equal" aboveAverage="0" equalAverage="0" bottom="0" percent="0" rank="0" text="" dxfId="346">
      <formula>"C1:C774"</formula>
    </cfRule>
  </conditionalFormatting>
  <conditionalFormatting sqref="C10">
    <cfRule type="cellIs" priority="104" operator="equal" aboveAverage="0" equalAverage="0" bottom="0" percent="0" rank="0" text="" dxfId="347">
      <formula>"C1:C774"</formula>
    </cfRule>
  </conditionalFormatting>
  <conditionalFormatting sqref="C10">
    <cfRule type="cellIs" priority="105" operator="equal" aboveAverage="0" equalAverage="0" bottom="0" percent="0" rank="0" text="" dxfId="348">
      <formula>"C1:C774"</formula>
    </cfRule>
  </conditionalFormatting>
  <conditionalFormatting sqref="C10">
    <cfRule type="cellIs" priority="106" operator="equal" aboveAverage="0" equalAverage="0" bottom="0" percent="0" rank="0" text="" dxfId="349">
      <formula>"C1:C774"</formula>
    </cfRule>
  </conditionalFormatting>
  <conditionalFormatting sqref="C10">
    <cfRule type="cellIs" priority="107" operator="equal" aboveAverage="0" equalAverage="0" bottom="0" percent="0" rank="0" text="" dxfId="350">
      <formula>"C1:C774"</formula>
    </cfRule>
  </conditionalFormatting>
  <conditionalFormatting sqref="C10">
    <cfRule type="cellIs" priority="108" operator="equal" aboveAverage="0" equalAverage="0" bottom="0" percent="0" rank="0" text="" dxfId="351">
      <formula>"C1:C774"</formula>
    </cfRule>
  </conditionalFormatting>
  <conditionalFormatting sqref="C10">
    <cfRule type="cellIs" priority="109" operator="equal" aboveAverage="0" equalAverage="0" bottom="0" percent="0" rank="0" text="" dxfId="352">
      <formula>"C1:C774"</formula>
    </cfRule>
  </conditionalFormatting>
  <conditionalFormatting sqref="C10">
    <cfRule type="cellIs" priority="110" operator="equal" aboveAverage="0" equalAverage="0" bottom="0" percent="0" rank="0" text="" dxfId="353">
      <formula>"C1:C774"</formula>
    </cfRule>
  </conditionalFormatting>
  <conditionalFormatting sqref="C10">
    <cfRule type="cellIs" priority="111" operator="equal" aboveAverage="0" equalAverage="0" bottom="0" percent="0" rank="0" text="" dxfId="354">
      <formula>"C1:C774"</formula>
    </cfRule>
  </conditionalFormatting>
  <conditionalFormatting sqref="C10">
    <cfRule type="cellIs" priority="112" operator="equal" aboveAverage="0" equalAverage="0" bottom="0" percent="0" rank="0" text="" dxfId="355">
      <formula>"C1:C774"</formula>
    </cfRule>
  </conditionalFormatting>
  <conditionalFormatting sqref="C10">
    <cfRule type="cellIs" priority="113" operator="equal" aboveAverage="0" equalAverage="0" bottom="0" percent="0" rank="0" text="" dxfId="356">
      <formula>"C1:C774"</formula>
    </cfRule>
  </conditionalFormatting>
  <conditionalFormatting sqref="C10">
    <cfRule type="cellIs" priority="114" operator="equal" aboveAverage="0" equalAverage="0" bottom="0" percent="0" rank="0" text="" dxfId="357">
      <formula>"C1:C774"</formula>
    </cfRule>
  </conditionalFormatting>
  <conditionalFormatting sqref="C10">
    <cfRule type="cellIs" priority="115" operator="equal" aboveAverage="0" equalAverage="0" bottom="0" percent="0" rank="0" text="" dxfId="358">
      <formula>"C1:C774"</formula>
    </cfRule>
  </conditionalFormatting>
  <conditionalFormatting sqref="C10">
    <cfRule type="cellIs" priority="116" operator="equal" aboveAverage="0" equalAverage="0" bottom="0" percent="0" rank="0" text="" dxfId="359">
      <formula>"C1:C774"</formula>
    </cfRule>
  </conditionalFormatting>
  <conditionalFormatting sqref="C10">
    <cfRule type="cellIs" priority="117" operator="equal" aboveAverage="0" equalAverage="0" bottom="0" percent="0" rank="0" text="" dxfId="360">
      <formula>"C1:C774"</formula>
    </cfRule>
  </conditionalFormatting>
  <conditionalFormatting sqref="C10">
    <cfRule type="cellIs" priority="118" operator="equal" aboveAverage="0" equalAverage="0" bottom="0" percent="0" rank="0" text="" dxfId="361">
      <formula>"C1:C774"</formula>
    </cfRule>
  </conditionalFormatting>
  <conditionalFormatting sqref="C10">
    <cfRule type="cellIs" priority="119" operator="equal" aboveAverage="0" equalAverage="0" bottom="0" percent="0" rank="0" text="" dxfId="362">
      <formula>"C1:C774"</formula>
    </cfRule>
  </conditionalFormatting>
  <conditionalFormatting sqref="C10">
    <cfRule type="cellIs" priority="120" operator="equal" aboveAverage="0" equalAverage="0" bottom="0" percent="0" rank="0" text="" dxfId="363">
      <formula>"C1:C774"</formula>
    </cfRule>
  </conditionalFormatting>
  <conditionalFormatting sqref="C10">
    <cfRule type="cellIs" priority="121" operator="equal" aboveAverage="0" equalAverage="0" bottom="0" percent="0" rank="0" text="" dxfId="364">
      <formula>"C1:C774"</formula>
    </cfRule>
  </conditionalFormatting>
  <conditionalFormatting sqref="C10">
    <cfRule type="cellIs" priority="122" operator="equal" aboveAverage="0" equalAverage="0" bottom="0" percent="0" rank="0" text="" dxfId="365">
      <formula>"C1:C774"</formula>
    </cfRule>
  </conditionalFormatting>
  <conditionalFormatting sqref="C10">
    <cfRule type="cellIs" priority="123" operator="equal" aboveAverage="0" equalAverage="0" bottom="0" percent="0" rank="0" text="" dxfId="366">
      <formula>"C1:C774"</formula>
    </cfRule>
  </conditionalFormatting>
  <conditionalFormatting sqref="C10">
    <cfRule type="cellIs" priority="124" operator="equal" aboveAverage="0" equalAverage="0" bottom="0" percent="0" rank="0" text="" dxfId="367">
      <formula>"C1:C774"</formula>
    </cfRule>
  </conditionalFormatting>
  <conditionalFormatting sqref="C10">
    <cfRule type="cellIs" priority="125" operator="equal" aboveAverage="0" equalAverage="0" bottom="0" percent="0" rank="0" text="" dxfId="368">
      <formula>"C1:C774"</formula>
    </cfRule>
  </conditionalFormatting>
  <conditionalFormatting sqref="C10">
    <cfRule type="cellIs" priority="126" operator="equal" aboveAverage="0" equalAverage="0" bottom="0" percent="0" rank="0" text="" dxfId="369">
      <formula>"C1:C774"</formula>
    </cfRule>
  </conditionalFormatting>
  <conditionalFormatting sqref="C10">
    <cfRule type="cellIs" priority="127" operator="equal" aboveAverage="0" equalAverage="0" bottom="0" percent="0" rank="0" text="" dxfId="370">
      <formula>"C1:C774"</formula>
    </cfRule>
  </conditionalFormatting>
  <conditionalFormatting sqref="C10">
    <cfRule type="cellIs" priority="128" operator="equal" aboveAverage="0" equalAverage="0" bottom="0" percent="0" rank="0" text="" dxfId="371">
      <formula>"C1:C774"</formula>
    </cfRule>
  </conditionalFormatting>
  <conditionalFormatting sqref="C10">
    <cfRule type="cellIs" priority="129" operator="equal" aboveAverage="0" equalAverage="0" bottom="0" percent="0" rank="0" text="" dxfId="372">
      <formula>"C1:C774"</formula>
    </cfRule>
  </conditionalFormatting>
  <conditionalFormatting sqref="C10">
    <cfRule type="cellIs" priority="130" operator="equal" aboveAverage="0" equalAverage="0" bottom="0" percent="0" rank="0" text="" dxfId="373">
      <formula>"C1:C774"</formula>
    </cfRule>
  </conditionalFormatting>
  <conditionalFormatting sqref="C10">
    <cfRule type="cellIs" priority="131" operator="equal" aboveAverage="0" equalAverage="0" bottom="0" percent="0" rank="0" text="" dxfId="374">
      <formula>"C1:C774"</formula>
    </cfRule>
  </conditionalFormatting>
  <conditionalFormatting sqref="C10">
    <cfRule type="cellIs" priority="132" operator="equal" aboveAverage="0" equalAverage="0" bottom="0" percent="0" rank="0" text="" dxfId="375">
      <formula>"C1:C774"</formula>
    </cfRule>
  </conditionalFormatting>
  <conditionalFormatting sqref="C10">
    <cfRule type="cellIs" priority="133" operator="equal" aboveAverage="0" equalAverage="0" bottom="0" percent="0" rank="0" text="" dxfId="376">
      <formula>"C1:C774"</formula>
    </cfRule>
  </conditionalFormatting>
  <conditionalFormatting sqref="C10">
    <cfRule type="cellIs" priority="134" operator="equal" aboveAverage="0" equalAverage="0" bottom="0" percent="0" rank="0" text="" dxfId="377">
      <formula>"C1:C774"</formula>
    </cfRule>
  </conditionalFormatting>
  <conditionalFormatting sqref="C10">
    <cfRule type="cellIs" priority="135" operator="equal" aboveAverage="0" equalAverage="0" bottom="0" percent="0" rank="0" text="" dxfId="378">
      <formula>"C1:C774"</formula>
    </cfRule>
  </conditionalFormatting>
  <conditionalFormatting sqref="C10">
    <cfRule type="cellIs" priority="136" operator="equal" aboveAverage="0" equalAverage="0" bottom="0" percent="0" rank="0" text="" dxfId="379">
      <formula>"C1:C774"</formula>
    </cfRule>
  </conditionalFormatting>
  <conditionalFormatting sqref="C10">
    <cfRule type="cellIs" priority="137" operator="equal" aboveAverage="0" equalAverage="0" bottom="0" percent="0" rank="0" text="" dxfId="380">
      <formula>"C1:C774"</formula>
    </cfRule>
  </conditionalFormatting>
  <conditionalFormatting sqref="C10">
    <cfRule type="cellIs" priority="138" operator="equal" aboveAverage="0" equalAverage="0" bottom="0" percent="0" rank="0" text="" dxfId="381">
      <formula>"C1:C774"</formula>
    </cfRule>
  </conditionalFormatting>
  <conditionalFormatting sqref="C10">
    <cfRule type="cellIs" priority="139" operator="equal" aboveAverage="0" equalAverage="0" bottom="0" percent="0" rank="0" text="" dxfId="382">
      <formula>"C1:C774"</formula>
    </cfRule>
  </conditionalFormatting>
  <conditionalFormatting sqref="C10">
    <cfRule type="cellIs" priority="140" operator="equal" aboveAverage="0" equalAverage="0" bottom="0" percent="0" rank="0" text="" dxfId="383">
      <formula>"C1:C774"</formula>
    </cfRule>
  </conditionalFormatting>
  <conditionalFormatting sqref="C10">
    <cfRule type="cellIs" priority="141" operator="equal" aboveAverage="0" equalAverage="0" bottom="0" percent="0" rank="0" text="" dxfId="384">
      <formula>"C1:C774"</formula>
    </cfRule>
  </conditionalFormatting>
  <conditionalFormatting sqref="C10">
    <cfRule type="cellIs" priority="142" operator="equal" aboveAverage="0" equalAverage="0" bottom="0" percent="0" rank="0" text="" dxfId="385">
      <formula>"C1:C774"</formula>
    </cfRule>
  </conditionalFormatting>
  <conditionalFormatting sqref="C10">
    <cfRule type="cellIs" priority="143" operator="equal" aboveAverage="0" equalAverage="0" bottom="0" percent="0" rank="0" text="" dxfId="386">
      <formula>"C1:C774"</formula>
    </cfRule>
  </conditionalFormatting>
  <conditionalFormatting sqref="C10">
    <cfRule type="cellIs" priority="144" operator="equal" aboveAverage="0" equalAverage="0" bottom="0" percent="0" rank="0" text="" dxfId="387">
      <formula>"C1:C774"</formula>
    </cfRule>
  </conditionalFormatting>
  <conditionalFormatting sqref="C10">
    <cfRule type="cellIs" priority="145" operator="equal" aboveAverage="0" equalAverage="0" bottom="0" percent="0" rank="0" text="" dxfId="388">
      <formula>"C1:C774"</formula>
    </cfRule>
  </conditionalFormatting>
  <conditionalFormatting sqref="C10">
    <cfRule type="cellIs" priority="146" operator="equal" aboveAverage="0" equalAverage="0" bottom="0" percent="0" rank="0" text="" dxfId="389">
      <formula>"C1:C774"</formula>
    </cfRule>
  </conditionalFormatting>
  <conditionalFormatting sqref="C10">
    <cfRule type="cellIs" priority="147" operator="equal" aboveAverage="0" equalAverage="0" bottom="0" percent="0" rank="0" text="" dxfId="390">
      <formula>"C1:C774"</formula>
    </cfRule>
  </conditionalFormatting>
  <conditionalFormatting sqref="C10">
    <cfRule type="cellIs" priority="148" operator="equal" aboveAverage="0" equalAverage="0" bottom="0" percent="0" rank="0" text="" dxfId="391">
      <formula>"C1:C774"</formula>
    </cfRule>
  </conditionalFormatting>
  <conditionalFormatting sqref="C10">
    <cfRule type="cellIs" priority="149" operator="equal" aboveAverage="0" equalAverage="0" bottom="0" percent="0" rank="0" text="" dxfId="392">
      <formula>"C1:C774"</formula>
    </cfRule>
  </conditionalFormatting>
  <conditionalFormatting sqref="C10">
    <cfRule type="cellIs" priority="150" operator="equal" aboveAverage="0" equalAverage="0" bottom="0" percent="0" rank="0" text="" dxfId="393">
      <formula>"C1:C774"</formula>
    </cfRule>
  </conditionalFormatting>
  <conditionalFormatting sqref="C10">
    <cfRule type="cellIs" priority="151" operator="equal" aboveAverage="0" equalAverage="0" bottom="0" percent="0" rank="0" text="" dxfId="394">
      <formula>"C1:C774"</formula>
    </cfRule>
  </conditionalFormatting>
  <conditionalFormatting sqref="C10">
    <cfRule type="cellIs" priority="152" operator="equal" aboveAverage="0" equalAverage="0" bottom="0" percent="0" rank="0" text="" dxfId="395">
      <formula>"C1:C774"</formula>
    </cfRule>
  </conditionalFormatting>
  <conditionalFormatting sqref="C10">
    <cfRule type="cellIs" priority="153" operator="equal" aboveAverage="0" equalAverage="0" bottom="0" percent="0" rank="0" text="" dxfId="396">
      <formula>"C1:C774"</formula>
    </cfRule>
  </conditionalFormatting>
  <conditionalFormatting sqref="C10">
    <cfRule type="cellIs" priority="154" operator="equal" aboveAverage="0" equalAverage="0" bottom="0" percent="0" rank="0" text="" dxfId="397">
      <formula>"C1:C774"</formula>
    </cfRule>
  </conditionalFormatting>
  <conditionalFormatting sqref="C10">
    <cfRule type="cellIs" priority="155" operator="equal" aboveAverage="0" equalAverage="0" bottom="0" percent="0" rank="0" text="" dxfId="398">
      <formula>"C1:C774"</formula>
    </cfRule>
  </conditionalFormatting>
  <conditionalFormatting sqref="C10">
    <cfRule type="cellIs" priority="156" operator="equal" aboveAverage="0" equalAverage="0" bottom="0" percent="0" rank="0" text="" dxfId="399">
      <formula>"C1:C774"</formula>
    </cfRule>
  </conditionalFormatting>
  <conditionalFormatting sqref="C10">
    <cfRule type="cellIs" priority="157" operator="equal" aboveAverage="0" equalAverage="0" bottom="0" percent="0" rank="0" text="" dxfId="400">
      <formula>"C1:C774"</formula>
    </cfRule>
  </conditionalFormatting>
  <conditionalFormatting sqref="C10">
    <cfRule type="cellIs" priority="158" operator="equal" aboveAverage="0" equalAverage="0" bottom="0" percent="0" rank="0" text="" dxfId="401">
      <formula>"C1:C774"</formula>
    </cfRule>
  </conditionalFormatting>
  <conditionalFormatting sqref="C10">
    <cfRule type="cellIs" priority="159" operator="equal" aboveAverage="0" equalAverage="0" bottom="0" percent="0" rank="0" text="" dxfId="402">
      <formula>"C1:C774"</formula>
    </cfRule>
  </conditionalFormatting>
  <conditionalFormatting sqref="C10">
    <cfRule type="cellIs" priority="160" operator="equal" aboveAverage="0" equalAverage="0" bottom="0" percent="0" rank="0" text="" dxfId="403">
      <formula>"C1:C774"</formula>
    </cfRule>
  </conditionalFormatting>
  <conditionalFormatting sqref="C10">
    <cfRule type="cellIs" priority="161" operator="equal" aboveAverage="0" equalAverage="0" bottom="0" percent="0" rank="0" text="" dxfId="404">
      <formula>"C1:C774"</formula>
    </cfRule>
  </conditionalFormatting>
  <conditionalFormatting sqref="C10">
    <cfRule type="cellIs" priority="162" operator="equal" aboveAverage="0" equalAverage="0" bottom="0" percent="0" rank="0" text="" dxfId="405">
      <formula>"C1:C774"</formula>
    </cfRule>
  </conditionalFormatting>
  <conditionalFormatting sqref="C10">
    <cfRule type="cellIs" priority="163" operator="equal" aboveAverage="0" equalAverage="0" bottom="0" percent="0" rank="0" text="" dxfId="406">
      <formula>"C1:C774"</formula>
    </cfRule>
  </conditionalFormatting>
  <conditionalFormatting sqref="C10">
    <cfRule type="cellIs" priority="164" operator="equal" aboveAverage="0" equalAverage="0" bottom="0" percent="0" rank="0" text="" dxfId="407">
      <formula>"C1:C774"</formula>
    </cfRule>
  </conditionalFormatting>
  <conditionalFormatting sqref="C10">
    <cfRule type="cellIs" priority="165" operator="equal" aboveAverage="0" equalAverage="0" bottom="0" percent="0" rank="0" text="" dxfId="408">
      <formula>"C1:C774"</formula>
    </cfRule>
  </conditionalFormatting>
  <conditionalFormatting sqref="C10">
    <cfRule type="cellIs" priority="166" operator="equal" aboveAverage="0" equalAverage="0" bottom="0" percent="0" rank="0" text="" dxfId="409">
      <formula>"C1:C774"</formula>
    </cfRule>
  </conditionalFormatting>
  <conditionalFormatting sqref="C10">
    <cfRule type="cellIs" priority="167" operator="equal" aboveAverage="0" equalAverage="0" bottom="0" percent="0" rank="0" text="" dxfId="410">
      <formula>"C1:C774"</formula>
    </cfRule>
  </conditionalFormatting>
  <conditionalFormatting sqref="C10">
    <cfRule type="cellIs" priority="168" operator="equal" aboveAverage="0" equalAverage="0" bottom="0" percent="0" rank="0" text="" dxfId="411">
      <formula>"C1:C774"</formula>
    </cfRule>
  </conditionalFormatting>
  <conditionalFormatting sqref="C10">
    <cfRule type="cellIs" priority="169" operator="equal" aboveAverage="0" equalAverage="0" bottom="0" percent="0" rank="0" text="" dxfId="412">
      <formula>"C1:C774"</formula>
    </cfRule>
  </conditionalFormatting>
  <conditionalFormatting sqref="C10">
    <cfRule type="cellIs" priority="170" operator="equal" aboveAverage="0" equalAverage="0" bottom="0" percent="0" rank="0" text="" dxfId="413">
      <formula>"C1:C774"</formula>
    </cfRule>
  </conditionalFormatting>
  <conditionalFormatting sqref="C10">
    <cfRule type="cellIs" priority="171" operator="equal" aboveAverage="0" equalAverage="0" bottom="0" percent="0" rank="0" text="" dxfId="414">
      <formula>"C1:C774"</formula>
    </cfRule>
  </conditionalFormatting>
  <conditionalFormatting sqref="C10">
    <cfRule type="cellIs" priority="172" operator="equal" aboveAverage="0" equalAverage="0" bottom="0" percent="0" rank="0" text="" dxfId="415">
      <formula>"C1:C774"</formula>
    </cfRule>
  </conditionalFormatting>
  <conditionalFormatting sqref="C10">
    <cfRule type="cellIs" priority="173" operator="equal" aboveAverage="0" equalAverage="0" bottom="0" percent="0" rank="0" text="" dxfId="416">
      <formula>"C1:C774"</formula>
    </cfRule>
  </conditionalFormatting>
  <conditionalFormatting sqref="C10">
    <cfRule type="cellIs" priority="174" operator="equal" aboveAverage="0" equalAverage="0" bottom="0" percent="0" rank="0" text="" dxfId="417">
      <formula>"C1:C774"</formula>
    </cfRule>
  </conditionalFormatting>
  <conditionalFormatting sqref="C10">
    <cfRule type="cellIs" priority="175" operator="equal" aboveAverage="0" equalAverage="0" bottom="0" percent="0" rank="0" text="" dxfId="418">
      <formula>"C1:C774"</formula>
    </cfRule>
  </conditionalFormatting>
  <conditionalFormatting sqref="C10">
    <cfRule type="cellIs" priority="176" operator="equal" aboveAverage="0" equalAverage="0" bottom="0" percent="0" rank="0" text="" dxfId="419">
      <formula>"C1:C774"</formula>
    </cfRule>
  </conditionalFormatting>
  <conditionalFormatting sqref="C10">
    <cfRule type="cellIs" priority="177" operator="equal" aboveAverage="0" equalAverage="0" bottom="0" percent="0" rank="0" text="" dxfId="420">
      <formula>"C1:C774"</formula>
    </cfRule>
  </conditionalFormatting>
  <conditionalFormatting sqref="C10">
    <cfRule type="cellIs" priority="178" operator="equal" aboveAverage="0" equalAverage="0" bottom="0" percent="0" rank="0" text="" dxfId="421">
      <formula>"C1:C774"</formula>
    </cfRule>
  </conditionalFormatting>
  <conditionalFormatting sqref="C10">
    <cfRule type="cellIs" priority="179" operator="equal" aboveAverage="0" equalAverage="0" bottom="0" percent="0" rank="0" text="" dxfId="422">
      <formula>"C1:C774"</formula>
    </cfRule>
  </conditionalFormatting>
  <conditionalFormatting sqref="C10">
    <cfRule type="cellIs" priority="180" operator="equal" aboveAverage="0" equalAverage="0" bottom="0" percent="0" rank="0" text="" dxfId="423">
      <formula>"C1:C774"</formula>
    </cfRule>
  </conditionalFormatting>
  <conditionalFormatting sqref="C10">
    <cfRule type="cellIs" priority="181" operator="equal" aboveAverage="0" equalAverage="0" bottom="0" percent="0" rank="0" text="" dxfId="424">
      <formula>"C1:C774"</formula>
    </cfRule>
  </conditionalFormatting>
  <conditionalFormatting sqref="C10">
    <cfRule type="cellIs" priority="182" operator="equal" aboveAverage="0" equalAverage="0" bottom="0" percent="0" rank="0" text="" dxfId="425">
      <formula>"C1:C774"</formula>
    </cfRule>
  </conditionalFormatting>
  <conditionalFormatting sqref="C10">
    <cfRule type="cellIs" priority="183" operator="equal" aboveAverage="0" equalAverage="0" bottom="0" percent="0" rank="0" text="" dxfId="426">
      <formula>"C1:C774"</formula>
    </cfRule>
  </conditionalFormatting>
  <conditionalFormatting sqref="G10">
    <cfRule type="containsText" priority="184" operator="containsText" aboveAverage="0" equalAverage="0" bottom="0" percent="0" rank="0" text="да" dxfId="427">
      <formula>NOT(ISERROR(SEARCH("да",G10)))</formula>
    </cfRule>
  </conditionalFormatting>
  <conditionalFormatting sqref="X10">
    <cfRule type="cellIs" priority="185" operator="equal" aboveAverage="0" equalAverage="0" bottom="0" percent="0" rank="0" text="" dxfId="428">
      <formula>"Кудрявцев Д."</formula>
    </cfRule>
  </conditionalFormatting>
  <conditionalFormatting sqref="I5">
    <cfRule type="containsText" priority="186" operator="containsText" aboveAverage="0" equalAverage="0" bottom="0" percent="0" rank="0" text="workstation" dxfId="429">
      <formula>NOT(ISERROR(SEARCH("workstation",I5)))</formula>
    </cfRule>
  </conditionalFormatting>
  <conditionalFormatting sqref="C5">
    <cfRule type="cellIs" priority="187" operator="equal" aboveAverage="0" equalAverage="0" bottom="0" percent="0" rank="0" text="" dxfId="430">
      <formula>"C1:C774"</formula>
    </cfRule>
  </conditionalFormatting>
  <conditionalFormatting sqref="C5">
    <cfRule type="cellIs" priority="188" operator="equal" aboveAverage="0" equalAverage="0" bottom="0" percent="0" rank="0" text="" dxfId="431">
      <formula>"C1:C774"</formula>
    </cfRule>
  </conditionalFormatting>
  <conditionalFormatting sqref="C5">
    <cfRule type="cellIs" priority="189" operator="equal" aboveAverage="0" equalAverage="0" bottom="0" percent="0" rank="0" text="" dxfId="432">
      <formula>"C1:C774"</formula>
    </cfRule>
  </conditionalFormatting>
  <conditionalFormatting sqref="C5">
    <cfRule type="cellIs" priority="190" operator="equal" aboveAverage="0" equalAverage="0" bottom="0" percent="0" rank="0" text="" dxfId="433">
      <formula>"C1:C774"</formula>
    </cfRule>
  </conditionalFormatting>
  <conditionalFormatting sqref="C5">
    <cfRule type="cellIs" priority="191" operator="equal" aboveAverage="0" equalAverage="0" bottom="0" percent="0" rank="0" text="" dxfId="434">
      <formula>"C1:C774"</formula>
    </cfRule>
  </conditionalFormatting>
  <conditionalFormatting sqref="C5">
    <cfRule type="cellIs" priority="192" operator="equal" aboveAverage="0" equalAverage="0" bottom="0" percent="0" rank="0" text="" dxfId="435">
      <formula>"C1:C774"</formula>
    </cfRule>
  </conditionalFormatting>
  <conditionalFormatting sqref="C5">
    <cfRule type="cellIs" priority="193" operator="equal" aboveAverage="0" equalAverage="0" bottom="0" percent="0" rank="0" text="" dxfId="436">
      <formula>"C1:C774"</formula>
    </cfRule>
  </conditionalFormatting>
  <conditionalFormatting sqref="C5">
    <cfRule type="cellIs" priority="194" operator="equal" aboveAverage="0" equalAverage="0" bottom="0" percent="0" rank="0" text="" dxfId="437">
      <formula>"C1:C774"</formula>
    </cfRule>
  </conditionalFormatting>
  <conditionalFormatting sqref="M3:M4 M6:M9 N7:N9">
    <cfRule type="containsText" priority="195" operator="containsText" aboveAverage="0" equalAverage="0" bottom="0" percent="0" rank="0" text="наклеен" dxfId="438">
      <formula>NOT(ISERROR(SEARCH("наклеен",M3)))</formula>
    </cfRule>
  </conditionalFormatting>
  <conditionalFormatting sqref="P3:P4 P6">
    <cfRule type="cellIs" priority="196" operator="equal" aboveAverage="0" equalAverage="0" bottom="0" percent="0" rank="0" text="" dxfId="439">
      <formula>"C1:C774"</formula>
    </cfRule>
  </conditionalFormatting>
  <conditionalFormatting sqref="E2">
    <cfRule type="containsText" priority="197" operator="containsText" aboveAverage="0" equalAverage="0" bottom="0" percent="0" rank="0" text="rus" dxfId="440">
      <formula>NOT(ISERROR(SEARCH("rus",E2)))</formula>
    </cfRule>
  </conditionalFormatting>
  <conditionalFormatting sqref="I2">
    <cfRule type="containsText" priority="198" operator="containsText" aboveAverage="0" equalAverage="0" bottom="0" percent="0" rank="0" text="workstation" dxfId="441">
      <formula>NOT(ISERROR(SEARCH("workstation",I2)))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BD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4.4296875" defaultRowHeight="12.8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1" width="4.57"/>
    <col collapsed="false" customWidth="true" hidden="false" outlineLevel="0" max="3" min="3" style="1" width="16.71"/>
    <col collapsed="false" customWidth="true" hidden="false" outlineLevel="0" max="4" min="4" style="1" width="22"/>
    <col collapsed="false" customWidth="true" hidden="false" outlineLevel="0" max="5" min="5" style="1" width="20.85"/>
    <col collapsed="false" customWidth="true" hidden="false" outlineLevel="0" max="6" min="6" style="1" width="12.57"/>
    <col collapsed="false" customWidth="true" hidden="false" outlineLevel="0" max="7" min="7" style="1" width="28.58"/>
    <col collapsed="false" customWidth="true" hidden="false" outlineLevel="0" max="8" min="8" style="1" width="8.71"/>
    <col collapsed="false" customWidth="true" hidden="false" outlineLevel="0" max="9" min="9" style="1" width="32.71"/>
    <col collapsed="false" customWidth="true" hidden="false" outlineLevel="0" max="10" min="10" style="1" width="16.42"/>
    <col collapsed="false" customWidth="true" hidden="false" outlineLevel="0" max="11" min="11" style="1" width="12.14"/>
    <col collapsed="false" customWidth="true" hidden="false" outlineLevel="0" max="12" min="12" style="1" width="28.58"/>
    <col collapsed="false" customWidth="true" hidden="false" outlineLevel="0" max="13" min="13" style="1" width="30.14"/>
    <col collapsed="false" customWidth="true" hidden="false" outlineLevel="0" max="14" min="14" style="1" width="16.42"/>
    <col collapsed="false" customWidth="true" hidden="false" outlineLevel="0" max="15" min="15" style="1" width="34"/>
    <col collapsed="false" customWidth="true" hidden="false" outlineLevel="0" max="16" min="16" style="1" width="18.29"/>
    <col collapsed="false" customWidth="true" hidden="false" outlineLevel="0" max="17" min="17" style="1" width="27.29"/>
    <col collapsed="false" customWidth="true" hidden="false" outlineLevel="0" max="18" min="18" style="1" width="19.57"/>
    <col collapsed="false" customWidth="true" hidden="false" outlineLevel="0" max="19" min="19" style="1" width="12.57"/>
    <col collapsed="false" customWidth="true" hidden="false" outlineLevel="0" max="20" min="20" style="1" width="27.14"/>
  </cols>
  <sheetData>
    <row r="1" customFormat="false" ht="69.75" hidden="false" customHeight="true" outlineLevel="0" collapsed="false">
      <c r="A1" s="257"/>
      <c r="B1" s="257"/>
      <c r="C1" s="258" t="s">
        <v>648</v>
      </c>
      <c r="D1" s="258" t="s">
        <v>649</v>
      </c>
      <c r="E1" s="228" t="s">
        <v>650</v>
      </c>
      <c r="F1" s="228"/>
      <c r="G1" s="228"/>
      <c r="H1" s="228"/>
      <c r="I1" s="228"/>
      <c r="J1" s="258" t="s">
        <v>651</v>
      </c>
      <c r="K1" s="258" t="s">
        <v>652</v>
      </c>
      <c r="L1" s="258" t="s">
        <v>653</v>
      </c>
      <c r="M1" s="258" t="s">
        <v>654</v>
      </c>
      <c r="N1" s="259" t="s">
        <v>655</v>
      </c>
      <c r="O1" s="258" t="s">
        <v>522</v>
      </c>
      <c r="P1" s="258" t="s">
        <v>656</v>
      </c>
      <c r="Q1" s="258" t="s">
        <v>657</v>
      </c>
      <c r="R1" s="258" t="s">
        <v>658</v>
      </c>
      <c r="S1" s="258" t="s">
        <v>659</v>
      </c>
      <c r="T1" s="258" t="s">
        <v>660</v>
      </c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</row>
    <row r="2" customFormat="false" ht="50.7" hidden="false" customHeight="true" outlineLevel="0" collapsed="false">
      <c r="A2" s="260"/>
      <c r="B2" s="261"/>
      <c r="C2" s="262"/>
      <c r="D2" s="262"/>
      <c r="E2" s="228" t="s">
        <v>661</v>
      </c>
      <c r="F2" s="228" t="s">
        <v>662</v>
      </c>
      <c r="G2" s="228" t="s">
        <v>663</v>
      </c>
      <c r="H2" s="228" t="s">
        <v>664</v>
      </c>
      <c r="I2" s="169" t="s">
        <v>665</v>
      </c>
      <c r="J2" s="262"/>
      <c r="K2" s="262"/>
      <c r="L2" s="262"/>
      <c r="M2" s="262"/>
      <c r="N2" s="263"/>
      <c r="O2" s="262"/>
      <c r="P2" s="262"/>
      <c r="Q2" s="262"/>
      <c r="R2" s="262"/>
      <c r="S2" s="262"/>
      <c r="T2" s="262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</row>
    <row r="3" customFormat="false" ht="85.5" hidden="false" customHeight="true" outlineLevel="0" collapsed="false">
      <c r="A3" s="264" t="n">
        <v>1</v>
      </c>
      <c r="B3" s="264" t="e">
        <f aca="false">#REF!+1</f>
        <v>#REF!</v>
      </c>
      <c r="C3" s="265" t="n">
        <v>46054</v>
      </c>
      <c r="D3" s="266" t="s">
        <v>666</v>
      </c>
      <c r="E3" s="266" t="n">
        <v>1</v>
      </c>
      <c r="F3" s="266"/>
      <c r="G3" s="266"/>
      <c r="H3" s="266" t="n">
        <v>1</v>
      </c>
      <c r="I3" s="267" t="s">
        <v>667</v>
      </c>
      <c r="J3" s="265" t="n">
        <v>2026</v>
      </c>
      <c r="K3" s="266"/>
      <c r="L3" s="266" t="s">
        <v>668</v>
      </c>
      <c r="M3" s="266" t="s">
        <v>669</v>
      </c>
      <c r="N3" s="268"/>
      <c r="O3" s="266" t="s">
        <v>670</v>
      </c>
      <c r="P3" s="266" t="s">
        <v>671</v>
      </c>
      <c r="Q3" s="266" t="s">
        <v>225</v>
      </c>
      <c r="R3" s="266" t="s">
        <v>225</v>
      </c>
      <c r="S3" s="266" t="s">
        <v>672</v>
      </c>
      <c r="T3" s="266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  <c r="AX3" s="254"/>
      <c r="AY3" s="254"/>
      <c r="AZ3" s="254"/>
      <c r="BA3" s="254"/>
      <c r="BB3" s="254"/>
      <c r="BC3" s="254"/>
      <c r="BD3" s="254"/>
    </row>
    <row r="4" customFormat="false" ht="85.5" hidden="false" customHeight="true" outlineLevel="0" collapsed="false"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</row>
    <row r="5" customFormat="false" ht="85.5" hidden="false" customHeight="true" outlineLevel="0" collapsed="false"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/>
      <c r="BB5" s="254"/>
      <c r="BC5" s="254"/>
      <c r="BD5" s="254"/>
    </row>
    <row r="6" customFormat="false" ht="15.75" hidden="false" customHeight="true" outlineLevel="0" collapsed="false"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4"/>
      <c r="AF6" s="254"/>
      <c r="AG6" s="254"/>
      <c r="AH6" s="254"/>
      <c r="AI6" s="254"/>
      <c r="AJ6" s="254"/>
      <c r="AK6" s="254"/>
      <c r="AL6" s="254"/>
      <c r="AM6" s="254"/>
      <c r="AN6" s="254"/>
      <c r="AO6" s="254"/>
      <c r="AP6" s="254"/>
      <c r="AQ6" s="254"/>
      <c r="AR6" s="254"/>
      <c r="AS6" s="254"/>
      <c r="AT6" s="254"/>
      <c r="AU6" s="254"/>
      <c r="AV6" s="254"/>
      <c r="AW6" s="254"/>
      <c r="AX6" s="254"/>
      <c r="AY6" s="254"/>
      <c r="AZ6" s="254"/>
      <c r="BA6" s="254"/>
      <c r="BB6" s="254"/>
      <c r="BC6" s="254"/>
      <c r="BD6" s="254"/>
    </row>
    <row r="7" customFormat="false" ht="85.5" hidden="false" customHeight="true" outlineLevel="0" collapsed="false"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  <c r="AX7" s="254"/>
      <c r="AY7" s="254"/>
      <c r="AZ7" s="254"/>
      <c r="BA7" s="254"/>
      <c r="BB7" s="254"/>
      <c r="BC7" s="254"/>
      <c r="BD7" s="254"/>
    </row>
  </sheetData>
  <autoFilter ref="A1:T3"/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tru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35" activeCellId="0" sqref="F35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1.91"/>
    <col collapsed="false" customWidth="true" hidden="false" outlineLevel="0" max="2" min="2" style="1" width="36.49"/>
    <col collapsed="false" customWidth="true" hidden="false" outlineLevel="0" max="3" min="3" style="0" width="40.97"/>
    <col collapsed="false" customWidth="true" hidden="false" outlineLevel="0" max="4" min="4" style="1" width="35.46"/>
    <col collapsed="false" customWidth="true" hidden="false" outlineLevel="0" max="5" min="5" style="1" width="53.4"/>
    <col collapsed="false" customWidth="true" hidden="false" outlineLevel="0" max="6" min="6" style="1" width="22.14"/>
  </cols>
  <sheetData>
    <row r="1" customFormat="false" ht="18" hidden="false" customHeight="true" outlineLevel="0" collapsed="false">
      <c r="A1" s="269" t="s">
        <v>673</v>
      </c>
      <c r="B1" s="269"/>
      <c r="C1" s="269"/>
      <c r="D1" s="269"/>
      <c r="E1" s="269"/>
      <c r="F1" s="270"/>
      <c r="M1" s="271"/>
      <c r="N1" s="271"/>
      <c r="O1" s="271"/>
    </row>
    <row r="2" customFormat="false" ht="27.75" hidden="false" customHeight="true" outlineLevel="0" collapsed="false">
      <c r="A2" s="272" t="s">
        <v>674</v>
      </c>
      <c r="B2" s="272" t="s">
        <v>675</v>
      </c>
      <c r="C2" s="272" t="s">
        <v>676</v>
      </c>
      <c r="D2" s="273" t="s">
        <v>677</v>
      </c>
      <c r="E2" s="273"/>
      <c r="F2" s="270"/>
      <c r="M2" s="271"/>
      <c r="N2" s="271"/>
      <c r="O2" s="271"/>
    </row>
    <row r="3" customFormat="false" ht="12.75" hidden="false" customHeight="true" outlineLevel="0" collapsed="false">
      <c r="A3" s="274" t="n">
        <v>100000003399</v>
      </c>
      <c r="B3" s="275" t="s">
        <v>678</v>
      </c>
      <c r="C3" s="275" t="s">
        <v>679</v>
      </c>
      <c r="D3" s="275" t="s">
        <v>680</v>
      </c>
      <c r="E3" s="276" t="s">
        <v>681</v>
      </c>
      <c r="F3" s="277"/>
      <c r="M3" s="271"/>
      <c r="N3" s="271"/>
      <c r="O3" s="271"/>
    </row>
    <row r="4" customFormat="false" ht="12.75" hidden="false" customHeight="true" outlineLevel="0" collapsed="false">
      <c r="A4" s="278" t="s">
        <v>682</v>
      </c>
      <c r="B4" s="275" t="s">
        <v>683</v>
      </c>
      <c r="C4" s="275" t="s">
        <v>684</v>
      </c>
      <c r="D4" s="275" t="s">
        <v>685</v>
      </c>
      <c r="E4" s="276" t="s">
        <v>686</v>
      </c>
      <c r="F4" s="277"/>
      <c r="M4" s="271"/>
      <c r="N4" s="271"/>
      <c r="O4" s="271"/>
    </row>
    <row r="5" customFormat="false" ht="39.75" hidden="false" customHeight="true" outlineLevel="0" collapsed="false">
      <c r="A5" s="278" t="s">
        <v>682</v>
      </c>
      <c r="B5" s="275" t="s">
        <v>687</v>
      </c>
      <c r="C5" s="275" t="s">
        <v>688</v>
      </c>
      <c r="D5" s="275" t="s">
        <v>689</v>
      </c>
      <c r="E5" s="276" t="s">
        <v>686</v>
      </c>
      <c r="F5" s="270"/>
      <c r="M5" s="271"/>
      <c r="N5" s="271"/>
      <c r="O5" s="271"/>
    </row>
    <row r="6" customFormat="false" ht="51" hidden="false" customHeight="true" outlineLevel="0" collapsed="false">
      <c r="A6" s="279" t="n">
        <v>100000001583</v>
      </c>
      <c r="B6" s="275"/>
      <c r="C6" s="275" t="s">
        <v>690</v>
      </c>
      <c r="D6" s="275" t="s">
        <v>691</v>
      </c>
      <c r="E6" s="276" t="s">
        <v>686</v>
      </c>
      <c r="F6" s="277"/>
      <c r="M6" s="271"/>
      <c r="N6" s="271"/>
    </row>
    <row r="7" customFormat="false" ht="85.5" hidden="false" customHeight="true" outlineLevel="0" collapsed="false">
      <c r="A7" s="280" t="n">
        <v>100000004256</v>
      </c>
      <c r="B7" s="275" t="s">
        <v>692</v>
      </c>
      <c r="C7" s="275" t="s">
        <v>690</v>
      </c>
      <c r="D7" s="275" t="s">
        <v>693</v>
      </c>
      <c r="E7" s="276" t="s">
        <v>694</v>
      </c>
      <c r="F7" s="281"/>
      <c r="M7" s="271"/>
      <c r="N7" s="271"/>
      <c r="O7" s="271"/>
    </row>
    <row r="8" customFormat="false" ht="15.75" hidden="false" customHeight="true" outlineLevel="0" collapsed="false">
      <c r="A8" s="280" t="n">
        <v>100000005482</v>
      </c>
      <c r="B8" s="275" t="s">
        <v>695</v>
      </c>
      <c r="C8" s="275" t="s">
        <v>690</v>
      </c>
      <c r="D8" s="275" t="s">
        <v>696</v>
      </c>
      <c r="E8" s="276" t="s">
        <v>697</v>
      </c>
      <c r="F8" s="270" t="s">
        <v>698</v>
      </c>
    </row>
    <row r="9" customFormat="false" ht="12.75" hidden="false" customHeight="true" outlineLevel="0" collapsed="false">
      <c r="A9" s="279" t="s">
        <v>699</v>
      </c>
      <c r="B9" s="282"/>
      <c r="C9" s="275" t="s">
        <v>700</v>
      </c>
      <c r="D9" s="275" t="s">
        <v>701</v>
      </c>
      <c r="E9" s="276" t="s">
        <v>686</v>
      </c>
      <c r="F9" s="277"/>
      <c r="M9" s="271"/>
      <c r="N9" s="271"/>
      <c r="O9" s="271"/>
    </row>
    <row r="10" customFormat="false" ht="31.5" hidden="false" customHeight="true" outlineLevel="0" collapsed="false">
      <c r="A10" s="283" t="s">
        <v>702</v>
      </c>
      <c r="B10" s="282"/>
      <c r="C10" s="275" t="s">
        <v>703</v>
      </c>
      <c r="D10" s="275" t="s">
        <v>704</v>
      </c>
      <c r="E10" s="276" t="s">
        <v>686</v>
      </c>
      <c r="F10" s="277"/>
      <c r="M10" s="271"/>
      <c r="N10" s="271"/>
      <c r="O10" s="271"/>
    </row>
    <row r="11" customFormat="false" ht="12.75" hidden="false" customHeight="true" outlineLevel="0" collapsed="false">
      <c r="A11" s="274" t="n">
        <v>140000177</v>
      </c>
      <c r="B11" s="282"/>
      <c r="C11" s="275" t="s">
        <v>705</v>
      </c>
      <c r="D11" s="275" t="s">
        <v>706</v>
      </c>
      <c r="E11" s="276" t="s">
        <v>686</v>
      </c>
      <c r="F11" s="277"/>
      <c r="M11" s="271"/>
      <c r="N11" s="271"/>
      <c r="O11" s="271"/>
    </row>
    <row r="12" customFormat="false" ht="12.75" hidden="false" customHeight="true" outlineLevel="0" collapsed="false">
      <c r="A12" s="283" t="s">
        <v>707</v>
      </c>
      <c r="B12" s="282"/>
      <c r="C12" s="275" t="s">
        <v>708</v>
      </c>
      <c r="D12" s="275" t="s">
        <v>709</v>
      </c>
      <c r="E12" s="276" t="s">
        <v>686</v>
      </c>
      <c r="F12" s="277"/>
      <c r="M12" s="271"/>
      <c r="N12" s="271"/>
      <c r="O12" s="271"/>
    </row>
    <row r="13" customFormat="false" ht="12.75" hidden="false" customHeight="true" outlineLevel="0" collapsed="false">
      <c r="A13" s="283" t="s">
        <v>710</v>
      </c>
      <c r="B13" s="282" t="s">
        <v>711</v>
      </c>
      <c r="C13" s="275" t="s">
        <v>708</v>
      </c>
      <c r="D13" s="282" t="s">
        <v>712</v>
      </c>
      <c r="E13" s="276" t="s">
        <v>686</v>
      </c>
      <c r="F13" s="277"/>
      <c r="M13" s="271"/>
      <c r="N13" s="271"/>
      <c r="O13" s="271"/>
    </row>
    <row r="14" customFormat="false" ht="12.75" hidden="false" customHeight="true" outlineLevel="0" collapsed="false">
      <c r="A14" s="284" t="s">
        <v>713</v>
      </c>
      <c r="B14" s="284"/>
      <c r="C14" s="284"/>
      <c r="D14" s="284"/>
      <c r="E14" s="284"/>
      <c r="F14" s="270"/>
      <c r="M14" s="271"/>
      <c r="N14" s="271"/>
      <c r="O14" s="271"/>
    </row>
    <row r="15" customFormat="false" ht="12.75" hidden="false" customHeight="true" outlineLevel="0" collapsed="false">
      <c r="A15" s="274" t="n">
        <v>140000179</v>
      </c>
      <c r="B15" s="275"/>
      <c r="C15" s="275" t="s">
        <v>714</v>
      </c>
      <c r="D15" s="275" t="s">
        <v>715</v>
      </c>
      <c r="E15" s="276" t="s">
        <v>716</v>
      </c>
      <c r="F15" s="270"/>
      <c r="M15" s="271"/>
      <c r="N15" s="271"/>
      <c r="O15" s="271"/>
    </row>
    <row r="16" customFormat="false" ht="12.75" hidden="false" customHeight="true" outlineLevel="0" collapsed="false">
      <c r="A16" s="279" t="s">
        <v>717</v>
      </c>
      <c r="B16" s="275"/>
      <c r="C16" s="275" t="s">
        <v>718</v>
      </c>
      <c r="D16" s="275" t="s">
        <v>719</v>
      </c>
      <c r="E16" s="276" t="s">
        <v>720</v>
      </c>
      <c r="F16" s="270"/>
      <c r="M16" s="271"/>
      <c r="N16" s="271"/>
      <c r="O16" s="271"/>
    </row>
    <row r="17" customFormat="false" ht="12.75" hidden="false" customHeight="true" outlineLevel="0" collapsed="false">
      <c r="A17" s="279" t="n">
        <v>1000000001621</v>
      </c>
      <c r="B17" s="275" t="s">
        <v>721</v>
      </c>
      <c r="C17" s="275" t="s">
        <v>690</v>
      </c>
      <c r="D17" s="275" t="s">
        <v>722</v>
      </c>
      <c r="E17" s="276" t="s">
        <v>723</v>
      </c>
      <c r="F17" s="270"/>
      <c r="M17" s="271"/>
      <c r="N17" s="271"/>
      <c r="O17" s="271"/>
    </row>
    <row r="18" customFormat="false" ht="12.75" hidden="false" customHeight="true" outlineLevel="0" collapsed="false">
      <c r="A18" s="279" t="n">
        <v>1000000001622</v>
      </c>
      <c r="B18" s="275"/>
      <c r="C18" s="275" t="s">
        <v>690</v>
      </c>
      <c r="D18" s="275" t="s">
        <v>724</v>
      </c>
      <c r="E18" s="276" t="s">
        <v>720</v>
      </c>
      <c r="F18" s="270"/>
      <c r="M18" s="271"/>
      <c r="N18" s="271"/>
      <c r="O18" s="271"/>
    </row>
    <row r="19" customFormat="false" ht="12.75" hidden="false" customHeight="true" outlineLevel="0" collapsed="false">
      <c r="A19" s="274" t="n">
        <v>140000178</v>
      </c>
      <c r="B19" s="275"/>
      <c r="C19" s="275" t="s">
        <v>725</v>
      </c>
      <c r="D19" s="275" t="s">
        <v>726</v>
      </c>
      <c r="E19" s="276" t="s">
        <v>727</v>
      </c>
      <c r="F19" s="270"/>
      <c r="M19" s="271"/>
      <c r="N19" s="271"/>
      <c r="O19" s="271"/>
    </row>
    <row r="20" customFormat="false" ht="12.75" hidden="false" customHeight="true" outlineLevel="0" collapsed="false">
      <c r="A20" s="279" t="n">
        <v>140000211</v>
      </c>
      <c r="B20" s="275"/>
      <c r="C20" s="275" t="s">
        <v>728</v>
      </c>
      <c r="D20" s="275" t="s">
        <v>729</v>
      </c>
      <c r="E20" s="276" t="s">
        <v>730</v>
      </c>
      <c r="F20" s="270"/>
      <c r="M20" s="271"/>
      <c r="N20" s="271"/>
      <c r="O20" s="271"/>
    </row>
    <row r="21" customFormat="false" ht="15.75" hidden="false" customHeight="true" outlineLevel="0" collapsed="false">
      <c r="A21" s="279" t="s">
        <v>731</v>
      </c>
      <c r="B21" s="275" t="s">
        <v>732</v>
      </c>
      <c r="C21" s="275" t="s">
        <v>733</v>
      </c>
      <c r="D21" s="275" t="s">
        <v>734</v>
      </c>
      <c r="E21" s="276" t="s">
        <v>735</v>
      </c>
      <c r="F21" s="270"/>
    </row>
    <row r="22" customFormat="false" ht="15.75" hidden="false" customHeight="true" outlineLevel="0" collapsed="false">
      <c r="A22" s="283" t="s">
        <v>736</v>
      </c>
      <c r="B22" s="275" t="s">
        <v>737</v>
      </c>
      <c r="C22" s="275" t="s">
        <v>703</v>
      </c>
      <c r="D22" s="275" t="s">
        <v>738</v>
      </c>
      <c r="E22" s="276" t="s">
        <v>739</v>
      </c>
      <c r="F22" s="270"/>
    </row>
    <row r="23" customFormat="false" ht="15.75" hidden="false" customHeight="true" outlineLevel="0" collapsed="false">
      <c r="A23" s="285" t="s">
        <v>740</v>
      </c>
      <c r="B23" s="285"/>
      <c r="C23" s="285"/>
      <c r="D23" s="285"/>
      <c r="E23" s="285"/>
      <c r="F23" s="270"/>
    </row>
    <row r="24" customFormat="false" ht="15.75" hidden="false" customHeight="true" outlineLevel="0" collapsed="false">
      <c r="A24" s="286" t="n">
        <v>100000003398</v>
      </c>
      <c r="B24" s="287" t="s">
        <v>741</v>
      </c>
      <c r="C24" s="287" t="s">
        <v>679</v>
      </c>
      <c r="D24" s="287" t="s">
        <v>742</v>
      </c>
      <c r="E24" s="288" t="s">
        <v>686</v>
      </c>
      <c r="F24" s="270" t="s">
        <v>743</v>
      </c>
    </row>
    <row r="25" customFormat="false" ht="12.75" hidden="false" customHeight="true" outlineLevel="0" collapsed="false">
      <c r="A25" s="279" t="n">
        <v>10000001726</v>
      </c>
      <c r="B25" s="289" t="s">
        <v>744</v>
      </c>
      <c r="C25" s="275" t="s">
        <v>745</v>
      </c>
      <c r="D25" s="275" t="s">
        <v>746</v>
      </c>
      <c r="E25" s="276" t="s">
        <v>686</v>
      </c>
      <c r="F25" s="277" t="s">
        <v>747</v>
      </c>
      <c r="O25" s="271"/>
    </row>
    <row r="26" customFormat="false" ht="15.75" hidden="false" customHeight="true" outlineLevel="0" collapsed="false">
      <c r="A26" s="278" t="s">
        <v>682</v>
      </c>
      <c r="B26" s="275"/>
      <c r="C26" s="275" t="s">
        <v>688</v>
      </c>
      <c r="D26" s="275" t="s">
        <v>748</v>
      </c>
      <c r="E26" s="276" t="s">
        <v>686</v>
      </c>
    </row>
    <row r="27" customFormat="false" ht="15.75" hidden="false" customHeight="true" outlineLevel="0" collapsed="false">
      <c r="A27" s="25"/>
      <c r="E27" s="290"/>
    </row>
    <row r="28" customFormat="false" ht="15.75" hidden="false" customHeight="true" outlineLevel="0" collapsed="false">
      <c r="A28" s="25"/>
      <c r="E28" s="290"/>
    </row>
    <row r="29" customFormat="false" ht="15.75" hidden="false" customHeight="true" outlineLevel="0" collapsed="false">
      <c r="A29" s="25"/>
      <c r="E29" s="290"/>
    </row>
    <row r="30" customFormat="false" ht="15.75" hidden="false" customHeight="true" outlineLevel="0" collapsed="false">
      <c r="A30" s="25"/>
      <c r="E30" s="290"/>
    </row>
    <row r="31" customFormat="false" ht="15.75" hidden="false" customHeight="true" outlineLevel="0" collapsed="false">
      <c r="A31" s="25"/>
      <c r="E31" s="290"/>
    </row>
    <row r="32" customFormat="false" ht="15.75" hidden="false" customHeight="true" outlineLevel="0" collapsed="false">
      <c r="A32" s="25"/>
      <c r="E32" s="290"/>
    </row>
    <row r="33" customFormat="false" ht="15.75" hidden="false" customHeight="true" outlineLevel="0" collapsed="false">
      <c r="A33" s="25"/>
      <c r="E33" s="290"/>
    </row>
    <row r="34" customFormat="false" ht="15.75" hidden="false" customHeight="true" outlineLevel="0" collapsed="false">
      <c r="A34" s="25"/>
      <c r="E34" s="290"/>
    </row>
    <row r="35" customFormat="false" ht="15.75" hidden="false" customHeight="true" outlineLevel="0" collapsed="false">
      <c r="A35" s="25"/>
      <c r="E35" s="290"/>
    </row>
    <row r="36" customFormat="false" ht="15.75" hidden="false" customHeight="true" outlineLevel="0" collapsed="false">
      <c r="A36" s="25"/>
      <c r="E36" s="290"/>
    </row>
    <row r="37" customFormat="false" ht="15.75" hidden="false" customHeight="true" outlineLevel="0" collapsed="false">
      <c r="A37" s="25"/>
      <c r="E37" s="290"/>
    </row>
    <row r="38" customFormat="false" ht="15.75" hidden="false" customHeight="true" outlineLevel="0" collapsed="false">
      <c r="A38" s="25"/>
      <c r="E38" s="290"/>
    </row>
    <row r="39" customFormat="false" ht="15.75" hidden="false" customHeight="true" outlineLevel="0" collapsed="false">
      <c r="A39" s="25"/>
      <c r="E39" s="290"/>
    </row>
    <row r="40" customFormat="false" ht="15.75" hidden="false" customHeight="true" outlineLevel="0" collapsed="false">
      <c r="A40" s="25"/>
      <c r="E40" s="290"/>
    </row>
    <row r="41" customFormat="false" ht="15.75" hidden="false" customHeight="true" outlineLevel="0" collapsed="false">
      <c r="A41" s="25"/>
      <c r="E41" s="290"/>
    </row>
    <row r="42" customFormat="false" ht="15.75" hidden="false" customHeight="true" outlineLevel="0" collapsed="false">
      <c r="A42" s="25"/>
      <c r="E42" s="290"/>
    </row>
    <row r="43" customFormat="false" ht="15.75" hidden="false" customHeight="true" outlineLevel="0" collapsed="false">
      <c r="A43" s="25"/>
      <c r="E43" s="290"/>
    </row>
    <row r="44" customFormat="false" ht="15.75" hidden="false" customHeight="true" outlineLevel="0" collapsed="false">
      <c r="A44" s="25"/>
      <c r="E44" s="290"/>
    </row>
    <row r="45" customFormat="false" ht="15.75" hidden="false" customHeight="true" outlineLevel="0" collapsed="false">
      <c r="A45" s="25"/>
      <c r="E45" s="290"/>
    </row>
    <row r="46" customFormat="false" ht="15.75" hidden="false" customHeight="true" outlineLevel="0" collapsed="false">
      <c r="A46" s="25"/>
      <c r="E46" s="290"/>
    </row>
    <row r="47" customFormat="false" ht="15.75" hidden="false" customHeight="true" outlineLevel="0" collapsed="false">
      <c r="A47" s="25"/>
      <c r="E47" s="290"/>
    </row>
    <row r="48" customFormat="false" ht="15.75" hidden="false" customHeight="true" outlineLevel="0" collapsed="false">
      <c r="A48" s="25"/>
      <c r="E48" s="290"/>
    </row>
    <row r="49" customFormat="false" ht="15.75" hidden="false" customHeight="true" outlineLevel="0" collapsed="false">
      <c r="A49" s="25"/>
      <c r="E49" s="290"/>
    </row>
    <row r="50" customFormat="false" ht="15.75" hidden="false" customHeight="true" outlineLevel="0" collapsed="false">
      <c r="A50" s="25"/>
      <c r="E50" s="290"/>
    </row>
    <row r="51" customFormat="false" ht="15.75" hidden="false" customHeight="true" outlineLevel="0" collapsed="false">
      <c r="A51" s="25"/>
      <c r="E51" s="290"/>
    </row>
    <row r="52" customFormat="false" ht="15.75" hidden="false" customHeight="true" outlineLevel="0" collapsed="false">
      <c r="A52" s="25"/>
      <c r="E52" s="290"/>
    </row>
    <row r="53" customFormat="false" ht="15.75" hidden="false" customHeight="true" outlineLevel="0" collapsed="false">
      <c r="A53" s="25"/>
      <c r="E53" s="290"/>
    </row>
    <row r="54" customFormat="false" ht="15.75" hidden="false" customHeight="true" outlineLevel="0" collapsed="false">
      <c r="A54" s="25"/>
      <c r="E54" s="290"/>
    </row>
    <row r="55" customFormat="false" ht="15.75" hidden="false" customHeight="true" outlineLevel="0" collapsed="false">
      <c r="A55" s="25"/>
      <c r="E55" s="290"/>
    </row>
    <row r="56" customFormat="false" ht="15.75" hidden="false" customHeight="true" outlineLevel="0" collapsed="false">
      <c r="A56" s="25"/>
      <c r="E56" s="290"/>
    </row>
    <row r="57" customFormat="false" ht="15.75" hidden="false" customHeight="true" outlineLevel="0" collapsed="false">
      <c r="A57" s="25"/>
      <c r="E57" s="290"/>
    </row>
    <row r="58" customFormat="false" ht="15.75" hidden="false" customHeight="true" outlineLevel="0" collapsed="false">
      <c r="A58" s="25"/>
      <c r="E58" s="290"/>
    </row>
    <row r="59" customFormat="false" ht="15.75" hidden="false" customHeight="true" outlineLevel="0" collapsed="false">
      <c r="A59" s="25"/>
      <c r="E59" s="290"/>
    </row>
    <row r="60" customFormat="false" ht="15.75" hidden="false" customHeight="true" outlineLevel="0" collapsed="false">
      <c r="A60" s="25"/>
      <c r="E60" s="290"/>
    </row>
    <row r="61" customFormat="false" ht="15.75" hidden="false" customHeight="true" outlineLevel="0" collapsed="false">
      <c r="A61" s="25"/>
      <c r="E61" s="290"/>
    </row>
    <row r="62" customFormat="false" ht="15.75" hidden="false" customHeight="true" outlineLevel="0" collapsed="false">
      <c r="A62" s="25"/>
      <c r="E62" s="290"/>
    </row>
    <row r="63" customFormat="false" ht="15.75" hidden="false" customHeight="true" outlineLevel="0" collapsed="false">
      <c r="A63" s="25"/>
      <c r="E63" s="290"/>
    </row>
    <row r="64" customFormat="false" ht="15.75" hidden="false" customHeight="true" outlineLevel="0" collapsed="false">
      <c r="A64" s="25"/>
      <c r="E64" s="290"/>
    </row>
    <row r="65" customFormat="false" ht="15.75" hidden="false" customHeight="true" outlineLevel="0" collapsed="false">
      <c r="A65" s="25"/>
      <c r="E65" s="290"/>
    </row>
    <row r="66" customFormat="false" ht="15.75" hidden="false" customHeight="true" outlineLevel="0" collapsed="false">
      <c r="A66" s="25"/>
      <c r="E66" s="290"/>
    </row>
    <row r="67" customFormat="false" ht="15.75" hidden="false" customHeight="true" outlineLevel="0" collapsed="false">
      <c r="A67" s="25"/>
      <c r="E67" s="290"/>
    </row>
    <row r="68" customFormat="false" ht="15.75" hidden="false" customHeight="true" outlineLevel="0" collapsed="false">
      <c r="A68" s="25"/>
      <c r="E68" s="290"/>
    </row>
    <row r="69" customFormat="false" ht="15.75" hidden="false" customHeight="true" outlineLevel="0" collapsed="false">
      <c r="A69" s="25"/>
      <c r="E69" s="290"/>
    </row>
    <row r="70" customFormat="false" ht="15.75" hidden="false" customHeight="true" outlineLevel="0" collapsed="false">
      <c r="A70" s="25"/>
      <c r="E70" s="290"/>
    </row>
    <row r="71" customFormat="false" ht="15.75" hidden="false" customHeight="true" outlineLevel="0" collapsed="false">
      <c r="A71" s="25"/>
      <c r="E71" s="290"/>
    </row>
    <row r="72" customFormat="false" ht="15.75" hidden="false" customHeight="true" outlineLevel="0" collapsed="false">
      <c r="A72" s="25"/>
      <c r="E72" s="290"/>
    </row>
    <row r="73" customFormat="false" ht="15.75" hidden="false" customHeight="true" outlineLevel="0" collapsed="false">
      <c r="A73" s="25"/>
      <c r="E73" s="290"/>
    </row>
    <row r="74" customFormat="false" ht="15.75" hidden="false" customHeight="true" outlineLevel="0" collapsed="false">
      <c r="A74" s="25"/>
      <c r="E74" s="290"/>
    </row>
    <row r="75" customFormat="false" ht="15.75" hidden="false" customHeight="true" outlineLevel="0" collapsed="false">
      <c r="A75" s="25"/>
      <c r="E75" s="290"/>
    </row>
    <row r="76" customFormat="false" ht="15.75" hidden="false" customHeight="true" outlineLevel="0" collapsed="false">
      <c r="A76" s="25"/>
      <c r="E76" s="290"/>
    </row>
    <row r="77" customFormat="false" ht="15.75" hidden="false" customHeight="true" outlineLevel="0" collapsed="false">
      <c r="A77" s="25"/>
      <c r="E77" s="290"/>
    </row>
    <row r="78" customFormat="false" ht="15.75" hidden="false" customHeight="true" outlineLevel="0" collapsed="false">
      <c r="A78" s="25"/>
      <c r="E78" s="290"/>
    </row>
    <row r="79" customFormat="false" ht="15.75" hidden="false" customHeight="true" outlineLevel="0" collapsed="false">
      <c r="A79" s="25"/>
      <c r="E79" s="290"/>
    </row>
    <row r="80" customFormat="false" ht="15.75" hidden="false" customHeight="true" outlineLevel="0" collapsed="false">
      <c r="A80" s="25"/>
      <c r="E80" s="290"/>
    </row>
    <row r="81" customFormat="false" ht="15.75" hidden="false" customHeight="true" outlineLevel="0" collapsed="false">
      <c r="A81" s="25"/>
      <c r="E81" s="290"/>
    </row>
    <row r="82" customFormat="false" ht="15.75" hidden="false" customHeight="true" outlineLevel="0" collapsed="false">
      <c r="A82" s="25"/>
      <c r="E82" s="290"/>
    </row>
    <row r="83" customFormat="false" ht="15.75" hidden="false" customHeight="true" outlineLevel="0" collapsed="false">
      <c r="A83" s="25"/>
      <c r="E83" s="290"/>
    </row>
    <row r="84" customFormat="false" ht="15.75" hidden="false" customHeight="true" outlineLevel="0" collapsed="false">
      <c r="A84" s="25"/>
      <c r="E84" s="290"/>
    </row>
    <row r="85" customFormat="false" ht="15.75" hidden="false" customHeight="true" outlineLevel="0" collapsed="false">
      <c r="A85" s="25"/>
      <c r="E85" s="290"/>
    </row>
    <row r="86" customFormat="false" ht="15.75" hidden="false" customHeight="true" outlineLevel="0" collapsed="false">
      <c r="A86" s="25"/>
      <c r="E86" s="290"/>
    </row>
    <row r="87" customFormat="false" ht="15.75" hidden="false" customHeight="true" outlineLevel="0" collapsed="false">
      <c r="A87" s="25"/>
      <c r="E87" s="290"/>
    </row>
    <row r="88" customFormat="false" ht="15.75" hidden="false" customHeight="true" outlineLevel="0" collapsed="false">
      <c r="A88" s="25"/>
      <c r="E88" s="290"/>
    </row>
    <row r="89" customFormat="false" ht="15.75" hidden="false" customHeight="true" outlineLevel="0" collapsed="false">
      <c r="A89" s="25"/>
      <c r="E89" s="290"/>
    </row>
    <row r="90" customFormat="false" ht="15.75" hidden="false" customHeight="true" outlineLevel="0" collapsed="false">
      <c r="A90" s="25"/>
      <c r="E90" s="290"/>
    </row>
    <row r="91" customFormat="false" ht="15.75" hidden="false" customHeight="true" outlineLevel="0" collapsed="false">
      <c r="A91" s="25"/>
      <c r="E91" s="290"/>
    </row>
    <row r="92" customFormat="false" ht="15.75" hidden="false" customHeight="true" outlineLevel="0" collapsed="false">
      <c r="A92" s="25"/>
      <c r="E92" s="290"/>
    </row>
    <row r="93" customFormat="false" ht="15.75" hidden="false" customHeight="true" outlineLevel="0" collapsed="false">
      <c r="A93" s="25"/>
      <c r="E93" s="290"/>
    </row>
    <row r="94" customFormat="false" ht="15.75" hidden="false" customHeight="true" outlineLevel="0" collapsed="false">
      <c r="A94" s="25"/>
      <c r="E94" s="290"/>
    </row>
    <row r="95" customFormat="false" ht="15.75" hidden="false" customHeight="true" outlineLevel="0" collapsed="false">
      <c r="A95" s="25"/>
      <c r="E95" s="290"/>
    </row>
    <row r="96" customFormat="false" ht="15.75" hidden="false" customHeight="true" outlineLevel="0" collapsed="false">
      <c r="A96" s="25"/>
      <c r="E96" s="290"/>
    </row>
    <row r="97" customFormat="false" ht="15.75" hidden="false" customHeight="true" outlineLevel="0" collapsed="false">
      <c r="A97" s="25"/>
      <c r="E97" s="290"/>
    </row>
    <row r="98" customFormat="false" ht="15.75" hidden="false" customHeight="true" outlineLevel="0" collapsed="false">
      <c r="A98" s="25"/>
      <c r="E98" s="290"/>
    </row>
    <row r="99" customFormat="false" ht="15.75" hidden="false" customHeight="true" outlineLevel="0" collapsed="false">
      <c r="A99" s="25"/>
      <c r="E99" s="290"/>
    </row>
    <row r="100" customFormat="false" ht="15.75" hidden="false" customHeight="true" outlineLevel="0" collapsed="false">
      <c r="A100" s="25"/>
      <c r="E100" s="290"/>
    </row>
    <row r="101" customFormat="false" ht="15.75" hidden="false" customHeight="true" outlineLevel="0" collapsed="false">
      <c r="A101" s="25"/>
      <c r="E101" s="290"/>
    </row>
    <row r="102" customFormat="false" ht="15.75" hidden="false" customHeight="true" outlineLevel="0" collapsed="false">
      <c r="A102" s="25"/>
      <c r="E102" s="290"/>
    </row>
    <row r="103" customFormat="false" ht="15.75" hidden="false" customHeight="true" outlineLevel="0" collapsed="false">
      <c r="A103" s="25"/>
      <c r="E103" s="290"/>
    </row>
    <row r="104" customFormat="false" ht="15.75" hidden="false" customHeight="true" outlineLevel="0" collapsed="false">
      <c r="A104" s="25"/>
      <c r="E104" s="290"/>
    </row>
    <row r="105" customFormat="false" ht="15.75" hidden="false" customHeight="true" outlineLevel="0" collapsed="false">
      <c r="A105" s="25"/>
      <c r="E105" s="290"/>
    </row>
    <row r="106" customFormat="false" ht="15.75" hidden="false" customHeight="true" outlineLevel="0" collapsed="false">
      <c r="A106" s="25"/>
      <c r="E106" s="290"/>
    </row>
    <row r="107" customFormat="false" ht="15.75" hidden="false" customHeight="true" outlineLevel="0" collapsed="false">
      <c r="A107" s="25"/>
      <c r="E107" s="290"/>
    </row>
    <row r="108" customFormat="false" ht="15.75" hidden="false" customHeight="true" outlineLevel="0" collapsed="false">
      <c r="A108" s="25"/>
      <c r="E108" s="290"/>
    </row>
    <row r="109" customFormat="false" ht="15.75" hidden="false" customHeight="true" outlineLevel="0" collapsed="false">
      <c r="A109" s="25"/>
      <c r="E109" s="290"/>
    </row>
    <row r="110" customFormat="false" ht="15.75" hidden="false" customHeight="true" outlineLevel="0" collapsed="false">
      <c r="A110" s="25"/>
      <c r="E110" s="290"/>
    </row>
    <row r="111" customFormat="false" ht="15.75" hidden="false" customHeight="true" outlineLevel="0" collapsed="false">
      <c r="A111" s="25"/>
      <c r="E111" s="290"/>
    </row>
    <row r="112" customFormat="false" ht="15.75" hidden="false" customHeight="true" outlineLevel="0" collapsed="false">
      <c r="A112" s="25"/>
      <c r="E112" s="290"/>
    </row>
    <row r="113" customFormat="false" ht="15.75" hidden="false" customHeight="true" outlineLevel="0" collapsed="false">
      <c r="A113" s="25"/>
      <c r="E113" s="290"/>
    </row>
    <row r="114" customFormat="false" ht="15.75" hidden="false" customHeight="true" outlineLevel="0" collapsed="false">
      <c r="A114" s="25"/>
      <c r="E114" s="290"/>
    </row>
    <row r="115" customFormat="false" ht="15.75" hidden="false" customHeight="true" outlineLevel="0" collapsed="false">
      <c r="A115" s="25"/>
      <c r="E115" s="290"/>
    </row>
    <row r="116" customFormat="false" ht="15.75" hidden="false" customHeight="true" outlineLevel="0" collapsed="false">
      <c r="A116" s="25"/>
      <c r="E116" s="290"/>
    </row>
    <row r="117" customFormat="false" ht="15.75" hidden="false" customHeight="true" outlineLevel="0" collapsed="false">
      <c r="A117" s="25"/>
      <c r="E117" s="290"/>
    </row>
    <row r="118" customFormat="false" ht="15.75" hidden="false" customHeight="true" outlineLevel="0" collapsed="false">
      <c r="A118" s="25"/>
      <c r="E118" s="290"/>
    </row>
    <row r="119" customFormat="false" ht="15.75" hidden="false" customHeight="true" outlineLevel="0" collapsed="false">
      <c r="A119" s="25"/>
      <c r="E119" s="290"/>
    </row>
    <row r="120" customFormat="false" ht="15.75" hidden="false" customHeight="true" outlineLevel="0" collapsed="false">
      <c r="A120" s="25"/>
      <c r="E120" s="290"/>
    </row>
    <row r="121" customFormat="false" ht="15.75" hidden="false" customHeight="true" outlineLevel="0" collapsed="false">
      <c r="A121" s="25"/>
      <c r="E121" s="290"/>
    </row>
    <row r="122" customFormat="false" ht="15.75" hidden="false" customHeight="true" outlineLevel="0" collapsed="false">
      <c r="A122" s="25"/>
      <c r="E122" s="290"/>
    </row>
    <row r="123" customFormat="false" ht="15.75" hidden="false" customHeight="true" outlineLevel="0" collapsed="false">
      <c r="A123" s="25"/>
      <c r="E123" s="290"/>
    </row>
    <row r="124" customFormat="false" ht="15.75" hidden="false" customHeight="true" outlineLevel="0" collapsed="false">
      <c r="A124" s="25"/>
      <c r="E124" s="290"/>
    </row>
    <row r="125" customFormat="false" ht="15.75" hidden="false" customHeight="true" outlineLevel="0" collapsed="false">
      <c r="A125" s="25"/>
      <c r="E125" s="290"/>
    </row>
    <row r="126" customFormat="false" ht="15.75" hidden="false" customHeight="true" outlineLevel="0" collapsed="false">
      <c r="A126" s="25"/>
      <c r="E126" s="290"/>
    </row>
    <row r="127" customFormat="false" ht="15.75" hidden="false" customHeight="true" outlineLevel="0" collapsed="false">
      <c r="A127" s="25"/>
      <c r="E127" s="290"/>
    </row>
    <row r="128" customFormat="false" ht="15.75" hidden="false" customHeight="true" outlineLevel="0" collapsed="false">
      <c r="A128" s="25"/>
      <c r="E128" s="290"/>
    </row>
    <row r="129" customFormat="false" ht="15.75" hidden="false" customHeight="true" outlineLevel="0" collapsed="false">
      <c r="A129" s="25"/>
      <c r="E129" s="290"/>
    </row>
    <row r="130" customFormat="false" ht="15.75" hidden="false" customHeight="true" outlineLevel="0" collapsed="false">
      <c r="A130" s="25"/>
      <c r="E130" s="290"/>
    </row>
    <row r="131" customFormat="false" ht="15.75" hidden="false" customHeight="true" outlineLevel="0" collapsed="false">
      <c r="A131" s="25"/>
      <c r="E131" s="290"/>
    </row>
    <row r="132" customFormat="false" ht="15.75" hidden="false" customHeight="true" outlineLevel="0" collapsed="false">
      <c r="A132" s="25"/>
      <c r="E132" s="290"/>
    </row>
    <row r="133" customFormat="false" ht="15.75" hidden="false" customHeight="true" outlineLevel="0" collapsed="false">
      <c r="A133" s="25"/>
      <c r="E133" s="290"/>
    </row>
    <row r="134" customFormat="false" ht="15.75" hidden="false" customHeight="true" outlineLevel="0" collapsed="false">
      <c r="A134" s="25"/>
      <c r="E134" s="290"/>
    </row>
    <row r="135" customFormat="false" ht="15.75" hidden="false" customHeight="true" outlineLevel="0" collapsed="false">
      <c r="A135" s="25"/>
      <c r="E135" s="290"/>
    </row>
    <row r="136" customFormat="false" ht="15.75" hidden="false" customHeight="true" outlineLevel="0" collapsed="false">
      <c r="A136" s="25"/>
      <c r="E136" s="290"/>
    </row>
    <row r="137" customFormat="false" ht="15.75" hidden="false" customHeight="true" outlineLevel="0" collapsed="false">
      <c r="A137" s="25"/>
      <c r="E137" s="290"/>
    </row>
    <row r="138" customFormat="false" ht="15.75" hidden="false" customHeight="true" outlineLevel="0" collapsed="false">
      <c r="A138" s="25"/>
      <c r="E138" s="290"/>
    </row>
    <row r="139" customFormat="false" ht="15.75" hidden="false" customHeight="true" outlineLevel="0" collapsed="false">
      <c r="A139" s="25"/>
      <c r="E139" s="290"/>
    </row>
    <row r="140" customFormat="false" ht="15.75" hidden="false" customHeight="true" outlineLevel="0" collapsed="false">
      <c r="A140" s="25"/>
      <c r="E140" s="290"/>
    </row>
    <row r="141" customFormat="false" ht="15.75" hidden="false" customHeight="true" outlineLevel="0" collapsed="false">
      <c r="A141" s="25"/>
      <c r="E141" s="290"/>
    </row>
    <row r="142" customFormat="false" ht="15.75" hidden="false" customHeight="true" outlineLevel="0" collapsed="false">
      <c r="A142" s="25"/>
      <c r="E142" s="290"/>
    </row>
    <row r="143" customFormat="false" ht="15.75" hidden="false" customHeight="true" outlineLevel="0" collapsed="false">
      <c r="A143" s="25"/>
      <c r="E143" s="290"/>
    </row>
    <row r="144" customFormat="false" ht="15.75" hidden="false" customHeight="true" outlineLevel="0" collapsed="false">
      <c r="A144" s="25"/>
      <c r="E144" s="290"/>
    </row>
    <row r="145" customFormat="false" ht="15.75" hidden="false" customHeight="true" outlineLevel="0" collapsed="false">
      <c r="A145" s="25"/>
      <c r="E145" s="290"/>
    </row>
    <row r="146" customFormat="false" ht="15.75" hidden="false" customHeight="true" outlineLevel="0" collapsed="false">
      <c r="A146" s="25"/>
      <c r="E146" s="290"/>
    </row>
    <row r="147" customFormat="false" ht="15.75" hidden="false" customHeight="true" outlineLevel="0" collapsed="false">
      <c r="A147" s="25"/>
      <c r="E147" s="290"/>
    </row>
    <row r="148" customFormat="false" ht="15.75" hidden="false" customHeight="true" outlineLevel="0" collapsed="false">
      <c r="A148" s="25"/>
      <c r="E148" s="290"/>
    </row>
    <row r="149" customFormat="false" ht="15.75" hidden="false" customHeight="true" outlineLevel="0" collapsed="false">
      <c r="A149" s="25"/>
      <c r="E149" s="290"/>
    </row>
    <row r="150" customFormat="false" ht="15.75" hidden="false" customHeight="true" outlineLevel="0" collapsed="false">
      <c r="A150" s="25"/>
      <c r="E150" s="290"/>
    </row>
    <row r="151" customFormat="false" ht="15.75" hidden="false" customHeight="true" outlineLevel="0" collapsed="false">
      <c r="A151" s="25"/>
      <c r="E151" s="290"/>
    </row>
    <row r="152" customFormat="false" ht="15.75" hidden="false" customHeight="true" outlineLevel="0" collapsed="false">
      <c r="A152" s="25"/>
      <c r="E152" s="290"/>
    </row>
    <row r="153" customFormat="false" ht="15.75" hidden="false" customHeight="true" outlineLevel="0" collapsed="false">
      <c r="A153" s="25"/>
      <c r="E153" s="290"/>
    </row>
    <row r="154" customFormat="false" ht="15.75" hidden="false" customHeight="true" outlineLevel="0" collapsed="false">
      <c r="A154" s="25"/>
      <c r="E154" s="290"/>
    </row>
    <row r="155" customFormat="false" ht="15.75" hidden="false" customHeight="true" outlineLevel="0" collapsed="false">
      <c r="A155" s="25"/>
      <c r="E155" s="290"/>
    </row>
    <row r="156" customFormat="false" ht="15.75" hidden="false" customHeight="true" outlineLevel="0" collapsed="false">
      <c r="A156" s="25"/>
      <c r="E156" s="290"/>
    </row>
    <row r="157" customFormat="false" ht="15.75" hidden="false" customHeight="true" outlineLevel="0" collapsed="false">
      <c r="A157" s="25"/>
      <c r="E157" s="290"/>
    </row>
    <row r="158" customFormat="false" ht="15.75" hidden="false" customHeight="true" outlineLevel="0" collapsed="false">
      <c r="A158" s="25"/>
      <c r="E158" s="290"/>
    </row>
    <row r="159" customFormat="false" ht="15.75" hidden="false" customHeight="true" outlineLevel="0" collapsed="false">
      <c r="A159" s="25"/>
      <c r="E159" s="290"/>
    </row>
    <row r="160" customFormat="false" ht="15.75" hidden="false" customHeight="true" outlineLevel="0" collapsed="false">
      <c r="A160" s="25"/>
      <c r="E160" s="290"/>
    </row>
    <row r="161" customFormat="false" ht="15.75" hidden="false" customHeight="true" outlineLevel="0" collapsed="false">
      <c r="A161" s="25"/>
      <c r="E161" s="290"/>
    </row>
    <row r="162" customFormat="false" ht="15.75" hidden="false" customHeight="true" outlineLevel="0" collapsed="false">
      <c r="A162" s="25"/>
      <c r="E162" s="290"/>
    </row>
    <row r="163" customFormat="false" ht="15.75" hidden="false" customHeight="true" outlineLevel="0" collapsed="false">
      <c r="A163" s="25"/>
      <c r="E163" s="290"/>
    </row>
    <row r="164" customFormat="false" ht="15.75" hidden="false" customHeight="true" outlineLevel="0" collapsed="false">
      <c r="A164" s="25"/>
      <c r="E164" s="290"/>
    </row>
    <row r="165" customFormat="false" ht="15.75" hidden="false" customHeight="true" outlineLevel="0" collapsed="false">
      <c r="A165" s="25"/>
      <c r="E165" s="290"/>
    </row>
    <row r="166" customFormat="false" ht="15.75" hidden="false" customHeight="true" outlineLevel="0" collapsed="false">
      <c r="A166" s="25"/>
      <c r="E166" s="290"/>
    </row>
    <row r="167" customFormat="false" ht="15.75" hidden="false" customHeight="true" outlineLevel="0" collapsed="false">
      <c r="A167" s="25"/>
      <c r="E167" s="290"/>
    </row>
    <row r="168" customFormat="false" ht="15.75" hidden="false" customHeight="true" outlineLevel="0" collapsed="false">
      <c r="A168" s="25"/>
      <c r="E168" s="290"/>
    </row>
    <row r="169" customFormat="false" ht="15.75" hidden="false" customHeight="true" outlineLevel="0" collapsed="false">
      <c r="A169" s="25"/>
      <c r="E169" s="290"/>
    </row>
    <row r="170" customFormat="false" ht="15.75" hidden="false" customHeight="true" outlineLevel="0" collapsed="false">
      <c r="A170" s="25"/>
      <c r="E170" s="290"/>
    </row>
    <row r="171" customFormat="false" ht="15.75" hidden="false" customHeight="true" outlineLevel="0" collapsed="false">
      <c r="A171" s="25"/>
      <c r="E171" s="290"/>
    </row>
    <row r="172" customFormat="false" ht="15.75" hidden="false" customHeight="true" outlineLevel="0" collapsed="false">
      <c r="A172" s="25"/>
      <c r="E172" s="290"/>
    </row>
    <row r="173" customFormat="false" ht="15.75" hidden="false" customHeight="true" outlineLevel="0" collapsed="false">
      <c r="A173" s="25"/>
      <c r="E173" s="290"/>
    </row>
    <row r="174" customFormat="false" ht="15.75" hidden="false" customHeight="true" outlineLevel="0" collapsed="false">
      <c r="A174" s="25"/>
      <c r="E174" s="290"/>
    </row>
    <row r="175" customFormat="false" ht="15.75" hidden="false" customHeight="true" outlineLevel="0" collapsed="false">
      <c r="A175" s="25"/>
      <c r="E175" s="290"/>
    </row>
    <row r="176" customFormat="false" ht="15.75" hidden="false" customHeight="true" outlineLevel="0" collapsed="false">
      <c r="A176" s="25"/>
      <c r="E176" s="290"/>
    </row>
    <row r="177" customFormat="false" ht="15.75" hidden="false" customHeight="true" outlineLevel="0" collapsed="false">
      <c r="A177" s="25"/>
      <c r="E177" s="290"/>
    </row>
    <row r="178" customFormat="false" ht="15.75" hidden="false" customHeight="true" outlineLevel="0" collapsed="false">
      <c r="A178" s="25"/>
      <c r="E178" s="290"/>
    </row>
    <row r="179" customFormat="false" ht="15.75" hidden="false" customHeight="true" outlineLevel="0" collapsed="false">
      <c r="A179" s="25"/>
      <c r="E179" s="290"/>
    </row>
    <row r="180" customFormat="false" ht="15.75" hidden="false" customHeight="true" outlineLevel="0" collapsed="false">
      <c r="A180" s="25"/>
      <c r="E180" s="290"/>
    </row>
    <row r="181" customFormat="false" ht="15.75" hidden="false" customHeight="true" outlineLevel="0" collapsed="false">
      <c r="A181" s="25"/>
      <c r="E181" s="290"/>
    </row>
    <row r="182" customFormat="false" ht="15.75" hidden="false" customHeight="true" outlineLevel="0" collapsed="false">
      <c r="A182" s="25"/>
      <c r="E182" s="290"/>
    </row>
    <row r="183" customFormat="false" ht="15.75" hidden="false" customHeight="true" outlineLevel="0" collapsed="false">
      <c r="A183" s="25"/>
      <c r="E183" s="290"/>
    </row>
    <row r="184" customFormat="false" ht="15.75" hidden="false" customHeight="true" outlineLevel="0" collapsed="false">
      <c r="A184" s="25"/>
      <c r="E184" s="290"/>
    </row>
    <row r="185" customFormat="false" ht="15.75" hidden="false" customHeight="true" outlineLevel="0" collapsed="false">
      <c r="A185" s="25"/>
      <c r="E185" s="290"/>
    </row>
    <row r="186" customFormat="false" ht="15.75" hidden="false" customHeight="true" outlineLevel="0" collapsed="false">
      <c r="A186" s="25"/>
      <c r="E186" s="290"/>
    </row>
    <row r="187" customFormat="false" ht="15.75" hidden="false" customHeight="true" outlineLevel="0" collapsed="false">
      <c r="A187" s="25"/>
      <c r="E187" s="290"/>
    </row>
    <row r="188" customFormat="false" ht="15.75" hidden="false" customHeight="true" outlineLevel="0" collapsed="false">
      <c r="A188" s="25"/>
      <c r="E188" s="290"/>
    </row>
    <row r="189" customFormat="false" ht="15.75" hidden="false" customHeight="true" outlineLevel="0" collapsed="false">
      <c r="A189" s="25"/>
      <c r="E189" s="290"/>
    </row>
    <row r="190" customFormat="false" ht="15.75" hidden="false" customHeight="true" outlineLevel="0" collapsed="false">
      <c r="A190" s="25"/>
      <c r="E190" s="290"/>
    </row>
    <row r="191" customFormat="false" ht="15.75" hidden="false" customHeight="true" outlineLevel="0" collapsed="false">
      <c r="A191" s="25"/>
      <c r="E191" s="290"/>
    </row>
    <row r="192" customFormat="false" ht="15.75" hidden="false" customHeight="true" outlineLevel="0" collapsed="false">
      <c r="A192" s="25"/>
      <c r="E192" s="290"/>
    </row>
    <row r="193" customFormat="false" ht="15.75" hidden="false" customHeight="true" outlineLevel="0" collapsed="false">
      <c r="A193" s="25"/>
      <c r="E193" s="290"/>
    </row>
    <row r="194" customFormat="false" ht="15.75" hidden="false" customHeight="true" outlineLevel="0" collapsed="false">
      <c r="A194" s="25"/>
      <c r="E194" s="290"/>
    </row>
    <row r="195" customFormat="false" ht="15.75" hidden="false" customHeight="true" outlineLevel="0" collapsed="false">
      <c r="A195" s="25"/>
      <c r="E195" s="290"/>
    </row>
    <row r="196" customFormat="false" ht="15.75" hidden="false" customHeight="true" outlineLevel="0" collapsed="false">
      <c r="A196" s="25"/>
      <c r="E196" s="290"/>
    </row>
    <row r="197" customFormat="false" ht="15.75" hidden="false" customHeight="true" outlineLevel="0" collapsed="false">
      <c r="A197" s="25"/>
      <c r="E197" s="290"/>
    </row>
    <row r="198" customFormat="false" ht="15.75" hidden="false" customHeight="true" outlineLevel="0" collapsed="false">
      <c r="A198" s="25"/>
      <c r="E198" s="290"/>
    </row>
    <row r="199" customFormat="false" ht="15.75" hidden="false" customHeight="true" outlineLevel="0" collapsed="false">
      <c r="A199" s="25"/>
      <c r="E199" s="290"/>
    </row>
    <row r="200" customFormat="false" ht="15.75" hidden="false" customHeight="true" outlineLevel="0" collapsed="false">
      <c r="A200" s="25"/>
      <c r="E200" s="290"/>
    </row>
    <row r="201" customFormat="false" ht="15.75" hidden="false" customHeight="true" outlineLevel="0" collapsed="false">
      <c r="A201" s="25"/>
      <c r="E201" s="290"/>
    </row>
    <row r="202" customFormat="false" ht="15.75" hidden="false" customHeight="true" outlineLevel="0" collapsed="false">
      <c r="A202" s="25"/>
      <c r="E202" s="290"/>
    </row>
    <row r="203" customFormat="false" ht="15.75" hidden="false" customHeight="true" outlineLevel="0" collapsed="false">
      <c r="A203" s="25"/>
      <c r="E203" s="290"/>
    </row>
    <row r="204" customFormat="false" ht="15.75" hidden="false" customHeight="true" outlineLevel="0" collapsed="false">
      <c r="A204" s="25"/>
      <c r="E204" s="290"/>
    </row>
    <row r="205" customFormat="false" ht="15.75" hidden="false" customHeight="true" outlineLevel="0" collapsed="false">
      <c r="A205" s="25"/>
      <c r="E205" s="290"/>
    </row>
    <row r="206" customFormat="false" ht="15.75" hidden="false" customHeight="true" outlineLevel="0" collapsed="false">
      <c r="A206" s="25"/>
      <c r="E206" s="290"/>
    </row>
    <row r="207" customFormat="false" ht="15.75" hidden="false" customHeight="true" outlineLevel="0" collapsed="false">
      <c r="A207" s="25"/>
      <c r="E207" s="290"/>
    </row>
    <row r="208" customFormat="false" ht="15.75" hidden="false" customHeight="true" outlineLevel="0" collapsed="false">
      <c r="A208" s="25"/>
      <c r="E208" s="290"/>
    </row>
    <row r="209" customFormat="false" ht="15.75" hidden="false" customHeight="true" outlineLevel="0" collapsed="false">
      <c r="A209" s="25"/>
      <c r="E209" s="290"/>
    </row>
    <row r="210" customFormat="false" ht="15.75" hidden="false" customHeight="true" outlineLevel="0" collapsed="false">
      <c r="A210" s="25"/>
      <c r="E210" s="290"/>
    </row>
    <row r="211" customFormat="false" ht="15.75" hidden="false" customHeight="true" outlineLevel="0" collapsed="false">
      <c r="A211" s="25"/>
      <c r="E211" s="290"/>
    </row>
    <row r="212" customFormat="false" ht="15.75" hidden="false" customHeight="true" outlineLevel="0" collapsed="false">
      <c r="A212" s="25"/>
      <c r="E212" s="290"/>
    </row>
    <row r="213" customFormat="false" ht="15.75" hidden="false" customHeight="true" outlineLevel="0" collapsed="false">
      <c r="A213" s="25"/>
      <c r="E213" s="290"/>
    </row>
    <row r="214" customFormat="false" ht="15.75" hidden="false" customHeight="true" outlineLevel="0" collapsed="false">
      <c r="A214" s="25"/>
      <c r="E214" s="290"/>
    </row>
    <row r="215" customFormat="false" ht="15.75" hidden="false" customHeight="true" outlineLevel="0" collapsed="false">
      <c r="A215" s="25"/>
      <c r="E215" s="290"/>
    </row>
    <row r="216" customFormat="false" ht="15.75" hidden="false" customHeight="true" outlineLevel="0" collapsed="false">
      <c r="A216" s="25"/>
      <c r="E216" s="290"/>
    </row>
    <row r="217" customFormat="false" ht="15.75" hidden="false" customHeight="true" outlineLevel="0" collapsed="false">
      <c r="A217" s="25"/>
      <c r="E217" s="290"/>
    </row>
    <row r="218" customFormat="false" ht="15.75" hidden="false" customHeight="true" outlineLevel="0" collapsed="false">
      <c r="A218" s="25"/>
      <c r="E218" s="290"/>
    </row>
    <row r="219" customFormat="false" ht="15.75" hidden="false" customHeight="true" outlineLevel="0" collapsed="false">
      <c r="A219" s="25"/>
      <c r="E219" s="290"/>
    </row>
    <row r="220" customFormat="false" ht="15.75" hidden="false" customHeight="true" outlineLevel="0" collapsed="false">
      <c r="A220" s="25"/>
      <c r="E220" s="290"/>
    </row>
    <row r="221" customFormat="false" ht="15.75" hidden="false" customHeight="true" outlineLevel="0" collapsed="false">
      <c r="A221" s="25"/>
      <c r="E221" s="290"/>
    </row>
    <row r="222" customFormat="false" ht="15.75" hidden="false" customHeight="true" outlineLevel="0" collapsed="false">
      <c r="A222" s="25"/>
      <c r="E222" s="290"/>
    </row>
    <row r="223" customFormat="false" ht="15.75" hidden="false" customHeight="true" outlineLevel="0" collapsed="false">
      <c r="A223" s="25"/>
      <c r="E223" s="290"/>
    </row>
    <row r="224" customFormat="false" ht="15.75" hidden="false" customHeight="true" outlineLevel="0" collapsed="false">
      <c r="A224" s="25"/>
      <c r="E224" s="290"/>
    </row>
    <row r="225" customFormat="false" ht="15.75" hidden="false" customHeight="true" outlineLevel="0" collapsed="false">
      <c r="A225" s="25"/>
      <c r="E225" s="290"/>
    </row>
    <row r="226" customFormat="false" ht="15.75" hidden="false" customHeight="true" outlineLevel="0" collapsed="false">
      <c r="A226" s="25"/>
      <c r="E226" s="290"/>
    </row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E1"/>
    <mergeCell ref="D2:E2"/>
    <mergeCell ref="A14:E14"/>
    <mergeCell ref="A23:E23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tru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5.57"/>
    <col collapsed="false" customWidth="true" hidden="false" outlineLevel="0" max="2" min="2" style="1" width="27.14"/>
    <col collapsed="false" customWidth="true" hidden="false" outlineLevel="0" max="4" min="4" style="1" width="19"/>
    <col collapsed="false" customWidth="true" hidden="false" outlineLevel="0" max="6" min="6" style="1" width="22.14"/>
  </cols>
  <sheetData>
    <row r="1" customFormat="false" ht="20.25" hidden="false" customHeight="true" outlineLevel="0" collapsed="false">
      <c r="A1" s="291" t="s">
        <v>749</v>
      </c>
      <c r="B1" s="291"/>
      <c r="C1" s="291"/>
      <c r="D1" s="291"/>
      <c r="E1" s="291"/>
      <c r="M1" s="271"/>
      <c r="N1" s="271"/>
      <c r="O1" s="271"/>
    </row>
    <row r="2" customFormat="false" ht="28.5" hidden="false" customHeight="true" outlineLevel="0" collapsed="false">
      <c r="A2" s="272" t="s">
        <v>674</v>
      </c>
      <c r="B2" s="272" t="s">
        <v>675</v>
      </c>
      <c r="C2" s="272" t="s">
        <v>676</v>
      </c>
      <c r="D2" s="273" t="s">
        <v>677</v>
      </c>
      <c r="E2" s="273"/>
      <c r="M2" s="271"/>
      <c r="N2" s="271"/>
      <c r="O2" s="271"/>
    </row>
    <row r="3" customFormat="false" ht="12.75" hidden="false" customHeight="true" outlineLevel="0" collapsed="false">
      <c r="A3" s="292"/>
      <c r="B3" s="293"/>
      <c r="C3" s="293"/>
      <c r="D3" s="293"/>
      <c r="E3" s="294" t="s">
        <v>750</v>
      </c>
      <c r="F3" s="104"/>
      <c r="M3" s="271"/>
      <c r="N3" s="271"/>
      <c r="O3" s="271"/>
    </row>
    <row r="4" customFormat="false" ht="12.75" hidden="false" customHeight="true" outlineLevel="0" collapsed="false">
      <c r="A4" s="292"/>
      <c r="B4" s="293"/>
      <c r="C4" s="293"/>
      <c r="D4" s="293"/>
      <c r="E4" s="294" t="s">
        <v>751</v>
      </c>
      <c r="F4" s="104"/>
      <c r="M4" s="271"/>
      <c r="N4" s="271"/>
      <c r="O4" s="271"/>
    </row>
    <row r="5" customFormat="false" ht="15.75" hidden="false" customHeight="true" outlineLevel="0" collapsed="false">
      <c r="A5" s="291" t="s">
        <v>740</v>
      </c>
      <c r="B5" s="291"/>
      <c r="C5" s="291"/>
      <c r="D5" s="291"/>
      <c r="E5" s="291"/>
    </row>
    <row r="6" customFormat="false" ht="15.75" hidden="false" customHeight="true" outlineLevel="0" collapsed="false">
      <c r="A6" s="295"/>
      <c r="B6" s="296"/>
      <c r="C6" s="296"/>
      <c r="D6" s="296"/>
      <c r="E6" s="297" t="s">
        <v>533</v>
      </c>
    </row>
    <row r="7" customFormat="false" ht="15.75" hidden="false" customHeight="true" outlineLevel="0" collapsed="false">
      <c r="A7" s="295"/>
      <c r="B7" s="296"/>
      <c r="C7" s="296"/>
      <c r="D7" s="296"/>
      <c r="E7" s="297" t="s">
        <v>533</v>
      </c>
    </row>
    <row r="8" customFormat="false" ht="15.75" hidden="false" customHeight="true" outlineLevel="0" collapsed="false">
      <c r="A8" s="295"/>
      <c r="B8" s="296"/>
      <c r="C8" s="296"/>
      <c r="D8" s="296"/>
      <c r="E8" s="297" t="s">
        <v>533</v>
      </c>
    </row>
    <row r="9" customFormat="false" ht="15.75" hidden="false" customHeight="true" outlineLevel="0" collapsed="false">
      <c r="A9" s="25"/>
      <c r="E9" s="290"/>
    </row>
    <row r="10" customFormat="false" ht="15.75" hidden="false" customHeight="true" outlineLevel="0" collapsed="false">
      <c r="A10" s="25"/>
      <c r="E10" s="290"/>
    </row>
    <row r="11" customFormat="false" ht="15.75" hidden="false" customHeight="true" outlineLevel="0" collapsed="false">
      <c r="A11" s="25"/>
      <c r="E11" s="290"/>
    </row>
    <row r="12" customFormat="false" ht="15.75" hidden="false" customHeight="true" outlineLevel="0" collapsed="false">
      <c r="A12" s="25"/>
      <c r="E12" s="290"/>
    </row>
    <row r="13" customFormat="false" ht="15.75" hidden="false" customHeight="true" outlineLevel="0" collapsed="false">
      <c r="A13" s="25"/>
      <c r="E13" s="290"/>
    </row>
    <row r="14" customFormat="false" ht="15.75" hidden="false" customHeight="true" outlineLevel="0" collapsed="false">
      <c r="A14" s="25"/>
      <c r="E14" s="290"/>
    </row>
    <row r="15" customFormat="false" ht="15.75" hidden="false" customHeight="true" outlineLevel="0" collapsed="false">
      <c r="A15" s="25"/>
      <c r="E15" s="290"/>
    </row>
    <row r="16" customFormat="false" ht="15.75" hidden="false" customHeight="true" outlineLevel="0" collapsed="false">
      <c r="A16" s="25"/>
      <c r="E16" s="290"/>
    </row>
    <row r="17" customFormat="false" ht="15.75" hidden="false" customHeight="true" outlineLevel="0" collapsed="false">
      <c r="A17" s="25"/>
      <c r="E17" s="290"/>
    </row>
    <row r="18" customFormat="false" ht="15.75" hidden="false" customHeight="true" outlineLevel="0" collapsed="false">
      <c r="A18" s="25"/>
      <c r="E18" s="290"/>
    </row>
    <row r="19" customFormat="false" ht="15.75" hidden="false" customHeight="true" outlineLevel="0" collapsed="false">
      <c r="A19" s="25"/>
      <c r="E19" s="290"/>
    </row>
    <row r="20" customFormat="false" ht="15.75" hidden="false" customHeight="true" outlineLevel="0" collapsed="false">
      <c r="A20" s="25"/>
      <c r="E20" s="290"/>
    </row>
    <row r="21" customFormat="false" ht="15.75" hidden="false" customHeight="true" outlineLevel="0" collapsed="false">
      <c r="A21" s="25"/>
      <c r="E21" s="290"/>
    </row>
    <row r="22" customFormat="false" ht="15.75" hidden="false" customHeight="true" outlineLevel="0" collapsed="false">
      <c r="A22" s="25"/>
      <c r="E22" s="290"/>
    </row>
    <row r="23" customFormat="false" ht="15.75" hidden="false" customHeight="true" outlineLevel="0" collapsed="false">
      <c r="A23" s="25"/>
      <c r="E23" s="290"/>
    </row>
    <row r="24" customFormat="false" ht="15.75" hidden="false" customHeight="true" outlineLevel="0" collapsed="false">
      <c r="A24" s="25"/>
      <c r="E24" s="290"/>
    </row>
    <row r="25" customFormat="false" ht="15.75" hidden="false" customHeight="true" outlineLevel="0" collapsed="false">
      <c r="A25" s="25"/>
      <c r="E25" s="290"/>
    </row>
    <row r="26" customFormat="false" ht="15.75" hidden="false" customHeight="true" outlineLevel="0" collapsed="false">
      <c r="A26" s="25"/>
      <c r="E26" s="290"/>
    </row>
    <row r="27" customFormat="false" ht="15.75" hidden="false" customHeight="true" outlineLevel="0" collapsed="false">
      <c r="A27" s="25"/>
      <c r="E27" s="290"/>
    </row>
    <row r="28" customFormat="false" ht="15.75" hidden="false" customHeight="true" outlineLevel="0" collapsed="false">
      <c r="A28" s="25"/>
      <c r="E28" s="290"/>
    </row>
    <row r="29" customFormat="false" ht="15.75" hidden="false" customHeight="true" outlineLevel="0" collapsed="false">
      <c r="A29" s="25"/>
      <c r="E29" s="290"/>
    </row>
    <row r="30" customFormat="false" ht="15.75" hidden="false" customHeight="true" outlineLevel="0" collapsed="false">
      <c r="A30" s="25"/>
      <c r="E30" s="290"/>
    </row>
    <row r="31" customFormat="false" ht="15.75" hidden="false" customHeight="true" outlineLevel="0" collapsed="false">
      <c r="A31" s="25"/>
      <c r="E31" s="290"/>
    </row>
    <row r="32" customFormat="false" ht="15.75" hidden="false" customHeight="true" outlineLevel="0" collapsed="false">
      <c r="A32" s="25"/>
      <c r="E32" s="290"/>
    </row>
    <row r="33" customFormat="false" ht="15.75" hidden="false" customHeight="true" outlineLevel="0" collapsed="false">
      <c r="A33" s="25"/>
      <c r="E33" s="290"/>
    </row>
    <row r="34" customFormat="false" ht="15.75" hidden="false" customHeight="true" outlineLevel="0" collapsed="false">
      <c r="A34" s="25"/>
      <c r="E34" s="290"/>
    </row>
    <row r="35" customFormat="false" ht="15.75" hidden="false" customHeight="true" outlineLevel="0" collapsed="false">
      <c r="A35" s="25"/>
      <c r="E35" s="290"/>
    </row>
    <row r="36" customFormat="false" ht="15.75" hidden="false" customHeight="true" outlineLevel="0" collapsed="false">
      <c r="A36" s="25"/>
      <c r="E36" s="290"/>
    </row>
    <row r="37" customFormat="false" ht="15.75" hidden="false" customHeight="true" outlineLevel="0" collapsed="false">
      <c r="A37" s="25"/>
      <c r="E37" s="290"/>
    </row>
    <row r="38" customFormat="false" ht="15.75" hidden="false" customHeight="true" outlineLevel="0" collapsed="false">
      <c r="A38" s="25"/>
      <c r="E38" s="290"/>
    </row>
    <row r="39" customFormat="false" ht="15.75" hidden="false" customHeight="true" outlineLevel="0" collapsed="false">
      <c r="A39" s="25"/>
      <c r="E39" s="290"/>
    </row>
    <row r="40" customFormat="false" ht="15.75" hidden="false" customHeight="true" outlineLevel="0" collapsed="false">
      <c r="A40" s="25"/>
      <c r="E40" s="290"/>
    </row>
    <row r="41" customFormat="false" ht="15.75" hidden="false" customHeight="true" outlineLevel="0" collapsed="false">
      <c r="A41" s="25"/>
      <c r="E41" s="290"/>
    </row>
    <row r="42" customFormat="false" ht="15.75" hidden="false" customHeight="true" outlineLevel="0" collapsed="false">
      <c r="A42" s="25"/>
      <c r="E42" s="290"/>
    </row>
    <row r="43" customFormat="false" ht="15.75" hidden="false" customHeight="true" outlineLevel="0" collapsed="false">
      <c r="A43" s="25"/>
      <c r="E43" s="290"/>
    </row>
    <row r="44" customFormat="false" ht="15.75" hidden="false" customHeight="true" outlineLevel="0" collapsed="false">
      <c r="A44" s="25"/>
      <c r="E44" s="290"/>
    </row>
    <row r="45" customFormat="false" ht="15.75" hidden="false" customHeight="true" outlineLevel="0" collapsed="false">
      <c r="A45" s="25"/>
      <c r="E45" s="290"/>
    </row>
    <row r="46" customFormat="false" ht="15.75" hidden="false" customHeight="true" outlineLevel="0" collapsed="false">
      <c r="A46" s="25"/>
      <c r="E46" s="290"/>
    </row>
    <row r="47" customFormat="false" ht="15.75" hidden="false" customHeight="true" outlineLevel="0" collapsed="false">
      <c r="A47" s="25"/>
      <c r="E47" s="290"/>
    </row>
    <row r="48" customFormat="false" ht="15.75" hidden="false" customHeight="true" outlineLevel="0" collapsed="false">
      <c r="A48" s="25"/>
      <c r="E48" s="290"/>
    </row>
    <row r="49" customFormat="false" ht="15.75" hidden="false" customHeight="true" outlineLevel="0" collapsed="false">
      <c r="A49" s="25"/>
      <c r="E49" s="290"/>
    </row>
    <row r="50" customFormat="false" ht="15.75" hidden="false" customHeight="true" outlineLevel="0" collapsed="false">
      <c r="A50" s="25"/>
      <c r="E50" s="290"/>
    </row>
    <row r="51" customFormat="false" ht="15.75" hidden="false" customHeight="true" outlineLevel="0" collapsed="false">
      <c r="A51" s="25"/>
      <c r="E51" s="290"/>
    </row>
    <row r="52" customFormat="false" ht="15.75" hidden="false" customHeight="true" outlineLevel="0" collapsed="false">
      <c r="A52" s="25"/>
      <c r="E52" s="290"/>
    </row>
    <row r="53" customFormat="false" ht="15.75" hidden="false" customHeight="true" outlineLevel="0" collapsed="false">
      <c r="A53" s="25"/>
      <c r="E53" s="290"/>
    </row>
    <row r="54" customFormat="false" ht="15.75" hidden="false" customHeight="true" outlineLevel="0" collapsed="false">
      <c r="A54" s="25"/>
      <c r="E54" s="290"/>
    </row>
    <row r="55" customFormat="false" ht="15.75" hidden="false" customHeight="true" outlineLevel="0" collapsed="false">
      <c r="A55" s="25"/>
      <c r="E55" s="290"/>
    </row>
    <row r="56" customFormat="false" ht="15.75" hidden="false" customHeight="true" outlineLevel="0" collapsed="false">
      <c r="A56" s="25"/>
      <c r="E56" s="290"/>
    </row>
    <row r="57" customFormat="false" ht="15.75" hidden="false" customHeight="true" outlineLevel="0" collapsed="false">
      <c r="A57" s="25"/>
      <c r="E57" s="290"/>
    </row>
    <row r="58" customFormat="false" ht="15.75" hidden="false" customHeight="true" outlineLevel="0" collapsed="false">
      <c r="A58" s="25"/>
      <c r="E58" s="290"/>
    </row>
    <row r="59" customFormat="false" ht="15.75" hidden="false" customHeight="true" outlineLevel="0" collapsed="false">
      <c r="A59" s="25"/>
      <c r="E59" s="290"/>
    </row>
    <row r="60" customFormat="false" ht="15.75" hidden="false" customHeight="true" outlineLevel="0" collapsed="false">
      <c r="A60" s="25"/>
      <c r="E60" s="290"/>
    </row>
    <row r="61" customFormat="false" ht="15.75" hidden="false" customHeight="true" outlineLevel="0" collapsed="false">
      <c r="A61" s="25"/>
      <c r="E61" s="290"/>
    </row>
    <row r="62" customFormat="false" ht="15.75" hidden="false" customHeight="true" outlineLevel="0" collapsed="false">
      <c r="A62" s="25"/>
      <c r="E62" s="290"/>
    </row>
    <row r="63" customFormat="false" ht="15.75" hidden="false" customHeight="true" outlineLevel="0" collapsed="false">
      <c r="A63" s="25"/>
      <c r="E63" s="290"/>
    </row>
    <row r="64" customFormat="false" ht="15.75" hidden="false" customHeight="true" outlineLevel="0" collapsed="false">
      <c r="A64" s="25"/>
      <c r="E64" s="290"/>
    </row>
    <row r="65" customFormat="false" ht="15.75" hidden="false" customHeight="true" outlineLevel="0" collapsed="false">
      <c r="A65" s="25"/>
      <c r="E65" s="290"/>
    </row>
    <row r="66" customFormat="false" ht="15.75" hidden="false" customHeight="true" outlineLevel="0" collapsed="false">
      <c r="A66" s="25"/>
      <c r="E66" s="290"/>
    </row>
    <row r="67" customFormat="false" ht="15.75" hidden="false" customHeight="true" outlineLevel="0" collapsed="false">
      <c r="A67" s="25"/>
      <c r="E67" s="290"/>
    </row>
    <row r="68" customFormat="false" ht="15.75" hidden="false" customHeight="true" outlineLevel="0" collapsed="false">
      <c r="A68" s="25"/>
      <c r="E68" s="290"/>
    </row>
    <row r="69" customFormat="false" ht="15.75" hidden="false" customHeight="true" outlineLevel="0" collapsed="false">
      <c r="A69" s="25"/>
      <c r="E69" s="290"/>
    </row>
    <row r="70" customFormat="false" ht="15.75" hidden="false" customHeight="true" outlineLevel="0" collapsed="false">
      <c r="A70" s="25"/>
      <c r="E70" s="290"/>
    </row>
    <row r="71" customFormat="false" ht="15.75" hidden="false" customHeight="true" outlineLevel="0" collapsed="false">
      <c r="A71" s="25"/>
      <c r="E71" s="290"/>
    </row>
    <row r="72" customFormat="false" ht="15.75" hidden="false" customHeight="true" outlineLevel="0" collapsed="false">
      <c r="A72" s="25"/>
      <c r="E72" s="290"/>
    </row>
    <row r="73" customFormat="false" ht="15.75" hidden="false" customHeight="true" outlineLevel="0" collapsed="false">
      <c r="A73" s="25"/>
      <c r="E73" s="290"/>
    </row>
    <row r="74" customFormat="false" ht="15.75" hidden="false" customHeight="true" outlineLevel="0" collapsed="false">
      <c r="A74" s="25"/>
      <c r="E74" s="290"/>
    </row>
    <row r="75" customFormat="false" ht="15.75" hidden="false" customHeight="true" outlineLevel="0" collapsed="false">
      <c r="A75" s="25"/>
      <c r="E75" s="290"/>
    </row>
    <row r="76" customFormat="false" ht="15.75" hidden="false" customHeight="true" outlineLevel="0" collapsed="false">
      <c r="A76" s="25"/>
      <c r="E76" s="290"/>
    </row>
    <row r="77" customFormat="false" ht="15.75" hidden="false" customHeight="true" outlineLevel="0" collapsed="false">
      <c r="A77" s="25"/>
      <c r="E77" s="290"/>
    </row>
    <row r="78" customFormat="false" ht="15.75" hidden="false" customHeight="true" outlineLevel="0" collapsed="false">
      <c r="A78" s="25"/>
      <c r="E78" s="290"/>
    </row>
    <row r="79" customFormat="false" ht="15.75" hidden="false" customHeight="true" outlineLevel="0" collapsed="false">
      <c r="A79" s="25"/>
      <c r="E79" s="290"/>
    </row>
    <row r="80" customFormat="false" ht="15.75" hidden="false" customHeight="true" outlineLevel="0" collapsed="false">
      <c r="A80" s="25"/>
      <c r="E80" s="290"/>
    </row>
    <row r="81" customFormat="false" ht="15.75" hidden="false" customHeight="true" outlineLevel="0" collapsed="false">
      <c r="A81" s="25"/>
      <c r="E81" s="290"/>
    </row>
    <row r="82" customFormat="false" ht="15.75" hidden="false" customHeight="true" outlineLevel="0" collapsed="false">
      <c r="A82" s="25"/>
      <c r="E82" s="290"/>
    </row>
    <row r="83" customFormat="false" ht="15.75" hidden="false" customHeight="true" outlineLevel="0" collapsed="false">
      <c r="A83" s="25"/>
      <c r="E83" s="290"/>
    </row>
    <row r="84" customFormat="false" ht="15.75" hidden="false" customHeight="true" outlineLevel="0" collapsed="false">
      <c r="A84" s="25"/>
      <c r="E84" s="290"/>
    </row>
    <row r="85" customFormat="false" ht="15.75" hidden="false" customHeight="true" outlineLevel="0" collapsed="false">
      <c r="A85" s="25"/>
      <c r="E85" s="290"/>
    </row>
    <row r="86" customFormat="false" ht="15.75" hidden="false" customHeight="true" outlineLevel="0" collapsed="false">
      <c r="A86" s="25"/>
      <c r="E86" s="290"/>
    </row>
    <row r="87" customFormat="false" ht="15.75" hidden="false" customHeight="true" outlineLevel="0" collapsed="false">
      <c r="A87" s="25"/>
      <c r="E87" s="290"/>
    </row>
    <row r="88" customFormat="false" ht="15.75" hidden="false" customHeight="true" outlineLevel="0" collapsed="false">
      <c r="A88" s="25"/>
      <c r="E88" s="290"/>
    </row>
    <row r="89" customFormat="false" ht="15.75" hidden="false" customHeight="true" outlineLevel="0" collapsed="false">
      <c r="A89" s="25"/>
      <c r="E89" s="290"/>
    </row>
    <row r="90" customFormat="false" ht="15.75" hidden="false" customHeight="true" outlineLevel="0" collapsed="false">
      <c r="A90" s="25"/>
      <c r="E90" s="290"/>
    </row>
    <row r="91" customFormat="false" ht="15.75" hidden="false" customHeight="true" outlineLevel="0" collapsed="false">
      <c r="A91" s="25"/>
      <c r="E91" s="290"/>
    </row>
    <row r="92" customFormat="false" ht="15.75" hidden="false" customHeight="true" outlineLevel="0" collapsed="false">
      <c r="A92" s="25"/>
      <c r="E92" s="290"/>
    </row>
    <row r="93" customFormat="false" ht="15.75" hidden="false" customHeight="true" outlineLevel="0" collapsed="false">
      <c r="A93" s="25"/>
      <c r="E93" s="290"/>
    </row>
    <row r="94" customFormat="false" ht="15.75" hidden="false" customHeight="true" outlineLevel="0" collapsed="false">
      <c r="A94" s="25"/>
      <c r="E94" s="290"/>
    </row>
    <row r="95" customFormat="false" ht="15.75" hidden="false" customHeight="true" outlineLevel="0" collapsed="false">
      <c r="A95" s="25"/>
      <c r="E95" s="290"/>
    </row>
    <row r="96" customFormat="false" ht="15.75" hidden="false" customHeight="true" outlineLevel="0" collapsed="false">
      <c r="A96" s="25"/>
      <c r="E96" s="290"/>
    </row>
    <row r="97" customFormat="false" ht="15.75" hidden="false" customHeight="true" outlineLevel="0" collapsed="false">
      <c r="A97" s="25"/>
      <c r="E97" s="290"/>
    </row>
    <row r="98" customFormat="false" ht="15.75" hidden="false" customHeight="true" outlineLevel="0" collapsed="false">
      <c r="A98" s="25"/>
      <c r="E98" s="290"/>
    </row>
    <row r="99" customFormat="false" ht="15.75" hidden="false" customHeight="true" outlineLevel="0" collapsed="false">
      <c r="A99" s="25"/>
      <c r="E99" s="290"/>
    </row>
    <row r="100" customFormat="false" ht="15.75" hidden="false" customHeight="true" outlineLevel="0" collapsed="false">
      <c r="A100" s="25"/>
      <c r="E100" s="290"/>
    </row>
    <row r="101" customFormat="false" ht="15.75" hidden="false" customHeight="true" outlineLevel="0" collapsed="false">
      <c r="A101" s="25"/>
      <c r="E101" s="290"/>
    </row>
    <row r="102" customFormat="false" ht="15.75" hidden="false" customHeight="true" outlineLevel="0" collapsed="false">
      <c r="A102" s="25"/>
      <c r="E102" s="290"/>
    </row>
    <row r="103" customFormat="false" ht="15.75" hidden="false" customHeight="true" outlineLevel="0" collapsed="false">
      <c r="A103" s="25"/>
      <c r="E103" s="290"/>
    </row>
    <row r="104" customFormat="false" ht="15.75" hidden="false" customHeight="true" outlineLevel="0" collapsed="false">
      <c r="A104" s="25"/>
      <c r="E104" s="290"/>
    </row>
    <row r="105" customFormat="false" ht="15.75" hidden="false" customHeight="true" outlineLevel="0" collapsed="false">
      <c r="A105" s="25"/>
      <c r="E105" s="290"/>
    </row>
    <row r="106" customFormat="false" ht="15.75" hidden="false" customHeight="true" outlineLevel="0" collapsed="false">
      <c r="A106" s="25"/>
      <c r="E106" s="290"/>
    </row>
    <row r="107" customFormat="false" ht="15.75" hidden="false" customHeight="true" outlineLevel="0" collapsed="false">
      <c r="A107" s="25"/>
      <c r="E107" s="290"/>
    </row>
    <row r="108" customFormat="false" ht="15.75" hidden="false" customHeight="true" outlineLevel="0" collapsed="false">
      <c r="A108" s="25"/>
      <c r="E108" s="290"/>
    </row>
    <row r="109" customFormat="false" ht="15.75" hidden="false" customHeight="true" outlineLevel="0" collapsed="false">
      <c r="A109" s="25"/>
      <c r="E109" s="290"/>
    </row>
    <row r="110" customFormat="false" ht="15.75" hidden="false" customHeight="true" outlineLevel="0" collapsed="false">
      <c r="A110" s="25"/>
      <c r="E110" s="290"/>
    </row>
    <row r="111" customFormat="false" ht="15.75" hidden="false" customHeight="true" outlineLevel="0" collapsed="false">
      <c r="A111" s="25"/>
      <c r="E111" s="290"/>
    </row>
    <row r="112" customFormat="false" ht="15.75" hidden="false" customHeight="true" outlineLevel="0" collapsed="false">
      <c r="A112" s="25"/>
      <c r="E112" s="290"/>
    </row>
    <row r="113" customFormat="false" ht="15.75" hidden="false" customHeight="true" outlineLevel="0" collapsed="false">
      <c r="A113" s="25"/>
      <c r="E113" s="290"/>
    </row>
    <row r="114" customFormat="false" ht="15.75" hidden="false" customHeight="true" outlineLevel="0" collapsed="false">
      <c r="A114" s="25"/>
      <c r="E114" s="290"/>
    </row>
    <row r="115" customFormat="false" ht="15.75" hidden="false" customHeight="true" outlineLevel="0" collapsed="false">
      <c r="A115" s="25"/>
      <c r="E115" s="290"/>
    </row>
    <row r="116" customFormat="false" ht="15.75" hidden="false" customHeight="true" outlineLevel="0" collapsed="false">
      <c r="A116" s="25"/>
      <c r="E116" s="290"/>
    </row>
    <row r="117" customFormat="false" ht="15.75" hidden="false" customHeight="true" outlineLevel="0" collapsed="false">
      <c r="A117" s="25"/>
      <c r="E117" s="290"/>
    </row>
    <row r="118" customFormat="false" ht="15.75" hidden="false" customHeight="true" outlineLevel="0" collapsed="false">
      <c r="A118" s="25"/>
      <c r="E118" s="290"/>
    </row>
    <row r="119" customFormat="false" ht="15.75" hidden="false" customHeight="true" outlineLevel="0" collapsed="false">
      <c r="A119" s="25"/>
      <c r="E119" s="290"/>
    </row>
    <row r="120" customFormat="false" ht="15.75" hidden="false" customHeight="true" outlineLevel="0" collapsed="false">
      <c r="A120" s="25"/>
      <c r="E120" s="290"/>
    </row>
    <row r="121" customFormat="false" ht="15.75" hidden="false" customHeight="true" outlineLevel="0" collapsed="false">
      <c r="A121" s="25"/>
      <c r="E121" s="290"/>
    </row>
    <row r="122" customFormat="false" ht="15.75" hidden="false" customHeight="true" outlineLevel="0" collapsed="false">
      <c r="A122" s="25"/>
      <c r="E122" s="290"/>
    </row>
    <row r="123" customFormat="false" ht="15.75" hidden="false" customHeight="true" outlineLevel="0" collapsed="false">
      <c r="A123" s="25"/>
      <c r="E123" s="290"/>
    </row>
    <row r="124" customFormat="false" ht="15.75" hidden="false" customHeight="true" outlineLevel="0" collapsed="false">
      <c r="A124" s="25"/>
      <c r="E124" s="290"/>
    </row>
    <row r="125" customFormat="false" ht="15.75" hidden="false" customHeight="true" outlineLevel="0" collapsed="false">
      <c r="A125" s="25"/>
      <c r="E125" s="290"/>
    </row>
    <row r="126" customFormat="false" ht="15.75" hidden="false" customHeight="true" outlineLevel="0" collapsed="false">
      <c r="A126" s="25"/>
      <c r="E126" s="290"/>
    </row>
    <row r="127" customFormat="false" ht="15.75" hidden="false" customHeight="true" outlineLevel="0" collapsed="false">
      <c r="A127" s="25"/>
      <c r="E127" s="290"/>
    </row>
    <row r="128" customFormat="false" ht="15.75" hidden="false" customHeight="true" outlineLevel="0" collapsed="false">
      <c r="A128" s="25"/>
      <c r="E128" s="290"/>
    </row>
    <row r="129" customFormat="false" ht="15.75" hidden="false" customHeight="true" outlineLevel="0" collapsed="false">
      <c r="A129" s="25"/>
      <c r="E129" s="290"/>
    </row>
    <row r="130" customFormat="false" ht="15.75" hidden="false" customHeight="true" outlineLevel="0" collapsed="false">
      <c r="A130" s="25"/>
      <c r="E130" s="290"/>
    </row>
    <row r="131" customFormat="false" ht="15.75" hidden="false" customHeight="true" outlineLevel="0" collapsed="false">
      <c r="A131" s="25"/>
      <c r="E131" s="290"/>
    </row>
    <row r="132" customFormat="false" ht="15.75" hidden="false" customHeight="true" outlineLevel="0" collapsed="false">
      <c r="A132" s="25"/>
      <c r="E132" s="290"/>
    </row>
    <row r="133" customFormat="false" ht="15.75" hidden="false" customHeight="true" outlineLevel="0" collapsed="false">
      <c r="A133" s="25"/>
      <c r="E133" s="290"/>
    </row>
    <row r="134" customFormat="false" ht="15.75" hidden="false" customHeight="true" outlineLevel="0" collapsed="false">
      <c r="A134" s="25"/>
      <c r="E134" s="290"/>
    </row>
    <row r="135" customFormat="false" ht="15.75" hidden="false" customHeight="true" outlineLevel="0" collapsed="false">
      <c r="A135" s="25"/>
      <c r="E135" s="290"/>
    </row>
    <row r="136" customFormat="false" ht="15.75" hidden="false" customHeight="true" outlineLevel="0" collapsed="false">
      <c r="A136" s="25"/>
      <c r="E136" s="290"/>
    </row>
    <row r="137" customFormat="false" ht="15.75" hidden="false" customHeight="true" outlineLevel="0" collapsed="false">
      <c r="A137" s="25"/>
      <c r="E137" s="290"/>
    </row>
    <row r="138" customFormat="false" ht="15.75" hidden="false" customHeight="true" outlineLevel="0" collapsed="false">
      <c r="A138" s="25"/>
      <c r="E138" s="290"/>
    </row>
    <row r="139" customFormat="false" ht="15.75" hidden="false" customHeight="true" outlineLevel="0" collapsed="false">
      <c r="A139" s="25"/>
      <c r="E139" s="290"/>
    </row>
    <row r="140" customFormat="false" ht="15.75" hidden="false" customHeight="true" outlineLevel="0" collapsed="false">
      <c r="A140" s="25"/>
      <c r="E140" s="290"/>
    </row>
    <row r="141" customFormat="false" ht="15.75" hidden="false" customHeight="true" outlineLevel="0" collapsed="false">
      <c r="A141" s="25"/>
      <c r="E141" s="290"/>
    </row>
    <row r="142" customFormat="false" ht="15.75" hidden="false" customHeight="true" outlineLevel="0" collapsed="false">
      <c r="A142" s="25"/>
      <c r="E142" s="290"/>
    </row>
    <row r="143" customFormat="false" ht="15.75" hidden="false" customHeight="true" outlineLevel="0" collapsed="false">
      <c r="A143" s="25"/>
      <c r="E143" s="290"/>
    </row>
    <row r="144" customFormat="false" ht="15.75" hidden="false" customHeight="true" outlineLevel="0" collapsed="false">
      <c r="A144" s="25"/>
      <c r="E144" s="290"/>
    </row>
    <row r="145" customFormat="false" ht="15.75" hidden="false" customHeight="true" outlineLevel="0" collapsed="false">
      <c r="A145" s="25"/>
      <c r="E145" s="290"/>
    </row>
    <row r="146" customFormat="false" ht="15.75" hidden="false" customHeight="true" outlineLevel="0" collapsed="false">
      <c r="A146" s="25"/>
      <c r="E146" s="290"/>
    </row>
    <row r="147" customFormat="false" ht="15.75" hidden="false" customHeight="true" outlineLevel="0" collapsed="false">
      <c r="A147" s="25"/>
      <c r="E147" s="290"/>
    </row>
    <row r="148" customFormat="false" ht="15.75" hidden="false" customHeight="true" outlineLevel="0" collapsed="false">
      <c r="A148" s="25"/>
      <c r="E148" s="290"/>
    </row>
    <row r="149" customFormat="false" ht="15.75" hidden="false" customHeight="true" outlineLevel="0" collapsed="false">
      <c r="A149" s="25"/>
      <c r="E149" s="290"/>
    </row>
    <row r="150" customFormat="false" ht="15.75" hidden="false" customHeight="true" outlineLevel="0" collapsed="false">
      <c r="A150" s="25"/>
      <c r="E150" s="290"/>
    </row>
    <row r="151" customFormat="false" ht="15.75" hidden="false" customHeight="true" outlineLevel="0" collapsed="false">
      <c r="A151" s="25"/>
      <c r="E151" s="290"/>
    </row>
    <row r="152" customFormat="false" ht="15.75" hidden="false" customHeight="true" outlineLevel="0" collapsed="false">
      <c r="A152" s="25"/>
      <c r="E152" s="290"/>
    </row>
    <row r="153" customFormat="false" ht="15.75" hidden="false" customHeight="true" outlineLevel="0" collapsed="false">
      <c r="A153" s="25"/>
      <c r="E153" s="290"/>
    </row>
    <row r="154" customFormat="false" ht="15.75" hidden="false" customHeight="true" outlineLevel="0" collapsed="false">
      <c r="A154" s="25"/>
      <c r="E154" s="290"/>
    </row>
    <row r="155" customFormat="false" ht="15.75" hidden="false" customHeight="true" outlineLevel="0" collapsed="false">
      <c r="A155" s="25"/>
      <c r="E155" s="290"/>
    </row>
    <row r="156" customFormat="false" ht="15.75" hidden="false" customHeight="true" outlineLevel="0" collapsed="false">
      <c r="A156" s="25"/>
      <c r="E156" s="290"/>
    </row>
    <row r="157" customFormat="false" ht="15.75" hidden="false" customHeight="true" outlineLevel="0" collapsed="false">
      <c r="A157" s="25"/>
      <c r="E157" s="290"/>
    </row>
    <row r="158" customFormat="false" ht="15.75" hidden="false" customHeight="true" outlineLevel="0" collapsed="false">
      <c r="A158" s="25"/>
      <c r="E158" s="290"/>
    </row>
    <row r="159" customFormat="false" ht="15.75" hidden="false" customHeight="true" outlineLevel="0" collapsed="false">
      <c r="A159" s="25"/>
      <c r="E159" s="290"/>
    </row>
    <row r="160" customFormat="false" ht="15.75" hidden="false" customHeight="true" outlineLevel="0" collapsed="false">
      <c r="A160" s="25"/>
      <c r="E160" s="290"/>
    </row>
    <row r="161" customFormat="false" ht="15.75" hidden="false" customHeight="true" outlineLevel="0" collapsed="false">
      <c r="A161" s="25"/>
      <c r="E161" s="290"/>
    </row>
    <row r="162" customFormat="false" ht="15.75" hidden="false" customHeight="true" outlineLevel="0" collapsed="false">
      <c r="A162" s="25"/>
      <c r="E162" s="290"/>
    </row>
    <row r="163" customFormat="false" ht="15.75" hidden="false" customHeight="true" outlineLevel="0" collapsed="false">
      <c r="A163" s="25"/>
      <c r="E163" s="290"/>
    </row>
    <row r="164" customFormat="false" ht="15.75" hidden="false" customHeight="true" outlineLevel="0" collapsed="false">
      <c r="A164" s="25"/>
      <c r="E164" s="290"/>
    </row>
    <row r="165" customFormat="false" ht="15.75" hidden="false" customHeight="true" outlineLevel="0" collapsed="false">
      <c r="A165" s="25"/>
      <c r="E165" s="290"/>
    </row>
    <row r="166" customFormat="false" ht="15.75" hidden="false" customHeight="true" outlineLevel="0" collapsed="false">
      <c r="A166" s="25"/>
      <c r="E166" s="290"/>
    </row>
    <row r="167" customFormat="false" ht="15.75" hidden="false" customHeight="true" outlineLevel="0" collapsed="false">
      <c r="A167" s="25"/>
      <c r="E167" s="290"/>
    </row>
    <row r="168" customFormat="false" ht="15.75" hidden="false" customHeight="true" outlineLevel="0" collapsed="false">
      <c r="A168" s="25"/>
      <c r="E168" s="290"/>
    </row>
    <row r="169" customFormat="false" ht="15.75" hidden="false" customHeight="true" outlineLevel="0" collapsed="false">
      <c r="A169" s="25"/>
      <c r="E169" s="290"/>
    </row>
    <row r="170" customFormat="false" ht="15.75" hidden="false" customHeight="true" outlineLevel="0" collapsed="false">
      <c r="A170" s="25"/>
      <c r="E170" s="290"/>
    </row>
    <row r="171" customFormat="false" ht="15.75" hidden="false" customHeight="true" outlineLevel="0" collapsed="false">
      <c r="A171" s="25"/>
      <c r="E171" s="290"/>
    </row>
    <row r="172" customFormat="false" ht="15.75" hidden="false" customHeight="true" outlineLevel="0" collapsed="false">
      <c r="A172" s="25"/>
      <c r="E172" s="290"/>
    </row>
    <row r="173" customFormat="false" ht="15.75" hidden="false" customHeight="true" outlineLevel="0" collapsed="false">
      <c r="A173" s="25"/>
      <c r="E173" s="290"/>
    </row>
    <row r="174" customFormat="false" ht="15.75" hidden="false" customHeight="true" outlineLevel="0" collapsed="false">
      <c r="A174" s="25"/>
      <c r="E174" s="290"/>
    </row>
    <row r="175" customFormat="false" ht="15.75" hidden="false" customHeight="true" outlineLevel="0" collapsed="false">
      <c r="A175" s="25"/>
      <c r="E175" s="290"/>
    </row>
    <row r="176" customFormat="false" ht="15.75" hidden="false" customHeight="true" outlineLevel="0" collapsed="false">
      <c r="A176" s="25"/>
      <c r="E176" s="290"/>
    </row>
    <row r="177" customFormat="false" ht="15.75" hidden="false" customHeight="true" outlineLevel="0" collapsed="false">
      <c r="A177" s="25"/>
      <c r="E177" s="290"/>
    </row>
    <row r="178" customFormat="false" ht="15.75" hidden="false" customHeight="true" outlineLevel="0" collapsed="false">
      <c r="A178" s="25"/>
      <c r="E178" s="290"/>
    </row>
    <row r="179" customFormat="false" ht="15.75" hidden="false" customHeight="true" outlineLevel="0" collapsed="false">
      <c r="A179" s="25"/>
      <c r="E179" s="290"/>
    </row>
    <row r="180" customFormat="false" ht="15.75" hidden="false" customHeight="true" outlineLevel="0" collapsed="false">
      <c r="A180" s="25"/>
      <c r="E180" s="290"/>
    </row>
    <row r="181" customFormat="false" ht="15.75" hidden="false" customHeight="true" outlineLevel="0" collapsed="false">
      <c r="A181" s="25"/>
      <c r="E181" s="290"/>
    </row>
    <row r="182" customFormat="false" ht="15.75" hidden="false" customHeight="true" outlineLevel="0" collapsed="false">
      <c r="A182" s="25"/>
      <c r="E182" s="290"/>
    </row>
    <row r="183" customFormat="false" ht="15.75" hidden="false" customHeight="true" outlineLevel="0" collapsed="false">
      <c r="A183" s="25"/>
      <c r="E183" s="290"/>
    </row>
    <row r="184" customFormat="false" ht="15.75" hidden="false" customHeight="true" outlineLevel="0" collapsed="false">
      <c r="A184" s="25"/>
      <c r="E184" s="290"/>
    </row>
    <row r="185" customFormat="false" ht="15.75" hidden="false" customHeight="true" outlineLevel="0" collapsed="false">
      <c r="A185" s="25"/>
      <c r="E185" s="290"/>
    </row>
    <row r="186" customFormat="false" ht="15.75" hidden="false" customHeight="true" outlineLevel="0" collapsed="false">
      <c r="A186" s="25"/>
      <c r="E186" s="290"/>
    </row>
    <row r="187" customFormat="false" ht="15.75" hidden="false" customHeight="true" outlineLevel="0" collapsed="false">
      <c r="A187" s="25"/>
      <c r="E187" s="290"/>
    </row>
    <row r="188" customFormat="false" ht="15.75" hidden="false" customHeight="true" outlineLevel="0" collapsed="false">
      <c r="A188" s="25"/>
      <c r="E188" s="290"/>
    </row>
    <row r="189" customFormat="false" ht="15.75" hidden="false" customHeight="true" outlineLevel="0" collapsed="false">
      <c r="A189" s="25"/>
      <c r="E189" s="290"/>
    </row>
    <row r="190" customFormat="false" ht="15.75" hidden="false" customHeight="true" outlineLevel="0" collapsed="false">
      <c r="A190" s="25"/>
      <c r="E190" s="290"/>
    </row>
    <row r="191" customFormat="false" ht="15.75" hidden="false" customHeight="true" outlineLevel="0" collapsed="false">
      <c r="A191" s="25"/>
      <c r="E191" s="290"/>
    </row>
    <row r="192" customFormat="false" ht="15.75" hidden="false" customHeight="true" outlineLevel="0" collapsed="false">
      <c r="A192" s="25"/>
      <c r="E192" s="290"/>
    </row>
    <row r="193" customFormat="false" ht="15.75" hidden="false" customHeight="true" outlineLevel="0" collapsed="false">
      <c r="A193" s="25"/>
      <c r="E193" s="290"/>
    </row>
    <row r="194" customFormat="false" ht="15.75" hidden="false" customHeight="true" outlineLevel="0" collapsed="false">
      <c r="A194" s="25"/>
      <c r="E194" s="290"/>
    </row>
    <row r="195" customFormat="false" ht="15.75" hidden="false" customHeight="true" outlineLevel="0" collapsed="false">
      <c r="A195" s="25"/>
      <c r="E195" s="290"/>
    </row>
    <row r="196" customFormat="false" ht="15.75" hidden="false" customHeight="true" outlineLevel="0" collapsed="false">
      <c r="A196" s="25"/>
      <c r="E196" s="290"/>
    </row>
    <row r="197" customFormat="false" ht="15.75" hidden="false" customHeight="true" outlineLevel="0" collapsed="false">
      <c r="A197" s="25"/>
      <c r="E197" s="290"/>
    </row>
    <row r="198" customFormat="false" ht="15.75" hidden="false" customHeight="true" outlineLevel="0" collapsed="false">
      <c r="A198" s="25"/>
      <c r="E198" s="290"/>
    </row>
    <row r="199" customFormat="false" ht="15.75" hidden="false" customHeight="true" outlineLevel="0" collapsed="false">
      <c r="A199" s="25"/>
      <c r="E199" s="290"/>
    </row>
    <row r="200" customFormat="false" ht="15.75" hidden="false" customHeight="true" outlineLevel="0" collapsed="false">
      <c r="A200" s="25"/>
      <c r="E200" s="290"/>
    </row>
    <row r="201" customFormat="false" ht="15.75" hidden="false" customHeight="true" outlineLevel="0" collapsed="false">
      <c r="A201" s="25"/>
      <c r="E201" s="290"/>
    </row>
    <row r="202" customFormat="false" ht="15.75" hidden="false" customHeight="true" outlineLevel="0" collapsed="false">
      <c r="A202" s="25"/>
      <c r="E202" s="290"/>
    </row>
    <row r="203" customFormat="false" ht="15.75" hidden="false" customHeight="true" outlineLevel="0" collapsed="false">
      <c r="A203" s="25"/>
      <c r="E203" s="290"/>
    </row>
    <row r="204" customFormat="false" ht="15.75" hidden="false" customHeight="true" outlineLevel="0" collapsed="false">
      <c r="A204" s="25"/>
      <c r="E204" s="290"/>
    </row>
    <row r="205" customFormat="false" ht="15.75" hidden="false" customHeight="true" outlineLevel="0" collapsed="false">
      <c r="A205" s="25"/>
      <c r="E205" s="290"/>
    </row>
    <row r="206" customFormat="false" ht="15.75" hidden="false" customHeight="true" outlineLevel="0" collapsed="false">
      <c r="A206" s="25"/>
      <c r="E206" s="290"/>
    </row>
    <row r="207" customFormat="false" ht="15.75" hidden="false" customHeight="true" outlineLevel="0" collapsed="false">
      <c r="A207" s="25"/>
      <c r="E207" s="290"/>
    </row>
    <row r="208" customFormat="false" ht="15.75" hidden="false" customHeight="true" outlineLevel="0" collapsed="false">
      <c r="A208" s="25"/>
      <c r="E208" s="290"/>
    </row>
    <row r="209" customFormat="false" ht="15.75" hidden="false" customHeight="true" outlineLevel="0" collapsed="false">
      <c r="A209" s="25"/>
      <c r="E209" s="290"/>
    </row>
    <row r="210" customFormat="false" ht="15.75" hidden="false" customHeight="true" outlineLevel="0" collapsed="false">
      <c r="A210" s="25"/>
      <c r="E210" s="290"/>
    </row>
    <row r="211" customFormat="false" ht="15.75" hidden="false" customHeight="true" outlineLevel="0" collapsed="false">
      <c r="A211" s="25"/>
      <c r="E211" s="290"/>
    </row>
    <row r="212" customFormat="false" ht="15.75" hidden="false" customHeight="true" outlineLevel="0" collapsed="false">
      <c r="A212" s="25"/>
      <c r="E212" s="290"/>
    </row>
    <row r="213" customFormat="false" ht="15.75" hidden="false" customHeight="true" outlineLevel="0" collapsed="false">
      <c r="A213" s="25"/>
      <c r="E213" s="290"/>
    </row>
    <row r="214" customFormat="false" ht="15.75" hidden="false" customHeight="true" outlineLevel="0" collapsed="false">
      <c r="A214" s="25"/>
      <c r="E214" s="290"/>
    </row>
    <row r="215" customFormat="false" ht="15.75" hidden="false" customHeight="true" outlineLevel="0" collapsed="false">
      <c r="A215" s="25"/>
      <c r="E215" s="290"/>
    </row>
    <row r="216" customFormat="false" ht="15.75" hidden="false" customHeight="true" outlineLevel="0" collapsed="false">
      <c r="A216" s="25"/>
      <c r="E216" s="290"/>
    </row>
    <row r="217" customFormat="false" ht="15.75" hidden="false" customHeight="true" outlineLevel="0" collapsed="false">
      <c r="A217" s="25"/>
      <c r="E217" s="290"/>
    </row>
    <row r="218" customFormat="false" ht="15.75" hidden="false" customHeight="true" outlineLevel="0" collapsed="false">
      <c r="A218" s="25"/>
      <c r="E218" s="290"/>
    </row>
    <row r="219" customFormat="false" ht="15.75" hidden="false" customHeight="true" outlineLevel="0" collapsed="false">
      <c r="A219" s="25"/>
      <c r="E219" s="290"/>
    </row>
    <row r="220" customFormat="false" ht="15.75" hidden="false" customHeight="true" outlineLevel="0" collapsed="false">
      <c r="A220" s="25"/>
      <c r="E220" s="290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E1"/>
    <mergeCell ref="D2:E2"/>
    <mergeCell ref="A5:E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P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296875" defaultRowHeight="12.8" zeroHeight="false" outlineLevelRow="0" outlineLevelCol="0"/>
  <cols>
    <col collapsed="false" customWidth="true" hidden="false" outlineLevel="0" max="1" min="1" style="1" width="5.57"/>
    <col collapsed="false" customWidth="true" hidden="false" outlineLevel="0" max="3" min="3" style="1" width="26.14"/>
    <col collapsed="false" customWidth="true" hidden="false" outlineLevel="0" max="9" min="9" style="1" width="21.58"/>
    <col collapsed="false" customWidth="true" hidden="false" outlineLevel="0" max="10" min="10" style="1" width="30.85"/>
    <col collapsed="false" customWidth="true" hidden="false" outlineLevel="0" max="12" min="12" style="1" width="25.57"/>
    <col collapsed="false" customWidth="true" hidden="false" outlineLevel="0" max="13" min="13" style="1" width="40.29"/>
    <col collapsed="false" customWidth="true" hidden="false" outlineLevel="0" max="15" min="15" style="1" width="24.57"/>
  </cols>
  <sheetData>
    <row r="1" customFormat="false" ht="52.5" hidden="false" customHeight="true" outlineLevel="0" collapsed="false">
      <c r="A1" s="33" t="s">
        <v>41</v>
      </c>
      <c r="B1" s="33" t="s">
        <v>0</v>
      </c>
      <c r="C1" s="33" t="s">
        <v>1</v>
      </c>
      <c r="D1" s="33" t="s">
        <v>42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124" t="s">
        <v>9</v>
      </c>
      <c r="L1" s="33" t="s">
        <v>13</v>
      </c>
      <c r="M1" s="33" t="s">
        <v>14</v>
      </c>
      <c r="N1" s="33" t="s">
        <v>16</v>
      </c>
      <c r="O1" s="33" t="s">
        <v>17</v>
      </c>
      <c r="P1" s="33" t="s">
        <v>18</v>
      </c>
      <c r="Q1" s="33" t="s">
        <v>19</v>
      </c>
      <c r="R1" s="33" t="s">
        <v>20</v>
      </c>
      <c r="S1" s="33" t="s">
        <v>21</v>
      </c>
      <c r="T1" s="33" t="s">
        <v>23</v>
      </c>
      <c r="U1" s="35" t="s">
        <v>24</v>
      </c>
      <c r="V1" s="35" t="s">
        <v>25</v>
      </c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</row>
    <row r="2" customFormat="false" ht="15.75" hidden="false" customHeight="true" outlineLevel="0" collapsed="false">
      <c r="A2" s="169" t="n">
        <v>1</v>
      </c>
      <c r="B2" s="228" t="s">
        <v>752</v>
      </c>
      <c r="C2" s="133" t="s">
        <v>753</v>
      </c>
      <c r="D2" s="40" t="s">
        <v>754</v>
      </c>
      <c r="E2" s="154" t="s">
        <v>755</v>
      </c>
      <c r="F2" s="42" t="s">
        <v>756</v>
      </c>
      <c r="G2" s="40" t="s">
        <v>757</v>
      </c>
      <c r="H2" s="58" t="s">
        <v>758</v>
      </c>
      <c r="I2" s="97" t="s">
        <v>98</v>
      </c>
      <c r="J2" s="97" t="s">
        <v>759</v>
      </c>
      <c r="K2" s="154" t="s">
        <v>225</v>
      </c>
      <c r="L2" s="154" t="s">
        <v>760</v>
      </c>
      <c r="M2" s="154" t="s">
        <v>755</v>
      </c>
      <c r="N2" s="57" t="s">
        <v>761</v>
      </c>
      <c r="O2" s="138"/>
      <c r="P2" s="48" t="s">
        <v>762</v>
      </c>
      <c r="Q2" s="25"/>
      <c r="R2" s="154"/>
      <c r="S2" s="154" t="s">
        <v>763</v>
      </c>
      <c r="T2" s="154" t="n">
        <v>45996</v>
      </c>
      <c r="U2" s="154" t="n">
        <v>45996</v>
      </c>
      <c r="V2" s="154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customFormat="false" ht="15.75" hidden="false" customHeight="true" outlineLevel="0" collapsed="false">
      <c r="A3" s="169" t="n">
        <v>2</v>
      </c>
      <c r="B3" s="228" t="s">
        <v>752</v>
      </c>
      <c r="C3" s="133" t="s">
        <v>753</v>
      </c>
      <c r="D3" s="40" t="s">
        <v>754</v>
      </c>
      <c r="E3" s="154" t="s">
        <v>755</v>
      </c>
      <c r="F3" s="42" t="s">
        <v>756</v>
      </c>
      <c r="G3" s="40" t="s">
        <v>757</v>
      </c>
      <c r="H3" s="58" t="s">
        <v>758</v>
      </c>
      <c r="I3" s="97" t="s">
        <v>98</v>
      </c>
      <c r="J3" s="97" t="s">
        <v>759</v>
      </c>
      <c r="K3" s="154" t="s">
        <v>225</v>
      </c>
      <c r="L3" s="154" t="s">
        <v>764</v>
      </c>
      <c r="M3" s="154" t="s">
        <v>755</v>
      </c>
      <c r="N3" s="57" t="s">
        <v>761</v>
      </c>
      <c r="O3" s="138"/>
      <c r="P3" s="48" t="s">
        <v>762</v>
      </c>
      <c r="Q3" s="25"/>
      <c r="R3" s="154"/>
      <c r="S3" s="154" t="s">
        <v>763</v>
      </c>
      <c r="T3" s="154" t="n">
        <v>45996</v>
      </c>
      <c r="U3" s="154" t="n">
        <v>45996</v>
      </c>
      <c r="V3" s="154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</sheetData>
  <conditionalFormatting sqref="C2:C3">
    <cfRule type="cellIs" priority="2" operator="equal" aboveAverage="0" equalAverage="0" bottom="0" percent="0" rank="0" text="" dxfId="444">
      <formula>"C1:C774"</formula>
    </cfRule>
  </conditionalFormatting>
  <conditionalFormatting sqref="C2:C3">
    <cfRule type="cellIs" priority="3" operator="equal" aboveAverage="0" equalAverage="0" bottom="0" percent="0" rank="0" text="" dxfId="445">
      <formula>"C1:C774"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2026-04-08T05:57:26Z</dcterms:created>
  <dc:creator>Lyubov Raikova</dc:creator>
  <dc:description/>
  <dc:language>ru-RU</dc:language>
  <cp:lastModifiedBy/>
  <dcterms:modified xsi:type="dcterms:W3CDTF">2026-04-09T11:09:13Z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